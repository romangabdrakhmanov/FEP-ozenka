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ЭтаКнига" defaultThemeVersion="124226"/>
  <mc:AlternateContent xmlns:mc="http://schemas.openxmlformats.org/markup-compatibility/2006">
    <mc:Choice Requires="x15">
      <x15ac:absPath xmlns:x15ac="http://schemas.microsoft.com/office/spreadsheetml/2010/11/ac" url="C:\Users\gabdrakhmanovror\Downloads\для анализа качества целеполагания\"/>
    </mc:Choice>
  </mc:AlternateContent>
  <xr:revisionPtr revIDLastSave="0" documentId="13_ncr:1_{1B723C7C-28A3-44FE-9CA3-0C369EA594D2}" xr6:coauthVersionLast="47" xr6:coauthVersionMax="47" xr10:uidLastSave="{00000000-0000-0000-0000-000000000000}"/>
  <bookViews>
    <workbookView xWindow="28680" yWindow="-120" windowWidth="29040" windowHeight="15720" xr2:uid="{00000000-000D-0000-FFFF-FFFF00000000}"/>
  </bookViews>
  <sheets>
    <sheet name="Свод (2)" sheetId="1" r:id="rId1"/>
    <sheet name="Лист1" sheetId="2" r:id="rId2"/>
    <sheet name="список ID из СУЭ с должностями" sheetId="3" r:id="rId3"/>
    <sheet name="ID относящиеся у производству" sheetId="4" r:id="rId4"/>
    <sheet name="ключи должностей к матрице" sheetId="5" r:id="rId5"/>
  </sheets>
  <definedNames>
    <definedName name="_xlnm._FilterDatabase" localSheetId="0" hidden="1">'Свод (2)'!$A$1:$O$3976</definedName>
    <definedName name="_xlnm._FilterDatabase" localSheetId="2" hidden="1">'список ID из СУЭ с должностями'!$A$1:$F$550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976" i="1" l="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alcChain>
</file>

<file path=xl/sharedStrings.xml><?xml version="1.0" encoding="utf-8"?>
<sst xmlns="http://schemas.openxmlformats.org/spreadsheetml/2006/main" count="48968" uniqueCount="3848">
  <si>
    <t>Период</t>
  </si>
  <si>
    <t>Тип премирования</t>
  </si>
  <si>
    <t>Год</t>
  </si>
  <si>
    <t>Дата процедуры</t>
  </si>
  <si>
    <t>Должность</t>
  </si>
  <si>
    <t>Полный путь до подразделения</t>
  </si>
  <si>
    <t>Группа целей</t>
  </si>
  <si>
    <t>Наименование цели</t>
  </si>
  <si>
    <t>Описание цели/ожидаемый результат цели</t>
  </si>
  <si>
    <t>Название связанной цели/метки</t>
  </si>
  <si>
    <t>3 квартал 2026</t>
  </si>
  <si>
    <t>Год + квартал</t>
  </si>
  <si>
    <t>01.07.2026 - 30.09.2026</t>
  </si>
  <si>
    <t>Заместитель главного инженера</t>
  </si>
  <si>
    <t>Общество с ограниченной ответственностью "Томскнефтехим"/Направление Главного инженера/Направление заместителя главного инженера</t>
  </si>
  <si>
    <t>Базовые обязательства</t>
  </si>
  <si>
    <t>Средневзвешенная длительность реализации НБ проектов (I2I)</t>
  </si>
  <si>
    <t>не более 414 дней</t>
  </si>
  <si>
    <t>Главный инженер</t>
  </si>
  <si>
    <t>Общество с ограниченной ответственностью "Томскнефтехим"/Направление Главного инженера</t>
  </si>
  <si>
    <t>Выполнение целей стратегии устойчивого развития, % Не менее 100 %</t>
  </si>
  <si>
    <t>Задачи с эффектом в текущем году</t>
  </si>
  <si>
    <t>Реализация проектов</t>
  </si>
  <si>
    <t>-</t>
  </si>
  <si>
    <t>1. «Тех.перевооружение: Установка налива ТИБА в танк контейнер
2. Реализация проекта ЦРП</t>
  </si>
  <si>
    <t>Успешное выполнение остановочного ремонта 2026 года</t>
  </si>
  <si>
    <t>Подготовка и Выполнение остановочного ремонта согласно заявленным параметрам БП</t>
  </si>
  <si>
    <t>Подготовка и проведение ремонта по чек-листу не менее 95%</t>
  </si>
  <si>
    <t>Управление рабочим капиталом</t>
  </si>
  <si>
    <t>"Организация складского хранения:
1.нецелевые помещения освобождены и запломбированы
2.наведен порядок в целевых помещениях
3.установлен и соблюдается целевой процесс работы с МТР ""
Соблюдение целевого уровня РК:
Соблюдение общего уровня запасов РК на конец года в ЗО 3 121 млн.руб.: 1 373 млн.руб. СУОФ (МКЗ, МРП СУОФ, ЗИП) / 1 703 млн.руб СУН (АТЗ) / 45 млн.руб. МРП ИП
Оборачиваемость МРП СУОФ текущего года поставки не более 90 дней
Объем «срочных» заявок от общего годового объема не более 20%
Подменный фонд к. 1027 разобран и поставлен на учет в систему до конца 3 кв.
Избыточные запасы после проекта (Перевод в НВИ в течение 3 месяцев с даты закрытия проекта) - 0 руб."</t>
  </si>
  <si>
    <t>Выполнение ключевых финансово-экономических показателей</t>
  </si>
  <si>
    <t>Исполнение/Не превышение бюджета ТОиР в рамках утвержденного БП</t>
  </si>
  <si>
    <t>не более 100 %</t>
  </si>
  <si>
    <t>Управление травматизмом</t>
  </si>
  <si>
    <t>"1. Полученные допуска по ГИ -100%
2. 0 событий в зоне ответственности с влиянием на Ltif предприятия
3. Кол-во ГОР и ОР в выходные дни не более 10% (отн. выход/будни) в среднем по предприятию. За исключением аварийных.</t>
  </si>
  <si>
    <t>Минимизация травматизма (LTIF)</t>
  </si>
  <si>
    <t>Приживаемость метрик ПСС</t>
  </si>
  <si>
    <t>Ожидаемый результат
не менее 90%
Проведение внутренних аттестаций по результатам ЕКЭ РП и СУОФ (50% от общего объема)
исполнение дорожной карты: Тираж Мини - Т
Исполнение мероприятий проекта Сыгранность Мини-Т</t>
  </si>
  <si>
    <t>Обеспечить приживаемость Производственной системы</t>
  </si>
  <si>
    <t>Начальник смены производства</t>
  </si>
  <si>
    <t>Общество с ограниченной ответственностью "Томскнефтехим"/Направление Директора по производству/Производство полиэтилена/Смена 3</t>
  </si>
  <si>
    <t>Долгосрочные цели</t>
  </si>
  <si>
    <t>Проведение Остановочного ремонта</t>
  </si>
  <si>
    <t>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</si>
  <si>
    <t>Начальник производства</t>
  </si>
  <si>
    <t>Общество с ограниченной ответственностью "Томскнефтехим"/Направление Директора по производству/Производство полиэтилена</t>
  </si>
  <si>
    <t>Выполнение целей стратегии устойчивого развития:</t>
  </si>
  <si>
    <t>1. Выбросы ЗВ в атмосферу не более 0,225
2. Сбросы ЗВ в стоки не более 0,018
3. Отходы на размещение не более 0,050
4. Водопотребление, не более  21,7
5. Выбросы парниковых газов, не более 34,57</t>
  </si>
  <si>
    <t>Управление травматизмом (LTIF) и техногенностью ИА1,2</t>
  </si>
  <si>
    <t>1.Полученные допуски -99% (личные)
2. LTIF = 0 (ППЭ)
3. 0 пробитых барьеров при проведении стресс-тестов со стороны ОТ,ПБ (в ЗО смены)
4. ИА 1,2 = 0</t>
  </si>
  <si>
    <t xml:space="preserve"> HR Средний срок получения допуска к рабочему месту в ЗО не более 120 дней</t>
  </si>
  <si>
    <t>не более 120 дней</t>
  </si>
  <si>
    <t>Повышение производственной эффективности</t>
  </si>
  <si>
    <t>Выполнение целей по качеству: - объем выпуска НСП</t>
  </si>
  <si>
    <t>КПОиТП не более 0,50
КЦП не менее 0,97
НСП более 5.97%</t>
  </si>
  <si>
    <t>Минимизация потерь</t>
  </si>
  <si>
    <t>Достижение целей по ключевым показателям эффективности</t>
  </si>
  <si>
    <t>ВПР = 69,81 %
ИТЭ = 99,35 %
ИЭ = 206,31 %
ИТЭзхп = 95,22 %</t>
  </si>
  <si>
    <t>Объем производства, тонн не менее 55563 тонн</t>
  </si>
  <si>
    <t>не менее 55563 тонн</t>
  </si>
  <si>
    <t>Текучесть персонала на 3 квартал</t>
  </si>
  <si>
    <t>не более 12.5 %</t>
  </si>
  <si>
    <t>Снижение количества срабатывания сигнализаций, нарушений НТР, НАК</t>
  </si>
  <si>
    <t>сигнализации - 10500 шт.
НТР - не более 6533 шт./кв.
НАК - не более 52 шт./кв.</t>
  </si>
  <si>
    <t>УМД в зоне ответственности производства не более 1 %</t>
  </si>
  <si>
    <t>не более 1 %</t>
  </si>
  <si>
    <t>Минимизация УМД</t>
  </si>
  <si>
    <t>Эксперт</t>
  </si>
  <si>
    <t>Общество с ограниченной ответственностью "Томскнефтехим"/Направление Директора по управлению персоналом</t>
  </si>
  <si>
    <t>Реализация планов обучения КУ и УиЛП</t>
  </si>
  <si>
    <t>NPS 75%, посещаемость - 85% (учитываются все программы плана на 2025 г.), успеваемость - 85%. Выполнено более 90% плана.</t>
  </si>
  <si>
    <t>Директор по управлению персоналом</t>
  </si>
  <si>
    <t>Поддержка процессов ЕКЭ</t>
  </si>
  <si>
    <t>Реализация не менее 95% планов проф. подготовки, сформированных по итогам ЕКЭ ИТР и рабочих.</t>
  </si>
  <si>
    <t>Подготовка производственных наставников</t>
  </si>
  <si>
    <t>Подготовка ПН в соответствии с планом</t>
  </si>
  <si>
    <t>Контроль целевого исполнения бюджета на программы обучения (без учета ВГО)</t>
  </si>
  <si>
    <t>фактические расходы = сумма по утвержденным локальным программам на обучение  в БП 2025</t>
  </si>
  <si>
    <t>% закрытия обязательных законодательных допусков (категория Обучение)</t>
  </si>
  <si>
    <t>не менее 95 %</t>
  </si>
  <si>
    <t>Организация обучения по программам СИБУРИНТЕХ</t>
  </si>
  <si>
    <t>Проведение запланированных программ обучения, не менее  90% от плана отчетного периода</t>
  </si>
  <si>
    <t>Организация ОЗО, в том числе планового локального обучения на предприятии</t>
  </si>
  <si>
    <t>Проведение запланированных программ обучения, не менее 90% от плана отчетного периода</t>
  </si>
  <si>
    <t>Ведущий специалист</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</si>
  <si>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планирования и контроля</t>
  </si>
  <si>
    <t>Повышение уровня ОТиПБ</t>
  </si>
  <si>
    <t>1. LTIF = 0
2. Вовлеченность в чемпионат «по Безопасности труда» не менее 90%
3. рейтинг на кв - не менее 15 (ПАБ/ОТ)+ не менее 1 записи по Экологии в год +не менее 1 записи по ПБ в неделю</t>
  </si>
  <si>
    <t>Начальник отдела</t>
  </si>
  <si>
    <t xml:space="preserve"> Подготовка экспертных заключений (ЭЗ) по проводимым ТП в установленные сроки</t>
  </si>
  <si>
    <t>ЭЗ подготовлено-количество просроченных дней выдачи ЭЗ не превышает 2 раб. дня, без учета времени на предоставление доп. документов по дозапросу.</t>
  </si>
  <si>
    <t xml:space="preserve"> Обеспечение проверки смет/калькуляций от ПО на ремонт, в рамках ППР</t>
  </si>
  <si>
    <t>Средний срок проверки смет/калькуляций, предоставленных подрядчиками (ПО)на текущий, капитальный ремонт (в рамках заключенных контрактов), на дополнительные работы в рамках ППР, АН и др. по факту, с даты принятия в работу, без учета времени на устранение подразделениями, подрядчиками замечаний- 3 рабочих дня.</t>
  </si>
  <si>
    <t xml:space="preserve"> Своевременная подготовка смет (ЛСР) на 2026 и 2027 год (ППОФ-2027) в устан.срок</t>
  </si>
  <si>
    <t>ЛСР подготовлены по всем поданным дефектным ведомостям, проектам в установленные сроки.</t>
  </si>
  <si>
    <t xml:space="preserve"> Своевременная подготовка документации в части ценообр-я к тендеру, договору</t>
  </si>
  <si>
    <t>Документы в части ценообразования (ц/о):Прил.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</si>
  <si>
    <t xml:space="preserve"> Обеспечение своевременной проверки комплекта актов КС-2, КС-3</t>
  </si>
  <si>
    <t>Средний срок проверки комплекта актов по факту, с даты принятия в работу, без учета времени на устранение подразделениями и Подрядными организациями замечаний - 2 рабочих дня.</t>
  </si>
  <si>
    <t>Общество с ограниченной ответственностью "Томскнефтехим"/Направление Главного инженера/Направление заместителя главного инженера/Управление материально-техническим обеспечением производства/Отдел закупок материально-технических ресурсов и реализации невостребованного имущества</t>
  </si>
  <si>
    <t>Выполнение целей РК</t>
  </si>
  <si>
    <t>1. Достижение целевого уровня запасов РК на конец 2025 года не более 5,4 млрд руб. (без уч. КБ ИП)
2. Достижение целевого показателя по оборачиваемости МРП СУОФ в 2025 году не более 90 дней
3. Достижение целевого показателя по объему избыточной закупки по Предприятию не более 5% по категории МРП СУОФ</t>
  </si>
  <si>
    <t>Руководитель управления</t>
  </si>
  <si>
    <t>Общество с ограниченной ответственностью "Томскнефтехим"/Направление Главного инженера/Направление заместителя главного инженера/Управление материально-техническим обеспечением производства</t>
  </si>
  <si>
    <t>Выполнение планов Воронок Рисков</t>
  </si>
  <si>
    <t>Обеспечить 100% исполнение планов митигации рисков поставки МТР в Воронках Рисков ФОП-ФЭП
(в зоне ответственности ФОП)</t>
  </si>
  <si>
    <t>Управление рабочим капиталом в зоне ответственности</t>
  </si>
  <si>
    <t>1) Оборачиваемость МРП СУОФ текущего года поставки в ЗО, цель - 90 дней
2) Объем избыточной закупки МРП в 2025 г, цель - 0 руб.</t>
  </si>
  <si>
    <t>Достижение целевых показателей OTIF по всем позициям ОиМ</t>
  </si>
  <si>
    <t>не менее 85 %</t>
  </si>
  <si>
    <t>Достижение нулевого УМД</t>
  </si>
  <si>
    <t>не более 0.1 млн</t>
  </si>
  <si>
    <t>Дисциплина, актуальность данных и качество выполнения решений/поручений в рамках</t>
  </si>
  <si>
    <t>Обеспечена дисциплина, актуальность данных и качество выполнения решений/поручений в зоне ответственности в рамках ритуалов и инструментов ОиМ, подтвержденная "хозяевами" инструментов:
1.  Данные в зоне ФОП в Воронках Рисков.
3. Радар Крупных Сделок.
4. Подготовка Чек-Листов по Крупным Сделкам.</t>
  </si>
  <si>
    <t>Своевременность контрактации не менее 80% по итогам каждого квартала</t>
  </si>
  <si>
    <t>не менее 80 %</t>
  </si>
  <si>
    <t>Специалист</t>
  </si>
  <si>
    <t>Общество с ограниченной ответственностью "Томскнефтехим"/Направление Главного инженера/Направление заместителя главного инженера/Управление материально-техническим обеспечением производства/Складское хозяйство</t>
  </si>
  <si>
    <t>обеспечение паспортами/сертификатами качества по поставкам хим. сырья</t>
  </si>
  <si>
    <t>Начальник складского хозяйства</t>
  </si>
  <si>
    <t>Эффективность+</t>
  </si>
  <si>
    <t>Своевременность отражения поступления МТР в системе SAP в срок не более 3 р. д.</t>
  </si>
  <si>
    <t>не более 3 раб. дней</t>
  </si>
  <si>
    <t>Обеспечить своевременность приемки МТР в системе SAP Не более 4.5 р.д.</t>
  </si>
  <si>
    <t>Проведение контактов по безопасности, в т.ч."СТОП-час"</t>
  </si>
  <si>
    <t>не менее 3 штук</t>
  </si>
  <si>
    <t>Недопущение LTIF в зоне ответственности: Работа с подрядчиками, проведелие ПАБ,</t>
  </si>
  <si>
    <t>Полное и своевременное отражение ПФ в ИС SAP</t>
  </si>
  <si>
    <t>ПФ принятый на целевой склад хранения в рамках проекта "Тотальный учет" поставлен на количественный учет в ИС SAP в соответствии с данными перечня СУОФ</t>
  </si>
  <si>
    <t>Отсутствие нарушение фин. дисциплины со стороны СХ на конец фин. периода</t>
  </si>
  <si>
    <t>не более 0 штук</t>
  </si>
  <si>
    <t>Направление по почте ПБД в адрес КА не позднее 15рд с даты получения оригиналов</t>
  </si>
  <si>
    <t>не менее 100 %</t>
  </si>
  <si>
    <t>Направ. запросов в тикеты в теч. 2рд с момента получ. ПБД для своеврем отраж ПМ</t>
  </si>
  <si>
    <t>не более 2 дней</t>
  </si>
  <si>
    <t>Достижение целевых показателей по результативности в чемпионате по безопасности</t>
  </si>
  <si>
    <t>не менее 3 штук</t>
  </si>
  <si>
    <t>Достижение целевых показателей по результативности в чемпионате по УМШ</t>
  </si>
  <si>
    <t>не менее 1 штук</t>
  </si>
  <si>
    <t>Вовлечь всех сотрудников ЦСХ в процесс УМШ Не менее 100 %</t>
  </si>
  <si>
    <t>Внес.срок. годн. МТР в партию пост. при оприход. ТМЦ группы 012*, 013*, 113*</t>
  </si>
  <si>
    <t>4. Обеспечить корректное системное заполнение сроков годности по группам МТР Не менее 100 %</t>
  </si>
  <si>
    <t>Инженер по метрологии</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</si>
  <si>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полипропилена/Метрологическая лаборатория</t>
  </si>
  <si>
    <t>Повышение эффективности рабочих мест.</t>
  </si>
  <si>
    <t>1. Содержание рабочего места по 5С не менее 20 балов.</t>
  </si>
  <si>
    <t>Начальник лаборатории</t>
  </si>
  <si>
    <t>ОТиПБ</t>
  </si>
  <si>
    <t>1. LTIF = 0
2. Создание 10 записей  ПАБ.
3. Вовлеченность в чемпионат по безопасности.</t>
  </si>
  <si>
    <t>Исполнение ТОиР</t>
  </si>
  <si>
    <t>1. Выполнение графиков поверки(калибровки) за квартал не менее 95 %.
2. Выполнение внутреннего контроля качества поверочных работ по оптико-физическим измерениям 1 шт.
3. Безошибочное внесение сведений о поверке в Аршин.
4. Подтверждение компетентности по поверке СИ.
5. Актуализация НД ежемесячно согласно ИУС.
6. Проведение метрологического надзора по Энергопроизводству  согласно утвержденного графика.</t>
  </si>
  <si>
    <t>Реализация производственного плана Не менее 426.1 тыс. тн</t>
  </si>
  <si>
    <t>1. Выполнение графиков поверки(калибровки) за квартал не менее 95 %.
2. Выполнение внутреннего контроля качества калибровочных работ по измерениям элементы измерительных систем 1 шт.
3. Безошибочное внесение сведений о поверке в Аршин.
4. Подтверждение компетентности по поверке СИ.</t>
  </si>
  <si>
    <t>Химик</t>
  </si>
  <si>
    <t>Общество с ограниченной ответственностью "Томскнефтехим"/Служба главного технолога/Центральная заводская лаборатория/Смена 1</t>
  </si>
  <si>
    <t>Рациональное использование ресурсов ЦЗЛ</t>
  </si>
  <si>
    <t>Реактивы, материалы, посуда, оборудование используются по действующим методикам и правилам ЦЗЛ, вносятся предложения по улучшениям процессов</t>
  </si>
  <si>
    <t>Начальник центральной заводской лаборатории</t>
  </si>
  <si>
    <t>Общество с ограниченной ответственностью "Томскнефтехим"/Служба главного технолога/Центральная заводская лаборатория</t>
  </si>
  <si>
    <t>Развитие функциональных компетенций</t>
  </si>
  <si>
    <t>Прохождение обучения, получение допусков на вновь вводимом оборудовании.</t>
  </si>
  <si>
    <t>Развитие технических компетенций</t>
  </si>
  <si>
    <t>100% выполнение плана по универсализации</t>
  </si>
  <si>
    <t>Подача идей УМШ</t>
  </si>
  <si>
    <t>не менее 1 шт</t>
  </si>
  <si>
    <t>Развитие системы менеджмента</t>
  </si>
  <si>
    <t>Знать и соблюдать РК ЦЗЛ. Отсутствие замечаний по процедурам, действующим в ЦЗЛ.</t>
  </si>
  <si>
    <t>Вовлеченность в Чемпионаты по ОТ, Экологии</t>
  </si>
  <si>
    <t>С начала каждого месяца проводить не менее 1 ПАБ по ОТ, не менее 5 ЛО по ОТ( с подтвержденным средним риском за 3кв. 2 ЛО).  Экология: не менее 5 ЛО, не менее 1 экомероприятия.</t>
  </si>
  <si>
    <t>Обеспечение выполнения аналитконтроля в зоне ответственности</t>
  </si>
  <si>
    <t>100% выполнение ГАК, утвержденных ОПИ, согласованных заявок</t>
  </si>
  <si>
    <t>Безопасное проведение ОР в зоне функционала</t>
  </si>
  <si>
    <t>Безопасное проведение лабораторных работ, оперативная подготовка и передача пробоотборной тары, оперативная передача данных заказчику</t>
  </si>
  <si>
    <t xml:space="preserve"> Отсутствие претензий от внутренних заказчиков: оперативность и качество сервиса</t>
  </si>
  <si>
    <t>"0" подтвержденных претензий по качеству измерений и оперативности выполнения измерений</t>
  </si>
  <si>
    <t>Реализация программы развития ПСС в ЦЗЛ на 2026г.</t>
  </si>
  <si>
    <t>Выполнение плана работ по ПСС, запланированных в 3 квартале 2026</t>
  </si>
  <si>
    <t>Подготовка оператора ТУ УПП и ДПП на ОТУ, КиПС к проверке знаний требований ОТ</t>
  </si>
  <si>
    <t>не менее 1 штатная един</t>
  </si>
  <si>
    <t>Наставничество, передача ключевой экспертизы вновь принятым сотрудникам не</t>
  </si>
  <si>
    <t>не менее 1 шт. единица</t>
  </si>
  <si>
    <t>Индекс компетентности %</t>
  </si>
  <si>
    <t>не менее 90 %</t>
  </si>
  <si>
    <t>100% посещение адаптационных курсов для вновь принятых сотрудников на ППЭ</t>
  </si>
  <si>
    <t>100% посещение адаптационных курсов для вновь принятых сотрудников</t>
  </si>
  <si>
    <t>формирование ежемесячного графика наработки концентратов/композиций</t>
  </si>
  <si>
    <t>выполнение графика</t>
  </si>
  <si>
    <t>LTIF = 0,
ИА 1,2=0</t>
  </si>
  <si>
    <t>Минимизация аварийности производственных объектов (ИА1)</t>
  </si>
  <si>
    <t>Управление персоналом</t>
  </si>
  <si>
    <t>Сдача аттестации по ОТ вновь принятых сотрудников в срок не более одного месяца</t>
  </si>
  <si>
    <t>УМД в ЗО, млн.руб</t>
  </si>
  <si>
    <t>не более 0 млн. руб</t>
  </si>
  <si>
    <t>Инженер</t>
  </si>
  <si>
    <t>Общество с ограниченной ответственностью "Томскнефтехим"/Направление Директора по производству/Производство полипропилена/Смена 2</t>
  </si>
  <si>
    <t>Доля НД непрошедших проверки РПО из-за крит замеч. по отнош. к общ.кол. НД</t>
  </si>
  <si>
    <t>не более 10 %</t>
  </si>
  <si>
    <t>сигнализации - не более 18600
НТР - не более  665 шт./кв.
НАК - не более 287 шт./кв.</t>
  </si>
  <si>
    <t>Выполнение целей стратегии устойчивого развития</t>
  </si>
  <si>
    <t>1. Выбросы ЗВ в атмосферу не более 0,090 тыс.тн
2. Сбросы ЗВ в стоки не более 0,018 тыс. тн
3. Отходы на размещение не более 0,061 тыс. тн.</t>
  </si>
  <si>
    <t>не более 0 млн.руб</t>
  </si>
  <si>
    <t>Управление аварийностью производственных объектов</t>
  </si>
  <si>
    <t>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</si>
  <si>
    <t>Управление травматизмом (LTIF)</t>
  </si>
  <si>
    <t>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t>
  </si>
  <si>
    <t>Общество с ограниченной ответственностью "Томскнефтехим"/Служба главного технолога/Центральная заводская лаборатория/Смена 4</t>
  </si>
  <si>
    <t>не менее 1 шт.</t>
  </si>
  <si>
    <t>Выполнение планов по сменам</t>
  </si>
  <si>
    <t>Прохождение обучения, получение допусков на вновь вводимом оборудовании. Обучение в рамках программ СИБУРИНТЕХ</t>
  </si>
  <si>
    <t>С начала каждого месяца проводить:
ОТ: не менее 1 ПАБ по ОТ;                           не менее 5  ЛО по ОТ (с подтвержденным средним риском за 3 кв. 2 ЛО)
Экология: не менее 5 ЛО по Экологии, не менее 1 экомероприятия</t>
  </si>
  <si>
    <t>Отсутствие претензий от внутр.заказчиков по оперативности и качеству испытаний</t>
  </si>
  <si>
    <t>«0» подтвержденных претензий по качеству измерений и оперативности выполнения измерений</t>
  </si>
  <si>
    <t>Общество с ограниченной ответственностью "Томскнефтехим"/Служба главного технолога/Центральная заводская лаборатория/Смена 3</t>
  </si>
  <si>
    <t>Прохождение обучения, получение допусков на вновь вводимом оборудовании. Обучение в рамках программ СИБУРИНТЕХ. Выполнение плана ИПР.</t>
  </si>
  <si>
    <t>С начала каждого месяца проводить:
ОТ: не менее 1 ПАБ по ОТ; не менее 5  ЛО по ОТ (с подтвержденным средним риском за 3 кв. 2 ЛО)
Экология: не менее 5 ЛО по Экологии, не менее 1 экомероприятия</t>
  </si>
  <si>
    <t>Отсутствие претензий от внутренних заказчиков по оперативности</t>
  </si>
  <si>
    <t>Обеспечение выполнения аналитического контроля в зоне ответственности</t>
  </si>
  <si>
    <t>Ведущий инженер-химик</t>
  </si>
  <si>
    <t>Применение ИИ в ЦЗЛ</t>
  </si>
  <si>
    <t>Генерация и реализация не менее 2-х процессов ЦЗЛ через ИИ</t>
  </si>
  <si>
    <t>Внедрение и обеспечение приживаемости инструментов ИИ</t>
  </si>
  <si>
    <t>Повышение эффективности работы ЦЗЛ</t>
  </si>
  <si>
    <t>Актуализация  маршрутов МО, организация проведение МО по новым маршрутам. Проведение мониторинга проведения МО ежемесячно</t>
  </si>
  <si>
    <t>Развитие системы менеджмента ЦЗЛ (качество и своевременностпроводимых испытаний)</t>
  </si>
  <si>
    <t>реализация плана по повышению эффективности СМ на 2026г</t>
  </si>
  <si>
    <t>Актуализация  процесса по получению допуска водителей-экспедиторов в соответствии со СР/4.01"Инструкция по безопасному продвижению транспортных средств и пешеходов" в Инструкции по взаимодействию при обращении пробоотборников с газовыми пробами между ЦЗЛ, Сервис-Интегратор, Производствами ТНХ.</t>
  </si>
  <si>
    <t>Успешное проведение ОР 2026 в зоне ответственности</t>
  </si>
  <si>
    <t>100% выполнение ГАК в зоне ответственности, организация оперативной доставки проб и выдачи результатов</t>
  </si>
  <si>
    <t>Выполнение мероприятий ДК ЦЗЛ</t>
  </si>
  <si>
    <t>Координация работ по ДК,  статусы выполнения мероприятий отслеживаются ежемесячно. Запланированные мероприятия выполнены в полном объеме.</t>
  </si>
  <si>
    <t>Развитие Производственной Системы и компетенций команды</t>
  </si>
  <si>
    <t>Реализация Программы развития ПСС на 2026 г</t>
  </si>
  <si>
    <t>Координация работ по ПСС, составление отчета</t>
  </si>
  <si>
    <t>Поддержание Культуры безопасности в ЦЗЛ через системные ЛО, ПАБ и 100% вовлечен</t>
  </si>
  <si>
    <t>Отсутствие травматизма</t>
  </si>
  <si>
    <t>Проект ТИБА- организация выполнение добавленного объема текущим ресурсом</t>
  </si>
  <si>
    <t>Верификация методики на текущем продукте, организация рабочего место</t>
  </si>
  <si>
    <t>Развитие ЦЗЛ: модернизация оборудования, верификация методов</t>
  </si>
  <si>
    <t>Внедрение оборудования: хроматограф (СЭК), спектрометр (ПП, ПЭ), титратора Фишер (ПП нефрас) Верификация и валидация методов: "ТИБА. Газохроматографический метод измерений состава по продуктам разложения» и МИ 1925 ", Тпл медицинской марки пэ,  РД 52.24.403 определение кальция в воде</t>
  </si>
  <si>
    <t>Инженер по подготовке производства</t>
  </si>
  <si>
    <t>Общество с ограниченной ответственностью "Томскнефтехим"/Направление Директора по производству/Производство полипропилена/Установка полимеризации пропилена</t>
  </si>
  <si>
    <t>Общество с ограниченной ответственностью "Томскнефтехим"/Направление Директора по производству/Производство полипропилена</t>
  </si>
  <si>
    <t xml:space="preserve"> УМД в зоне ответственности не более 0 млн.руб</t>
  </si>
  <si>
    <t>Реализация мероприятий дорожной карты по 5С</t>
  </si>
  <si>
    <t>Количество сформированных НД и не прошедших проверку РПО с допуском к работе</t>
  </si>
  <si>
    <t>Доля выполненных работ (планово-предупредительного ремонта) из запланированных н</t>
  </si>
  <si>
    <t>1. Выбросы ЗВ в атмосферу не более 0,080 тыс.тн
2. Сбросы ЗВ в стоки не более 25 тыс. тн
3. Отходы на размещение не более 0,024 тыс. тн.</t>
  </si>
  <si>
    <t>Старший химик</t>
  </si>
  <si>
    <t>Отсутствие замечаний по процессам и процедурам РК</t>
  </si>
  <si>
    <t>Знание РК, выполнение требований процессов и процедур в зоне ответственности.</t>
  </si>
  <si>
    <t>Формирование ПИ в ЛИМС, передача заказчику.</t>
  </si>
  <si>
    <t>Своевременное оформление протоколов испытаний заказчику, с отсутствием замечаний по оформлению.</t>
  </si>
  <si>
    <t>Развитие компетенций наставляемых (подготовка стажера в ОА)</t>
  </si>
  <si>
    <t>Освоение стажером (Кузнецова Ю.) запланированного объема методик</t>
  </si>
  <si>
    <t>Качественное и оперативное проведение испытаний и оформление протоколов</t>
  </si>
  <si>
    <t>Обеспечить отсутствие претензий по качеству лабораторного сервиса со стороны внутренних заказчиков, своевременно (в течение 5 рабочих смен) оформлять протоколы</t>
  </si>
  <si>
    <t>Анализ потребности в реактивах и материалах, создание заявки на приобретение на 2027 год в системе SAP. Контроль сроков и качества поставок реактивов.</t>
  </si>
  <si>
    <t>Проведение проверок методов испытаний с целью обеспечения качества.</t>
  </si>
  <si>
    <t>не менее 3 шт</t>
  </si>
  <si>
    <t>Реализация программы развития ПСС</t>
  </si>
  <si>
    <t>Выполнение запланированных мероприятий по ПСС на 3 кв.2026.</t>
  </si>
  <si>
    <t>Реализация плана по повышению эффективности СМ на 3 кв.2026 г</t>
  </si>
  <si>
    <t>Поддержание Культуры безопасности и экологичности в подразделении</t>
  </si>
  <si>
    <t>С начала каждого месяца проводить не менее 1 ПАБ по ОТ,  не менее 5  ЛО по ОТ (из них с подтвержденным средним риском 2 ЛО за 3 кв. ). Провести не менее 5 ЛО по Экологии, не менее 1 экомероприятия.</t>
  </si>
  <si>
    <t>01.07.2026 - 31.07.2026</t>
  </si>
  <si>
    <t>Снижение стоимости рабочего капитала, в отношении остатков на складе после реали</t>
  </si>
  <si>
    <t>Недопущение сверхнормативного образования НВИ после окончания реализации проектов в зоне ответственности УКС</t>
  </si>
  <si>
    <t>1. LTIF = 0
2. Вовлеченность в чемпионат «по Безопасности труда» не менее 90%
3. рейтинг на кв - не менее 15 (ПАБ/ОТ)+ не менее 1 записи по Экологии +не менее 1 записи по ПБ в неделю</t>
  </si>
  <si>
    <t>Повышение профессиональных и поведенческих компетенций по функциональным направл</t>
  </si>
  <si>
    <t>Прохождение обучений по программам запланированных в ЛК</t>
  </si>
  <si>
    <t>Качество взаимодействия внутри компании. Взаимодействие между отделами УКС и сме</t>
  </si>
  <si>
    <t>Взаимодействие всегда носит конструктивный характер. Оцениваемый периодически выходит к другим подразделениям с предложениями и инициативами. Процесс введения новых методик/правил взаимодействия осуществляется очень быстро. Оцениваемый понимает и поддерживает интересы других подразделений, если они соответствуют корпоративным интересам. Оцениваемый принимает конструктивное и активное участиев обсуждении и решении вопросов предприятий, инициативно делится профессиональным опытом и предлагает новые прогрессивные подходы к взаимодействию и повышению эффективности. Инициативы/формы, разработанные оцениваемым сотрудником, становятся эталоном для других подразделений. Оцениваемый активно искал обратной связи от других подразделений предприятия и активно участвовал в предоставлении обратной связи другим подразделениям.</t>
  </si>
  <si>
    <t>Обеспечение своевременности формирования РВ по проектам СУОФ</t>
  </si>
  <si>
    <t>не более 3 день</t>
  </si>
  <si>
    <t>Своевременность и полнота фор-я зая-к на МТР в SAP для реал-и пр-в ППОФ, ЦПП, НБ</t>
  </si>
  <si>
    <t>% заведенных заявок на закуп МТР от общей потребности к закупу согласно спецификаций. Сравнительный анализ заказных Спецификаций, Разделительных ведомостей иОтчет из SAP по компонентам. Отсутствие замечаний со стороны кураторов проектов УКС.</t>
  </si>
  <si>
    <t>Своевременное формирование отчетности по установленным регламентам</t>
  </si>
  <si>
    <t>Формирование отчетности в зоне ответственности в соответствии с установленными требованиями и сроками</t>
  </si>
  <si>
    <t>Обеспечение своевременности поставки МТР (мониторинг сроков поставки по заявкам)</t>
  </si>
  <si>
    <t>Обеспечение своевременности поставки МТР с учетом требуемых сроков реализации проектов капитального строительства. Информирование кураторов по срокам поставки МТР и осуществляемым изменениям. Мониторинг поставки МТР. Все изменения согласованы с кураторами.</t>
  </si>
  <si>
    <t>Ведущий инженер</t>
  </si>
  <si>
    <t>Общество с ограниченной ответственностью "Томскнефтехим"/Направление Директора по производству/Энергопроизводство/Установка теплопароснабжения</t>
  </si>
  <si>
    <t>Успешное проведение остановочного ремонта.</t>
  </si>
  <si>
    <t>- Выполнение перечня работ по УТПС, согласно графика 4-го уровня.
- Безопасное проведение работ.</t>
  </si>
  <si>
    <t>Директор по производству</t>
  </si>
  <si>
    <t>Общество с ограниченной ответственностью "Томскнефтехим"/Направление Директора по производству</t>
  </si>
  <si>
    <t>Выполнение целей стратегии устойчивого развития, %</t>
  </si>
  <si>
    <t>- выбросы ЗВ в атмосферу не более 0,934
- сбросы ЗВ в стоки не более 0,3
- отходы на размещение не более 0,166</t>
  </si>
  <si>
    <t>Снижение количества нарушений НТР</t>
  </si>
  <si>
    <t>не более 638</t>
  </si>
  <si>
    <t>Снижение количества НАК</t>
  </si>
  <si>
    <t>не более 120</t>
  </si>
  <si>
    <t>Эффект от мероприятий менеджмента</t>
  </si>
  <si>
    <t>не менее 0.88 млн.руб</t>
  </si>
  <si>
    <t>Значение ИЭозх</t>
  </si>
  <si>
    <t>не более 119.28 %</t>
  </si>
  <si>
    <t>Управление травматизмом (LTIF) и техногенностью ИА 1, 2</t>
  </si>
  <si>
    <t>- LTIF– 0. 0 травм в зоне ответственности СтМ
- ИА 1, 2 – 0.
- Количество просроченных допусков по ЭП не более 5 %.
- Участие в Чемпионате по безопасности не менее 95 % персонала ЭП по всем инструментам: ПАБ, Журнал ОТ и ПБ;
- Срок расследования происшествий в зоне ответственности не более 30 дней;
- Качество НД - ежемесячные проверки РПО ИТР производств в объеме не менее 5 % нарядов-допусков в онлайн формате (проверки в системе ЦНД) и не менее 5 % натурных проверок от общего количества закрытых нарядов-допусков за месяц.
- Не менее 4 проведённых ПАБ в месяц на 1 ИТР</t>
  </si>
  <si>
    <t>УМД в ЗО</t>
  </si>
  <si>
    <t>не более 0 млн.руб.</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</si>
  <si>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изготовлению/Отдел технического контроля</t>
  </si>
  <si>
    <t>УМД в ЗО РП = 0 не более 0 Случаев</t>
  </si>
  <si>
    <t>не более 0 шт.</t>
  </si>
  <si>
    <t>Качество ТОиР</t>
  </si>
  <si>
    <t>1.Обеспечение выполнения изготовление и ремонтов согласно НТД
2. Количество претензий полученных по вине ОТК, со стороны заказчика к качеству продукции за отчетный период- 0 случаев
3. Количество претензий полученных по вине ОТК, по срокам выдачи документации за отчетный период- 0 случаев</t>
  </si>
  <si>
    <t xml:space="preserve"> LTIF = 0</t>
  </si>
  <si>
    <t>1. Вовлеченность в чемпионат по безопасности РП  - 100%
2. Вовлеченность ИТР в проведение ПАБ 100%
3. Отсутствуют просроченные id - допуска в матрице положенности по РП не более 1%</t>
  </si>
  <si>
    <t>Менеджер</t>
  </si>
  <si>
    <t>Достижение экономического эффекта 6 751,25 тыс.руб. по программе "Эффективность +" за 9 месяцев 2026 г.:
1. Вывод 1 ед. погрузчика (7 тн.) с 01.04.2026г. из договора аренды погрузчиков с ООО "Форклифт"-Экономический эффект ОФ, тыс.руб- 331,54
Достижение экономического эффекта 6 751,25 тыс.руб. по программе "Эффективность +" за 9 месяцев 2026 г.:
1.Вывод 1 ед. погрузчика (7 тн.) с 01.04.2026г. из договора аренды погрузчиков с ООО "Форклифт"-Экономический эффект ОФ, тыс.руб-331,54
2. Перенос даты вывода 1 FTE из Складского Хозяйства  с 01.01.2026г. на 01.10.2026г.-Экономический эффект ОФ, тыс.руб-1 262,89
3. 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
5.Продажа ж.д. техники (тепловоз)-Экономический эффект ОФ, тыс.руб-2 372,87
6.Продажа неиспользуемого транспорта-Экономический эффект ОФ, тыс.руб-648,00
3.Снижение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
5.Продажа ж.д. техники (тепловоз)- Экономический эффект ОФ, тыс.руб-2 372,87
6.Продажа неиспользуемого транспорта-Экономический эффект ОФ, тыс.руб-648,00</t>
  </si>
  <si>
    <t>Достижение целевых показателей по Своевременности Контрактации</t>
  </si>
  <si>
    <t>Повышение эффективности внутренних процессов функции</t>
  </si>
  <si>
    <t>Организация работы с запасами</t>
  </si>
  <si>
    <t>Обеспечение бесперебойной работы предприятий</t>
  </si>
  <si>
    <t>Достижение целевых показателей OTIF по ОР</t>
  </si>
  <si>
    <t>не менее 99 %</t>
  </si>
  <si>
    <t>OTIF по КБ ИП (КВИП): &gt;= 90%</t>
  </si>
  <si>
    <t>Инженер-механик</t>
  </si>
  <si>
    <t>Общество с ограниченной ответственностью "Томскнефтехим"/Направление Первого заместителя Генерального  директора – Главного инженера/Служба управления основными фондами/Отдел технического обслуживания и ремонтов/Техническое обслуживание и ремонты Производства углеводородов и сырья для пиролиза</t>
  </si>
  <si>
    <t>Подготовка к ЭПБ</t>
  </si>
  <si>
    <t>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</si>
  <si>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ремонтов/Техническое обслуживание и ремонты Производства углеводородов и сырья для пиролиза</t>
  </si>
  <si>
    <t>Провести перед ОР 2026 ЧТО у ГПМ :кран козловой рег.№ 4190;кран КМ рег.4190</t>
  </si>
  <si>
    <t>провести ЧТО у ГПМ :кран козловой рег.№  3276;кран КМ рег.4190 в срок до 05.08.2026</t>
  </si>
  <si>
    <t>Управление ремонтом оборудования</t>
  </si>
  <si>
    <t>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Приемка оборудования в/из ремонта, вкл. чистоту раб. места и ЕО на которой проводилось ТОиР;
1.4.Все паспорта/формуляры после ремонта заполнены, ИД разработана, принята ОТН;
1.5.Создавать заказы на корректно созданные сообщения.</t>
  </si>
  <si>
    <t>LTIF – 0</t>
  </si>
  <si>
    <t>Получены все допуски
Внесение не менее 15 ПАБ в квартал;
У КА проверка допусков- регулярно проводить допуск КА перед началом работ ;</t>
  </si>
  <si>
    <t>Проведение ОР - 2026 г. по Энергопроизводству</t>
  </si>
  <si>
    <t>Выполнение протокольных мероприятий по подготовке к ОР в 2026г, проведение ОР-2026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ППР- 2025г);
- Цель выполнена частично: 75%-94% мероприятий по протоколам Штабов в зоне ответственности выполнены в срок (источник – ДБ готовности к ППР-2025г);
- Цель не выполнена: ≤75% мероприятий по протоколам Штабов в зоне ответственности выполнены в срок (источник – ДБ готовности к ППР-2025г);
Расчет КПЭ выполнение в срок работ согласно графика 4-го уровня по Энергопроизводству:
- Цель выполнена: 100% работ выполнено в срок согласно графика (отчёт ОР-2026);
- Цель выполнена частично: 75%-99% работ выполнено в срок согласно графика (отчёт ОР-2026);
- Цель не выполнена: ≤75% работ выполнено в срок согласно графика (отчёт ОР-2026);</t>
  </si>
  <si>
    <t>Соблюдение финансовой и исполнительной дисциплины</t>
  </si>
  <si>
    <t>График расчета заработной платы дневного персонала производства.</t>
  </si>
  <si>
    <t>Качество планирования</t>
  </si>
  <si>
    <t>Качество ведения документооборота</t>
  </si>
  <si>
    <t>Своевременный пересмотр документации производства</t>
  </si>
  <si>
    <t>Инженер по качеству испытаний</t>
  </si>
  <si>
    <t>Подтверждение компетентности при аудите GMP</t>
  </si>
  <si>
    <t>Подготовка к аудиту, координация работ, отсутствие замечаний по процедурам ЦЗЛ</t>
  </si>
  <si>
    <t>Выполнение мероприятий по помещениям СЭК. Обучение в ЛК по СРР</t>
  </si>
  <si>
    <t>Эффективное использование программы ЛИМС</t>
  </si>
  <si>
    <t>Организация  работ по доработке Протокола испытаний в области аккредитации. Отсутствие замечаний по процедурам</t>
  </si>
  <si>
    <t>Развитие технических и функциональных компетенций персонала, в т.ч. по СМ</t>
  </si>
  <si>
    <t>Техническое обучение, проверка знаний, проработка кейсов по несоответствующим работам</t>
  </si>
  <si>
    <t>Развитие Системы менеджмента. Повышение результативности СМ</t>
  </si>
  <si>
    <t xml:space="preserve">  100% выполнение плана по повышению СМ</t>
  </si>
  <si>
    <t>Вовлеченность сотрудников ЦЗЛ на уровне не ниже 100% - ЧБ, Экологии</t>
  </si>
  <si>
    <t>Автоматизация результатов измерений аутсорсинговой лабораторий</t>
  </si>
  <si>
    <t>Результаты вносятся КА в систему ЛИМС, производство оперативно получает результат измерений</t>
  </si>
  <si>
    <t>Сформирован  ГАК на период пуска и стабильной работы  с учетом рисков по качеству и трудозатратам ЦЗЛ</t>
  </si>
  <si>
    <t>Инженер по автоматизации</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</si>
  <si>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ремонтов/Техническое обслуживание и ремонты Производства полипропилена</t>
  </si>
  <si>
    <t>Управление ремонтом -Автоматизация ПП</t>
  </si>
  <si>
    <t>Внесение  в БДО новых ЕО, в рамках реализации проекта АСУТП и ЛСУ экструдера Р2.2</t>
  </si>
  <si>
    <t>Подготовка к ОР - 2026г</t>
  </si>
  <si>
    <t>1.Выполнение протокольных мероприятий по подготовке к ОР в 2026г в своей зоне ответственности.
2. ТМЦ необходимые для проведения ремонта разнесены до остановочного ремонта, с составлением акта приема-передачи с ВИП установки.</t>
  </si>
  <si>
    <t>Проведение ОР - 2026г</t>
  </si>
  <si>
    <t>Не менее 95% соласно критериям оценки качества проведенного ОР:
1. 100% выполнение работ, влияющих на соблюдение межремонтного интервала
9. Выполнение объема работ критического пути на 100%
10. Отсутствие потери ВПР в течение  20 суток после ОР.</t>
  </si>
  <si>
    <t>Эталонное проведение ОР</t>
  </si>
  <si>
    <t>80% внеплановых работ выполнено за счет ПФ
Вся документация сформирована до пуска производств</t>
  </si>
  <si>
    <t>УМД</t>
  </si>
  <si>
    <t>2. Отсутствует отставание по расследованиям;
3. Отсутствие невыполненных рекомендаций;</t>
  </si>
  <si>
    <t>5.1. Отсутствуют помещения на производствам с хранящимися ТМЦ, исключение – перечень определенных протоколом в рамках обсуждения на встречах по РК. В к. 120 весь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</si>
  <si>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LTIF - 0</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</si>
  <si>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работам ПО.</t>
  </si>
  <si>
    <t>1.Все заказы по дефектам актов отбраковки, не требующим техперевооружения сформированы, внесены ТМЦ до начала ОР.
2.Направлены паспорта и акты отбраковки в адрес ПО, для составления технологии сварки до начала ОР.
3.Выявлены акты отбраковки, требующие разработки проекта и переданы производству ПП.</t>
  </si>
  <si>
    <t>1.1. 80% ЗН на корректирующие работы формируются из тех. карт;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</si>
  <si>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проектирования</t>
  </si>
  <si>
    <t xml:space="preserve"> Реализация проекта "Установка микрофильтрации ТИБА "</t>
  </si>
  <si>
    <t>Согласование ОЛ и сборочных чертежей оборудования поставки НТ-ПРОМ для проектирования ПКУ Томск не позднее 30.09.2026г.</t>
  </si>
  <si>
    <t xml:space="preserve"> Реализация проекта "Установка налива ТИБА в танк контейнер"</t>
  </si>
  <si>
    <t>Техническая проработка оборудования ППП</t>
  </si>
  <si>
    <t>Направлен проектировщику выбор на насос G701, ППП, к.113.</t>
  </si>
  <si>
    <t>Техническая проработка оборудования ПМ</t>
  </si>
  <si>
    <t>Направлен проектировщику выбор на узел дозирования ингибитора полимеризации, тит.403.</t>
  </si>
  <si>
    <t>Охрана труда LTIF</t>
  </si>
  <si>
    <t>Показатель LTIF - 0 в зоне своей ответственности</t>
  </si>
  <si>
    <t>Использование СТДО КВИП при работе с технической документацией по проектам</t>
  </si>
  <si>
    <t>Использование СТДО КВИП при работе с технической документацией по проектам Не менее 80 %</t>
  </si>
  <si>
    <t>Исполнение плана освоения, финансирования и ввода капитальных вложений по ИП и П</t>
  </si>
  <si>
    <t>не менее 97 %</t>
  </si>
  <si>
    <t>Исполнение плана освоения, финансирования и ввода капитальных вложений ИП и ПОФ Не менее 97 %</t>
  </si>
  <si>
    <t>Достижение целевой длительности (I2I) - 414 к.д.</t>
  </si>
  <si>
    <t>не более 414 дни</t>
  </si>
  <si>
    <t>Средневзвешенная длительность реализации низкобюджетных проектов по предприятию Не более 414 день</t>
  </si>
  <si>
    <t>Выполнение ПИР рамочными подрядчиками в объеме 90 %</t>
  </si>
  <si>
    <t>Контрактная стратегия ПИР Не менее 85 %</t>
  </si>
  <si>
    <t>Главный эксперт</t>
  </si>
  <si>
    <t>Общество с ограниченной ответственностью "Томскнефтехим"/Направление Главного инженера/Служба управления надежностью</t>
  </si>
  <si>
    <t>Срок проведённых расследований событий с УМД на ТНХ</t>
  </si>
  <si>
    <t>не более 30 Дни</t>
  </si>
  <si>
    <t>Руководитель службы</t>
  </si>
  <si>
    <t>Разбор АКП в рамках процесса "Выученные уроки"</t>
  </si>
  <si>
    <t>Минимизация травматизма (LTIF)/Проведение ПАБ</t>
  </si>
  <si>
    <t>не менее 10 шт</t>
  </si>
  <si>
    <t>Эффект от достижения целевых значений по МГ в ЗО ТНХ</t>
  </si>
  <si>
    <t>не менее 88 %</t>
  </si>
  <si>
    <t>Провести перекрестную оценку качества АКП</t>
  </si>
  <si>
    <t>Покрытие АКП всех событий с УМД по валу, %</t>
  </si>
  <si>
    <t>Минимизация (ИА1)/Актуализация ГК оборудования ЭП и ПУиСП</t>
  </si>
  <si>
    <t>не менее 1500 Ед</t>
  </si>
  <si>
    <t>Качество создаваемых сообщений в SAP ЭП и ПУиСП</t>
  </si>
  <si>
    <t>Качество проведенных расследований негативных событий в ЗО (по чек-листу)</t>
  </si>
  <si>
    <t>УМД от Ebitda в ЗО</t>
  </si>
  <si>
    <t>не более 0.134 %</t>
  </si>
  <si>
    <t>Ведущий инженер-технолог</t>
  </si>
  <si>
    <t>Общество с ограниченной ответственностью "Томскнефтехим"/Служба главного технолога/Отдел технологии и развития</t>
  </si>
  <si>
    <t>Качество проработки НБ/СБ ИП (Процессы ТОиР и ПОФ, ТН, РИП)</t>
  </si>
  <si>
    <t>Перевод на этап на P2I ИИ:
1. 23000284 "ТНХ. ППЭ. УПЭ. ИТЭ. Монтаж трубопровода сдувок ВГНД на газоразделение ПМ К-1 с целью сокращения потерь этилена"
2. 23000280 "ТНХ. ППЭ. СГП. Отгрузка полиэтилена марки 15303-003 на АГХК в балк-контейнерах"</t>
  </si>
  <si>
    <t>Менеджер по технологии и развитию</t>
  </si>
  <si>
    <t>Нулевой травматизм</t>
  </si>
  <si>
    <t>1. Провести не менее 3-х ПАБ в квартал с выявлением опасных условий/опасных действий. Предложить мероприятия по недопощуению травмирования сотрудников предприятия и подрядных организаций
2. Проведение ЛО не менее 2 баллов по ПБ, не менее 2 баллов по ОТ.</t>
  </si>
  <si>
    <t>Использование практик ИИ</t>
  </si>
  <si>
    <t>Сформировано предложение по применению ИИ для анализа метрик эконс в рамках ритуала "Динамическое целеполагание"</t>
  </si>
  <si>
    <t>Технологическая дисциплина</t>
  </si>
  <si>
    <t>1.Не более: ННТР 1 884 шт
2.ННАК 1 004 шт;
3.Сигнализации 74 400 шт
4.ПИД 95%
5. Разработаны корректирующие мероприятия по снижению отклонений ННТР, ННАК, сигнализаций, перевода ПИД к целевому %;</t>
  </si>
  <si>
    <t>1. Обеспечить показатель валового НСП ПЭ (все ЗО), не более 3236т./5,97%  до 30.09.2026  за счёт разработки и реализации орг. и тех. меропритяий направленных на:
1.1 сокращение НСП при марочных переходах;
1.2 сокращение НСП при пусковых/остановочных операциях
1.3. изменения марочного колеса
1.4. при проведении ОПИ.
2. Обеспечить стабильность процесса выпуска марок ПЭ (Ppk &gt;1,33 по метрикам и границам тех.карт) до 30.09.2026 за счёт разработки и реализации орг. и тех. меропритяий направленных на:
2.1. выдерживания РН перексиных инициаторов,
2.2. поддержания высокой степени очищенности зон реактора,
2.3 поддержания стабильности давления в реакторе
2.4 поддержания значений пиковых температур
3. Обеспечить выполнение (выдерживание) расходных норм МТР не менее 90-95% до 30.09.2026 за счёт разработки меропритяий по итогам:
3.1 ежесменного ФА отклонений РН (выполняет НС)
3.2 еженедельного ФА отклонений РН (выполняет ВИП+ВИТ)
3.3  ежемесячного ФА отклонений РН (в рамках защиты БК)
4. Отсутствие неидентифицированных потерь/дебалансов
5. Сходимость расходных норм ТМБ и ЭМБ
6. Обеспечить выполнение показателя "Потери по ключевым РН сырья в ЗО ФЭП" до 30.09.2026,  не более 24 млн.руб за счёт разработки меропритяий по итогам:
6.1 ежесменного ФА отклонений РН (выполняет НС)
6.2 еженедельного ФА отклонений РН (выполняет ВИП+ВИТ)
6.3 ежемесячного ФА отклонений РН (в рамках защиты БК)</t>
  </si>
  <si>
    <t>1. Обеспечить подтвержденный финансовый эффект от внедренных ММ в размере не менее 235 млн руб.  до 30.09.2026
2. Сформировать  перечень инициатив на 2027г. с суммарным прогнозным эффектом на EBITDA не менее 40,5 млн руб.  до 30.09.2026 (В СОВА на этапе I2P)
3. Обеспечить выполнение норм расхода сырья в период ОР-2026г., не более:
3.1 ПЭ = 31т;
4.  Обеспечить  подтвержденным финансовым эффектом в 2026 от реализации меропритяий  программы "Эффективность+" в ЗО СГТ   до 30.09.2026, млн.руб.:
4.1 ПЭ = 63;</t>
  </si>
  <si>
    <t>Инженер-технолог</t>
  </si>
  <si>
    <t>Общество с ограниченной ответственностью "Томскнефтехим"/Служба главного технолога/Отдел качества, стандартизации и технического регулирования</t>
  </si>
  <si>
    <t>Приведение объектов к соответствию требованиям промышленной безопасности</t>
  </si>
  <si>
    <t>Сформирован общий перечень несоответствий, выявленных в ходе проверки по ППЭ</t>
  </si>
  <si>
    <t>Менеджер по качеству, стандартизации и техническому регулированию</t>
  </si>
  <si>
    <t>Обучение по курсам "ИИ"</t>
  </si>
  <si>
    <t>Прохождение обучения по курсам до конца 3 квартала:
1. Диалог с искусственным интеллектом (ИИ): от запросов к решению;
2. Использование искусственного интелекта (ИИ) для решения рабочих задач;
3. Основы практического использования искусственного интеллекта (ИИ)"</t>
  </si>
  <si>
    <t>Обеспечение соблюдения требований ОТ, ПБ и ООС</t>
  </si>
  <si>
    <t xml:space="preserve"> 6 баллов по Охране труда (6 записей с уровнем риска средний и выше, по 2 баллу в месяц)
• 6 баллов по Промышленной безопасности (6 записей с уровнем риска средний и выше, по 2 баллу в месяц)
• ПАБ 3 ПАБ в квартал по 1 ПАБ в месяц
• Экология 10 баллов
</t>
  </si>
  <si>
    <t>Расчет сверхнормативных потерь в соответствии со сроками</t>
  </si>
  <si>
    <t>Ежемесячный расчет сверхнормативных потерь на производствах ТНХ, формирование протокола, согласование, утверждение, размещение  на портале SP в соответствии со сроками</t>
  </si>
  <si>
    <t>Проведение целевых проверок согласно графика.</t>
  </si>
  <si>
    <t>Проведены проверки : ПМ-август, ЭП-сентябрь. Замечания внесены в Иди исмотри.</t>
  </si>
  <si>
    <t>Ведение БД РН ТНХ, расчет индексов ИТЭ, ИТЭ зхп</t>
  </si>
  <si>
    <t>Ежемесячное ведение БД РН ТНХ, расчет индексов ИТЭ, ИТЭ зхп, размещение в SP</t>
  </si>
  <si>
    <t>Внесение в SAP изменений в расходные нормы ППЭ, ведение спецификаций ППЭ в SAP</t>
  </si>
  <si>
    <t>Своевременное внесение в САП изменений в расходные нормы ППЭ, ведение спецификаций ППЭ в САП. Внесены в SAP БП РН по ППЭ на 2027 год в соответствии с предоставленными нормами от  ВИТ.</t>
  </si>
  <si>
    <t>Выполнение графика пересмотра Технологических регламентов 2026</t>
  </si>
  <si>
    <t>1.Внесены изменения в ТР в связи с подготовкой к остановочному ремонту:
 Постоянный технологический регламент установки полимеризации этилена Производства полиэтилена  408-01-2017.
2. Внесение изменений в ПТР 408-01-2017- нумерация запорной арматуры.</t>
  </si>
  <si>
    <t>Общество с ограниченной ответственностью "Томскнефтехим"/Служба главного технолога/Центральная заводская лаборатория/Смена 2</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</si>
  <si>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изготовлению</t>
  </si>
  <si>
    <t>Нулевое количество повторных дефектов по принятым из ремонта узлам</t>
  </si>
  <si>
    <t>Отсутствие обоснованных претензий к качеству разработанной технологической докум</t>
  </si>
  <si>
    <t>Соблюдение графиков ТОиР</t>
  </si>
  <si>
    <t>Обоснованных претензий по срокам выдачи технологической документации отсутствуют. -0
Обеспечить передачу в систему планирования (ERP) полного комплекта техданных (маршрут, нормы, оснастка, инструмент) в срок не позднее 5 рабочих дней до запуска заказа в работу</t>
  </si>
  <si>
    <t>Управление травматизм</t>
  </si>
  <si>
    <t>1. Проведение 1 записи в журнал по ПБ в квартал.
2. Проведение 3 запись в журнал по Экологии в квартал.
3.  Проведение ПАБ -3 шт. в квартал.
4. Проведение записи в журнале по ОТ -10шт. в квартал.
5. Вовлеченность в чемпионат по безопасности 100%</t>
  </si>
  <si>
    <t>Общество с ограниченной ответственностью "Томскнефтехим"/Направление Директора по производству/Производство полиэтилена/Установка полимеризации этилена</t>
  </si>
  <si>
    <t>Резерв в рамках ресурсообеспеченности в случае Не укомплектованности штата</t>
  </si>
  <si>
    <t>Резерв в рамках ресурсообеспеченности в случае
Не укомплектованности штата</t>
  </si>
  <si>
    <t>Выполнение линейных задач производства</t>
  </si>
  <si>
    <t>Участие в адаптационных курсах вновь принятых сотрудников</t>
  </si>
  <si>
    <t>Подготовка оператора ТУ к ЕКЭ УПЭ</t>
  </si>
  <si>
    <t>не менее 3 штатная един</t>
  </si>
  <si>
    <t>Обучение вновь принятых сотрудников согласно штатного расписания УПЭ</t>
  </si>
  <si>
    <t>выполнено согласно графика</t>
  </si>
  <si>
    <t>Наставничество, передача ключевой экспертизы вновь принятым сотрудникам не мене</t>
  </si>
  <si>
    <t>не менее 3 шт. единица</t>
  </si>
  <si>
    <t>Мастер по ремонту</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</si>
  <si>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полипропилена/Участок по ремонту печей пиролиза/Поле</t>
  </si>
  <si>
    <t>Заполнение чек - листов по сборке ФС на технологических трубопроводах I, II, III</t>
  </si>
  <si>
    <t>Заполнение чек - листов по сборке ФС на технологических трубопроводах I, II, III категорий, внесение данной информации в систему SAP с обязательным приложение оформленного чек - листа при закрытии заказа.</t>
  </si>
  <si>
    <t>Начальник участка</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</si>
  <si>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полипропилена/Участок по ремонту печей пиролиза</t>
  </si>
  <si>
    <t>Приживаемость процессов ПСС не менее 95%</t>
  </si>
  <si>
    <t>1.  Ведение досок ВУЭ согласно утверждённому формату -внесение записей по возникающим проблемам участка, звена, благодарность работникам.
2. Предложение тем по проведению СРП (сессия решения проблем) по чек листу.
3. Поддержание всех рабочих мест по стандарту 5С, не ниже 20% по чек листу.
4. Приживаемость - Адаптация, развитие, УЭ, Вовлечённость - 100%.
5. Приживаемость сотрудников до 1 года, МС - &lt;10%
6. Вовлечённость в Пульс опрос &gt;95% ; Лояльность &gt;90%, Удовлетворённость &gt;90%, eNPS &gt;47%, mNPS &gt;58%
7. Срок получения допуска к самостоятельной работе не более 60 дней.</t>
  </si>
  <si>
    <t>Отсутствие несчастных случаев связанных с производством в РП</t>
  </si>
  <si>
    <t>не более 0 случаев</t>
  </si>
  <si>
    <t>Нулевое количество повторных дефектов по принятым из ремонта узлам (акты приёмки</t>
  </si>
  <si>
    <t>1. Вся ЗРА и СППК прибывшая в ремонт (ремонтируемая по месту) в период ОР отремонтирована, испытана, опломбирована, заполнены паспорта;
  нет отказов от некачественных ремонтов в ЗО по ЗРА и СППК в течение 20 дней после ОР
2. Все трубопроводы, оборудование, ЗИА объекты работающее под давлением ЗО участка в период ОР отремонтированы, выдана вся ИД до подписания АКТА пуска производства сформирована и выдана заказчику;
  нет отказов от некачественных ремонтов в ЗО по трубопроводам оборудованию работающим под давлением в течение 20 дней после ОР
     0 скрытых и несвоевременно выявленных/упущенных дефектов.
3. Обеспечение  мобилизации персонала в период ОР2026. Не менее 98%.
4. Контроль за соблюдением ПВТР, распределение звеньев на плановые перерывы для обеда и ужина с учётом ИК по ИС.
     0 отклонений при ЛО.
5. Персонал участка укомплектован СИЗ,  сертифицированным инструментом, весь инструмент и оборудование исправно и испытано, МТР.
6. Нет отрицательного влияния на сроки проведения ОР. В течение 20 дней после ОР нет отказов от некачественных ремонтов в ЗО.
7. Производить качественный ремонт печей пиролиза ПМ в указанные сроки. Нет отказов от некачественных ремонтов в ЗО по оборудованию в течение 20 дней после ОР</t>
  </si>
  <si>
    <t>Выработка</t>
  </si>
  <si>
    <t>не менее 86 %</t>
  </si>
  <si>
    <t>Выполнения планов обучения и соблюдения графиков реализации обучающих персонала</t>
  </si>
  <si>
    <t>Работа с командой</t>
  </si>
  <si>
    <t>1. Уровень вовлеченности в подразделении (непосредственный руководитель (мастер), ОС, карьера) не менее 95%
2. Текучесть по инициативе сотрудников до 1 года в подразделении не более 10%
3. Вовлечение персонала социальную жизнь Сибура (вовлеченность работников в Спартакиаду, Эко - марафоны, Массовые мероприятия - не менее 4 человек)</t>
  </si>
  <si>
    <t>Отсутствие аварий производственных объектов по причине ремонта в ЗО</t>
  </si>
  <si>
    <t>Проведение ремонтных работ</t>
  </si>
  <si>
    <t>1.Выполнение дорожной карты ОР в ЗО РП РТУ (закреплённым персоналом) не менее 95%.
Исполнительная документация на выполненные работы в зоне своей ответственности оформлена= 100%.
2. Нулевое отклонение по выполнению работ согласно разработанным тех.картам (разработанные технологии ремонта).
3. Объёмы ремонтных работ выполнены на 100% в  соответствии с утверждённым графиком 4 уровня и работ критического пути;
4. 100% выполнение работ, влияющих на соблюдение межремонтного интервала в з.о.
5. Все работы в SAP закрыты, использованные материалы списаны до начала пусковых работ  в з.о.
6. ОР проведён согласно амбициозных сроков (ПМ 25 дней, ПЭВД 21 день)  в з.о.
7. Не зафиксировано происшествий по ОТ и ПБ и влияющих на ИА  в з.о.
8. Дополнительный и внеплановый объем выполнен без влияния на сроки ОР в з.о.
9. До начала ОР у всего персонала участка 0 просроченных допусков.
10. Проведена спецподготовка ремонтному персоналу.
11. Подготовлены мастерские к проведению ОР 2026(определены зоны для размещения оборудования , подготовлены рабочие места).</t>
  </si>
  <si>
    <t>Общество с ограниченной ответственностью "Томскнефтехим"/Направление Главного инженера/Направление заместителя главного инженера/Опытно-промышленный участок</t>
  </si>
  <si>
    <t>Отсутствие простоя грануляции по причине дефектов ножей</t>
  </si>
  <si>
    <t>Отсутствие простоя</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</si>
  <si>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фондами/Технологическая независимость</t>
  </si>
  <si>
    <t>Отработка технологии по изготовлению длинных лезвий</t>
  </si>
  <si>
    <t>Получение длинных лезвий без дефектов</t>
  </si>
  <si>
    <t>Отработка технологии по снижению трудозатрат при изготовлении ножей</t>
  </si>
  <si>
    <t>Снижение трудоемкости изготовления</t>
  </si>
  <si>
    <t>Изготовить «горячую» фильеру для ПП ТНХ (из 3-х частей)</t>
  </si>
  <si>
    <t>Готовая фильера</t>
  </si>
  <si>
    <t>Отработка технологии по спеканию и пайки сегментов</t>
  </si>
  <si>
    <t>Модернизация ОПУ, внедрение новых технологий, оборудования, процессов</t>
  </si>
  <si>
    <t>Освоение и применение новых технологий</t>
  </si>
  <si>
    <t>Иготовление «горячую» фильеру для ПП ТНХ 188 отв</t>
  </si>
  <si>
    <t>Ведущий инженер по стандартизации</t>
  </si>
  <si>
    <t>Сформировано предложение по применению ИИ для рутинной задачи</t>
  </si>
  <si>
    <t>Формирование бюджета СГТ</t>
  </si>
  <si>
    <t>Сформирован бюджет СГТ на 2027 год</t>
  </si>
  <si>
    <t>Прохождение обучения по курсам ИИ</t>
  </si>
  <si>
    <t>Обучение по курсам "ИИ" пройдено до окончания 3 квартала:
1. Диалог с искусственным интеллектом (ИИ): от запросов к решению;
2. Использование искусственного интеллекта (ИИ) для решения рабочих задач;
3. Основы практического использования искусственного интеллекта (ИИ)</t>
  </si>
  <si>
    <t>Разработка технических условий на ТИБА</t>
  </si>
  <si>
    <t>Разработаны технические условия на ТИБА в рамках проекта № 6897 «Техническое перевооружение монтаж установки фильтрации ТИБА. Узел налива ТЭА в контейнеры."</t>
  </si>
  <si>
    <t>Баллы по ОТ (количественная) 6
Баллы по ПАБ (количественная) 3
Баллы по ПБ (количественная) 6
Баллы по Э (количественная) 10</t>
  </si>
  <si>
    <t>Проверка списков нормативных документов подразделений ТНХ согласно Графику</t>
  </si>
  <si>
    <t>Проведена проверка списка НД Лаборатории неразрушающего контроля, оформление Акта</t>
  </si>
  <si>
    <t>Проверка паспортов качества на продукцию</t>
  </si>
  <si>
    <t>Проверка паспортов качества на продукцию проведена согласно графику</t>
  </si>
  <si>
    <t>Ведение договоров, оплат и ПБД по стандартизации</t>
  </si>
  <si>
    <t>Актуализация фонда нормативных документов</t>
  </si>
  <si>
    <t>Актуализация фонда нормативных документов согласно информации из Информационных указателей стандартов</t>
  </si>
  <si>
    <t>Формирование Заявки на участие продукции во всероссийском конкурсе качества</t>
  </si>
  <si>
    <t>Заявка на конкурс "Всероссийский конкурс Качества" подписана и подана до 30.09.2026</t>
  </si>
  <si>
    <t>Общество с ограниченной ответственностью "Томскнефтехим"/Направление Директора по производству/Производство мономеров</t>
  </si>
  <si>
    <t>Внедрение проекта АСУ ТП установки обессоливания речной воды</t>
  </si>
  <si>
    <t>1. Выполнение графика работ
2. Своевременная наработка деминерализованной воды, согласно потребностям производства, при внедрении проекта.</t>
  </si>
  <si>
    <t>Потери сырья от ВО не более 0 млн.руб.</t>
  </si>
  <si>
    <t>LTIF = 0
ИА 1,2 = 0</t>
  </si>
  <si>
    <t>Общество с ограниченной ответственностью "Томскнефтехим"/Управление логистики</t>
  </si>
  <si>
    <t>LTIF=0</t>
  </si>
  <si>
    <t>Проведение ЛО - выявление опасностей в рамках должностных обязанностей</t>
  </si>
  <si>
    <t>Начальник управления</t>
  </si>
  <si>
    <t>Дезинтеграция БИАКСПЛЕН</t>
  </si>
  <si>
    <t>- осуществлен бесшовный перевод процессов ВЗЛ при смене собственника
- передача 2 FTE из УЛ.</t>
  </si>
  <si>
    <t>Обеспечение непрерывности операционной деятельности для осуществления клиентского сервиса</t>
  </si>
  <si>
    <t>Реализация Программ мероприятий ПК по развитию культуры безопасности</t>
  </si>
  <si>
    <t>Выполнение мероприятий запланированных на 3-й кв. по повышению уровня вовлеченности  в развитие культуры безопасности на 2026 г. ПК: ООО Форклифт/ООО РКТ</t>
  </si>
  <si>
    <t>Продолжить внедрение ПСС и развитие инструментов 5С</t>
  </si>
  <si>
    <t>Обеспечить рост вовлеченности лог. оператора в процесс приживаемости инструментов 5С с регулярной оценкой рабочих зон и выполнением стандартов до 30.09.2026.</t>
  </si>
  <si>
    <t>Развитие команды Логистики</t>
  </si>
  <si>
    <t>Контроль за подачей идей УМШ и их внедрением</t>
  </si>
  <si>
    <t>Повышение эффективности складской инфраструктуры</t>
  </si>
  <si>
    <t>Реализация НВИ</t>
  </si>
  <si>
    <t>Организовать реализацию невостребованного подвижного состава: подготовить документы и направить заявку для перевода в НВИ в ПДК.</t>
  </si>
  <si>
    <t>изменение паспортизация ПК марка В</t>
  </si>
  <si>
    <t>Переход на выписки из ТР</t>
  </si>
  <si>
    <t>Проверка ГАК и ТР в зоне функционала</t>
  </si>
  <si>
    <t>Подготовка пробоотборной тары к ОР, работоспособного оборудования, поддержка смены в пиковые нагрузки</t>
  </si>
  <si>
    <t>ОТ: не менее 1 ПАБ по ОТ; не менее 5  ЛО по ОТ (с подтвержденным средним риском за 3 кв. 2 ЛО)
Экология: не менее 5 ЛО по Экологии, не менее 1 экомероприятия</t>
  </si>
  <si>
    <t>Функционирование процедур ЛИМС</t>
  </si>
  <si>
    <t>Выполнение процессов в зоне ответственности:
 Занесение процедур ВЛК</t>
  </si>
  <si>
    <t>Прохождение аудита GMP медицинской марки</t>
  </si>
  <si>
    <t>успешное прохождение аудита, отсутствие замечаний в зоне функционала</t>
  </si>
  <si>
    <t>Реализация мероприятий Программы  2026 г, вовлеченность 100 % в УМШ, мозговые штурмы, 5 С</t>
  </si>
  <si>
    <t>Развитие функциональных и технических компетенций, формирование кадрового резерв</t>
  </si>
  <si>
    <t>Универсализация сменного персонала по   ежесменным планам  ВИХ</t>
  </si>
  <si>
    <t>Развитие системы менеджмента ЦЗЛ качество и своевременность проводимых испытаний</t>
  </si>
  <si>
    <t>Выполнение графика внутренних проверок (во вложении): 3 КВ. - 3 проверки, закрыть долги - 3</t>
  </si>
  <si>
    <t>Повышение производительности труда, уровня автоматизации</t>
  </si>
  <si>
    <t>Получение допусков на вновь вводимом оборудовании, обучение сотрудников смены ЦЗЛ</t>
  </si>
  <si>
    <t>Развитие функциональных и технических компетенций смены</t>
  </si>
  <si>
    <t>100% выполнение Графика универсализации на 3 кв в.2026 г. Достижение уровня универсализации не ниже 80% по смене</t>
  </si>
  <si>
    <t>Организация выполнения работ, в том числе в период ОР 2026, координация водителя</t>
  </si>
  <si>
    <t>Отсутствие задержек по вине лаборатории выдачи результата, организация своевременной  доставки проб. Расстановка персонала смены для выполнения лабораторных работ</t>
  </si>
  <si>
    <t>УМШ по Экологии от смены</t>
  </si>
  <si>
    <t>Реализация плана ПСС в ЦЗЛ на 3 кв.2026 г</t>
  </si>
  <si>
    <t>Выполнение  планов 5С на 3 квартал с предоставлением отчета Было-Стало, пересмотр 2 СОП 92.09 и 92.106</t>
  </si>
  <si>
    <t>С начала каждого месяца проводить и вовлечь смену:ОТ: не менее 1 ПАБ по ОТ; не менее 5  ЛО по ОТ (с подтвержденным средним риском за 3 кв. 2 ЛО)
Экология: не менее 5 ЛО по Экологии, не менее 1 экомероприятия</t>
  </si>
  <si>
    <t>Качественный процесс приема-передачи смены у доски ВУЭ</t>
  </si>
  <si>
    <t>Актуальная информация, своевременное заполнение доски</t>
  </si>
  <si>
    <t>Обеспечить выполнение аналитконтроля в смене</t>
  </si>
  <si>
    <t>Кадровая защищенность смены</t>
  </si>
  <si>
    <t>Реализация плана Вектор развития в смене, исполнение обязанностей второго номера без замечаний по стандартным процессам</t>
  </si>
  <si>
    <t>Развитие системы менеджмента в смене</t>
  </si>
  <si>
    <t>Знание и соблюдение РК сотрудников смены. Линеаризация и обеспечение приживаемости вводимых процессов в смене</t>
  </si>
  <si>
    <t>Общество с ограниченной ответственностью "Томскнефтехим"/Направление Главного инженера/Служба управления надежностью/Лаборатория неразрушающего контроля и диагностики</t>
  </si>
  <si>
    <t>Успешное выполнение работ в период ОР-26</t>
  </si>
  <si>
    <t>Работы выполнены безопасно и в срок.</t>
  </si>
  <si>
    <t>Проведение СЭЗ и подтверждение лицензируемых требований для ИИИ</t>
  </si>
  <si>
    <t>Проведение независимой экспертизы с целью замены СЭЗ и регистрацией нового рентген аппарата, а так же подтверждение  выполнения требований для лицензиата применяющий источники ионизирующего излучения.</t>
  </si>
  <si>
    <t>Приживаемость Производственной системы</t>
  </si>
  <si>
    <t>Реализация УМШ</t>
  </si>
  <si>
    <t>не менее 1 Шт</t>
  </si>
  <si>
    <t>Ознакомление с документами в системе КИС ЕСМ</t>
  </si>
  <si>
    <t>соблюдению чистоты в складе</t>
  </si>
  <si>
    <t>не менее 6 шт</t>
  </si>
  <si>
    <t>Проведение поведенческих аудитов (ПАБ) с выявлением ОУ и ОД, шт.</t>
  </si>
  <si>
    <t>Наличие ШК и скан-копий в мониторе ФПД</t>
  </si>
  <si>
    <t>Контроль несогласованного списания МТР с ЦС</t>
  </si>
  <si>
    <t>Списанные с ЦС МТР выданы заказчику или проведено сторно списанния</t>
  </si>
  <si>
    <t>Контроль внесения конечного срока хранения МТР в признаки партии</t>
  </si>
  <si>
    <t>Контроль ведения журналов регистрации в сетевых ресурсах</t>
  </si>
  <si>
    <t>Акты ведутся должным образом (все обязательные поля заполнены, приложения сохранены с соответствующих папках )</t>
  </si>
  <si>
    <t>Внесение складских мест хранения МТР</t>
  </si>
  <si>
    <t>Инженер по планированию и ресурсному обеспечению</t>
  </si>
  <si>
    <t>Общество с ограниченной ответственностью "Томскнефтехим"/Направление Директора по производству/Энергопроизводство</t>
  </si>
  <si>
    <t>Цифровая инклюзивность процесса. Своевременность размещения на сетевом пространс</t>
  </si>
  <si>
    <t>Размещение документов на Confluence не позднее 10 числа следующего месяца</t>
  </si>
  <si>
    <t>не более 0 шт</t>
  </si>
  <si>
    <t>Корректировка данных в системе I-DRMS Client на ежедневной основе</t>
  </si>
  <si>
    <t>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t>
  </si>
  <si>
    <t>Обеспечение корректных данных для формирования балансов</t>
  </si>
  <si>
    <t>Не более 5% неидентифицированных Мат. дебалансов</t>
  </si>
  <si>
    <t>Сопровождение процесса идей УМШ.</t>
  </si>
  <si>
    <t>Определить/присвоить/подать на расширение кода АСВНСИ; сформированы заявки потребности/на закуп, заказы на перемещение/списание,  ОС поставлено на бух.учет. Данный процесс позволил  реализовать идеи (касаемые закупа) в срок.</t>
  </si>
  <si>
    <t>Формирование отчетности по движению отходов производства</t>
  </si>
  <si>
    <t>формирование и предоставление в службу экологии Отчета не позднее 3 числа следующего месяца</t>
  </si>
  <si>
    <t>Своевременное обеспечение пр-ва хим. реагентами согласно запроса от нач смены</t>
  </si>
  <si>
    <t>Своевременный заказ ХП на производство с центрального склада по заявкам</t>
  </si>
  <si>
    <t>Ожидаемый результат
1.Вовлечённость в чемпионат по безопасности - 100%
 2. Проведение аудита по ПБ с записью в журнал - не менее 1 в квартал
3. Проведение аудита по экологии с записью в журнал - не менее 3 в квартал
4. Проведение аудита по ОТ с записью в журнал - не менее 6 в квартал
5. Проведение ПАБ - не менее 3 в квартал</t>
  </si>
  <si>
    <t>1. Проведения ритуала День качества
2. Обеспечение выполнения изготовление и ремонтов согласно НТД
3. Количество претензий полученных по вине ОТК, со стороны заказчика к качеству продукции за отчетный период- 0 случаев
4. Количество претензий полученных по вине ОТК, по срокам выдачи документации за отчетный период- 0 случаев</t>
  </si>
  <si>
    <t>1. 0 травм с потерей трудоспособности по РП
2. Вовлеченность в чемпионат по безопасности РП  - 100%
3. Вовлеченность ИТР в проведение ПАБ 100%
4. Отсутствуют просроченные id - допуска в матрице положенности по РП не более 1%</t>
  </si>
  <si>
    <t>Общество с ограниченной ответственностью "Томскнефтехим"/Направление Директора по производству/Производство мономеров/Смена 4/Установка пиролиза углеводородов нефти</t>
  </si>
  <si>
    <t>Потери сырья от внеплановых останов</t>
  </si>
  <si>
    <t>не более 0 млн руб.</t>
  </si>
  <si>
    <t>Общество с ограниченной ответственностью "Томскнефтехим"/Направление Директора по производству/Производство мономеров/Смена 4</t>
  </si>
  <si>
    <t>Выдерживание расходных норм</t>
  </si>
  <si>
    <t>не менее 96.76 %</t>
  </si>
  <si>
    <t>Эффективность работы ЭКОНС</t>
  </si>
  <si>
    <t>не менее 81 %</t>
  </si>
  <si>
    <t>Эффективность работы СУУТП (АРС)</t>
  </si>
  <si>
    <t>не менее 93 %</t>
  </si>
  <si>
    <t>Снижение сигнализаций</t>
  </si>
  <si>
    <t>не более 16500 шт</t>
  </si>
  <si>
    <t>Количество пультовых операций в зоне ответственности</t>
  </si>
  <si>
    <t>не более 30600 шт</t>
  </si>
  <si>
    <t>снижение НАК</t>
  </si>
  <si>
    <t>не более 480 шт</t>
  </si>
  <si>
    <t>Снижение нарушений НТР</t>
  </si>
  <si>
    <t>не более 1665 шт</t>
  </si>
  <si>
    <t>Диспетчер</t>
  </si>
  <si>
    <t>Общество с ограниченной ответственностью "Томскнефтехим"/Производственно-диспетчерское управление</t>
  </si>
  <si>
    <t>Работа с панелью ограничений в зоне своей ответственности.</t>
  </si>
  <si>
    <t>Выполнена в зоне своей ответственности.</t>
  </si>
  <si>
    <t>Повышение операционной эффективности.</t>
  </si>
  <si>
    <t>управления запасами сырья (емкость+путевые), ведение посуточного факторного анализа слива сырья, причины отклонения от плановых значений</t>
  </si>
  <si>
    <t>Повышение эффективности Компании через развитие процессов при одновременном повышении внутренней эффективности Функции</t>
  </si>
  <si>
    <t>Отсутствие НС (LTIF = 0), Вовлечение в Чемпионат по безопасности (1ПАБ / мес).</t>
  </si>
  <si>
    <t>Отсутствие НС (LTIF = 0), Обеспечить Вовлеченность в Чемпионат по Экологии.</t>
  </si>
  <si>
    <t>Своевременность и полнота информирования по основным событиям на Предприятии</t>
  </si>
  <si>
    <t>Информирование по основным событиям на Предприятии осуществляется оперативно ив полном объеме.</t>
  </si>
  <si>
    <t>Обеспечить выполнение производственных показателей БК ТНХ</t>
  </si>
  <si>
    <t>Выполнение плана по производствам в з.о. ПДУ - ПП+ПЭ (1квартал) - 111,192тн.</t>
  </si>
  <si>
    <t>По результатам проверки с Чек-листом, совместно с ответственным  старшим химиком составление и выполнение  планов 5С на 3 квартал с предоставлением отчета Было-Стало, проведение мозговых штурмов в смене.</t>
  </si>
  <si>
    <t>100% выполнение Графика универсализации на 3 кв в.2026 г. Достижение уровня универсализации не ниже 80% сотрудников смены</t>
  </si>
  <si>
    <t>Выполнить график внутренних проверок (во вложении): 3 кв. - 1, закрыть долги - 2</t>
  </si>
  <si>
    <t>Реализация плана Вектор развития в смене, наставничество и исполнение обязанностей  Шараевой Н.В.  старшего химика смены без замечаний по стандартным процессам</t>
  </si>
  <si>
    <t>С начала каждого месяца проводить и вовлечь смену: ОТ: не менее 1 ПАБ по ОТ; не менее 5  ЛО по ОТ (с подтвержденным средним риском за 3 кв. 2 ЛО)
Экология: не менее 5 ЛО по Экологии, не менее 1 экомероприятия</t>
  </si>
  <si>
    <t>Своевременное обеспечение производства хим. реагентами согласно запроса от НС</t>
  </si>
  <si>
    <t>Своевременный заказ ХП на производство с центрального склада по заявкам НС</t>
  </si>
  <si>
    <t>Не более 5% неидентефицированных мат.дебалансов в зоне своих обязанностей</t>
  </si>
  <si>
    <t>Информирование по основным событиям на Предприятии осуществляется оперативно и в полном объеме.</t>
  </si>
  <si>
    <t>Обеспечение непрерывности операционной деятельности</t>
  </si>
  <si>
    <t>управления запасами сырья (емкость+путевые), ведение посуточного факторного анализа слива сырья, причины отклонения от плановых значений. Трансформации процессов УЦП (проект Лодка9).</t>
  </si>
  <si>
    <t>Выполнение плана по производствам в з.о. ПДУ - ПП+ПЭ</t>
  </si>
  <si>
    <t>Обеспечение непрерывности операционной деятельности.</t>
  </si>
  <si>
    <t>Минимизация потерь в случае наступления негативных внеплановых событий за счет эффективного управления страховыми запасами.</t>
  </si>
  <si>
    <t>Отсутствие НС (LTIF = 0), Вовлечение в Чемпионат по безопасности (1ПАБ / мес). Обеспечить Вовлеченность в Чемпионат по Экологии.</t>
  </si>
  <si>
    <t>Организация выполнения аналитического сопровождения ОПИ, добавленного объема</t>
  </si>
  <si>
    <t>Реализация мероприятий по выполнению ГАК, ОПИ, проведение экспериментов</t>
  </si>
  <si>
    <t>Внедрение автоматического титратора для определения м.д. воды в нефрасе</t>
  </si>
  <si>
    <t>Управление оборудованием: консервация, списание, утилизация.</t>
  </si>
  <si>
    <t>Выполнение запланированных мероприятий 3 кв.2026, пересмотр 2 СОП 92.59, 92.95</t>
  </si>
  <si>
    <t>С начала каждого месяца проводить:
ОТ: не менее 1 ПАБ по ОТ; не менее 5  ЛО по ОТ (с подтвержденным средним риском за 3 кв. 2 ЛО)
Экология: не менее 5 ЛО по Экологии, не менее 1 экомероприятия</t>
  </si>
  <si>
    <t>Выполнение процессов в зоне ответственности:
Своевременно вносить информацию по метрологической прослеживаемости оборудования, СИ (поверка, калибровка, аттестация)</t>
  </si>
  <si>
    <t>Развитие системы менеджмента ЦЗЛ (качество,своевременность проводимых испытаний)</t>
  </si>
  <si>
    <t>Согласно графику во вложении выполнить в 3 кв. - 3 проверки , закрыть долг 2 кв (2 проверки)</t>
  </si>
  <si>
    <t>Общество с ограниченной ответственностью "Томскнефтехим"/Направление Директора по производству/Производство мономеров/Смена 1/Установка пиролиза углеводородов нефти</t>
  </si>
  <si>
    <t>Общество с ограниченной ответственностью "Томскнефтехим"/Направление Директора по производству/Производство мономеров/Смена 1</t>
  </si>
  <si>
    <t>Ведущий инженер по исследованию металлов</t>
  </si>
  <si>
    <t>Профессиональное развитие сотрудника.</t>
  </si>
  <si>
    <t>Обучение сотрудника практическим навыкам металлографического анализа, механических испытаний. Изучение методов, оборудования, НД.
Сотрудник после обучения  качественно проводит испытания с выдачей заключения.</t>
  </si>
  <si>
    <t>Управление травматизмом (LTIF) в зоне ответственности</t>
  </si>
  <si>
    <t>LTIF = 0</t>
  </si>
  <si>
    <t>Обучение сотрудника навыкам спектрального анализа на рабочем месте. Изучение метода, оборудования, НД.
Сотрудник после обучения  правильно проводит контроль металла, корректно выдано заключение.</t>
  </si>
  <si>
    <t>Индекс аварийности</t>
  </si>
  <si>
    <t>не более 0 событие</t>
  </si>
  <si>
    <t>Делопроизводство</t>
  </si>
  <si>
    <t>Организация и обработка документов, обеспечивающих правильное функционирование лаборатории</t>
  </si>
  <si>
    <t>Выполнение плана работ по ПСС в препараторской за 3 кв 2026 г.</t>
  </si>
  <si>
    <t>Прохождение обучения, получение допусков на вновь вводимом оборудовании. Обучение в рамках программ СИБУРИНТЕХ.</t>
  </si>
  <si>
    <t>Выполнение плана работы УОТ на 3 кв.2026г.</t>
  </si>
  <si>
    <t>Общество с ограниченной ответственностью "Томскнефтехим"/Направление Директора по производству/Производство углеводородов и сырья для пиролиза</t>
  </si>
  <si>
    <t>УМД в зоне ответственности производства по человеческому фактору =0</t>
  </si>
  <si>
    <t>Участие в аттестации работников - Не менее 90% охват аттестаций в производствен</t>
  </si>
  <si>
    <t>Участие в аттестации работников -  Не менее 90% охват аттестаций в производственной комиссии.</t>
  </si>
  <si>
    <t>Событий с уровнем аварийности ИА 1,2 = 0 LTIF =0 Вовлеченность в проведение ПАБ</t>
  </si>
  <si>
    <t>Событий с уровнем аварийности ИА 1,2 = 0
LTIF =0
Вовлеченность в проведение ПАБ не менее 100%</t>
  </si>
  <si>
    <t>повышение качества адаптации и получения допусков к работе у новичков</t>
  </si>
  <si>
    <t>повышение качества  адаптации и получения допусков к работе у новичков</t>
  </si>
  <si>
    <t>обучение персонала безопасным методам работы в области ОТ и ПБ</t>
  </si>
  <si>
    <t>Обучение молодых специалистов, срок допуска к самостоятельной работе не более 90</t>
  </si>
  <si>
    <t>Обучение молодых специалистов, срок допуска к самостоятельной работе не более 90 дней.</t>
  </si>
  <si>
    <t>Выполнение процессов в зоне ответственности: вносить информацию по инвентаризации прекурсоров, ГСО; занесение процедур ВЛК по направлению СЭК (не менее 2 методов).</t>
  </si>
  <si>
    <t>Анализ потребности ЦЗЛ в реактивах и материалах, создание заявок на приобретение на 2027 год в системе SAP. Контроль сроков и качества поставок реактивов.</t>
  </si>
  <si>
    <t>Развитие системы менеджмента ЦЗЛ</t>
  </si>
  <si>
    <t>Оценка достаточности ВЛК по направлению СЭК ЦЗЛ.</t>
  </si>
  <si>
    <t>Развитие компетенций Калиткиной О.Н., подготовка для исполнения функционала старшего химика по направлению аналитики, препараторской.</t>
  </si>
  <si>
    <t>Выполнение Графика оценки показателей качества результатов измерений в виде расширенной неопределенности на 2026 год.</t>
  </si>
  <si>
    <t>Общество с ограниченной ответственностью "Томскнефтехим"/Направление Директора по производству/Производство мономеров/Смена 2/Установка пиролиза углеводородов нефти</t>
  </si>
  <si>
    <t>не более 1222 шт</t>
  </si>
  <si>
    <t>Общество с ограниченной ответственностью "Томскнефтехим"/Направление Директора по производству/Производство мономеров/Смена 2</t>
  </si>
  <si>
    <t>не более 15955 шт</t>
  </si>
  <si>
    <t>не более 21216 шт 21216</t>
  </si>
  <si>
    <t>Инженер по вибродиагностике</t>
  </si>
  <si>
    <t>Пройти дистанционное обучение, предлагаемое порталом Сибур</t>
  </si>
  <si>
    <t>Консультирование коллег по методу РК</t>
  </si>
  <si>
    <t>Проводить консультирование и экспертную помощь по вопросам классификации выявленных дефектов при расшифровке рентгеновских снимков.</t>
  </si>
  <si>
    <t>Изучение теоретического материала</t>
  </si>
  <si>
    <t>Изучить материалы по книге А.Б. Колобова. «Вибромониторинг промышленных машин» глава №3.</t>
  </si>
  <si>
    <t>Наращивание практического опыта</t>
  </si>
  <si>
    <t>Наращивание практического опыта по ВД НК (снятие фазы, снятие спектров в различных частотных диапазонах), анализ и проведение оценочных мероприятий.</t>
  </si>
  <si>
    <t>ЦНД</t>
  </si>
  <si>
    <t>Доля НД  непрошедших проверки РПО из-за критических замечаний по отношению к общему количеству подготовленных исполнителем НД не более 10%.</t>
  </si>
  <si>
    <t>LTIF = 0,
ИА 1,2=0</t>
  </si>
  <si>
    <t>Снижение количества срабатывания сигнализаций, нарушений НТР</t>
  </si>
  <si>
    <t>сигнализации - 16500 шт.
НТР - не более  1665  шт./кв.
НАК - не более 558 шт./кв.</t>
  </si>
  <si>
    <t>Потери сырья от ВО</t>
  </si>
  <si>
    <t>1.1. Выбросы ЗВ в атмосферу не более 0,357 тыс.тн
2. Сбросы ЗВ в стоки не более 0,101 тыс. тн
3. Отходы на размещение не более 0,055 тыс. тн.</t>
  </si>
  <si>
    <t>Реализация программы развития ПСС в ЦЗЛ на 3 кв.2026г.</t>
  </si>
  <si>
    <t xml:space="preserve"> 100% выполнение плана по универсализации</t>
  </si>
  <si>
    <t>С начала каждого месяца проводить:
ОТ: не менее 1 ПАБ по ОТ; не менее 5  ЛО по ОТ (с подтвержденным средним риском за 3 кв. 2 ЛО)
Экология: не менее 5 ЛО по Экологии, не менее 1 экомероприятия</t>
  </si>
  <si>
    <t>Отсутствие претензий от внутренних заказчиков по оперативности и качеству испыта</t>
  </si>
  <si>
    <t>Общество с ограниченной ответственностью "Томскнефтехим"/Трудовое долголетие/Направление Директора по производству</t>
  </si>
  <si>
    <t>Подготовка оборудования установки ПМ для ЭПБ в период ОР 2026. Схемы контроля.</t>
  </si>
  <si>
    <t>не менее 30 не менее 30</t>
  </si>
  <si>
    <t>Осуществлять подготовку сменного персонала ежемесячно при изучении блоков ИС</t>
  </si>
  <si>
    <t>Осуществлять наставничество и обучение, передавать ключевую экспертизу стажерам</t>
  </si>
  <si>
    <t>не менее 2 шт</t>
  </si>
  <si>
    <t>Отсутствие НС (LTIF = 0), Вовлечение в Чемпионат по безопасности .</t>
  </si>
  <si>
    <t>Отсутствие НС (LTIF = 0), Вовлечение в Чемпионат по безопасности . Обеспечить Вовлеченность в Чемпионат по Экологии.</t>
  </si>
  <si>
    <t>Развитие команды.</t>
  </si>
  <si>
    <t>Развитие команды:
- Погружение в тему обеспечение сырьем (слив) для работы с ЕКП (Лодка 9)  (Мишанькина/Леонтьева)
- Кураторство/помощь коллегам КЦ по балансу ТЭА (переходной этап, смена отв. сотрудников КЦ)
- Эффективное взаимодействие с проектной командой "Лодка 9" (информирование коллег с проекта по планированию календаря ПМ) с целью корректности отражения в ЕКП.</t>
  </si>
  <si>
    <t>Развитие команды: усиление компетенций и роли централизованной функции</t>
  </si>
  <si>
    <t>Отсутствие НС (LTIF = 0), Вовлечение в Чемпионат по безопасности, по экологии.</t>
  </si>
  <si>
    <t>Отсутствие НС (LTIF = 0), Вовлечение в Чемпионат по безопасности. Обеспечить Вовлеченность в Чемпионат по Экологии.</t>
  </si>
  <si>
    <t>Повышение операционной эффективности.
- Анализ календарного планирования (исполнимость графика/сырьевое обеспечение для исполнения объемов по ПМ; обеспечение сырьем/пропиленом под выход из ОР)
- Трансформация процессов УЦП (проект Лодка9): подготовка данных по ПМ для трансформации процессов УЦП; выверка корректности данных для перехода на ЕКП/КПО, тестирование.</t>
  </si>
  <si>
    <t>Обеспечить качество данных в системах планирования в з.о.</t>
  </si>
  <si>
    <t>- Обеспечить качество данных в системах планирования (планировщики).
- Обеспечить совместно с СГТ факторный анализ и актуализацию расходных норм</t>
  </si>
  <si>
    <t>Выполнение плана по производствам в з.о. ПДУ - ПП+ПЭ (3квартал) - 85,414тт. (с учищенности от ОР -перенос с июня на август)</t>
  </si>
  <si>
    <t>Внесение скорректированных данных в ЦБД/ЕСД (планировщики)
Скорость формирования расчетов производственных цепочек при возникновении внеплановых событий, влияющих на потоки Компании (планировщики).</t>
  </si>
  <si>
    <t>Инженер по ресурсному планированию</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</si>
  <si>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ремонтов/Планирование</t>
  </si>
  <si>
    <t>Выполнение дневного и недельного плана не менее 90 %</t>
  </si>
  <si>
    <t>Ведущий инженер по планированию</t>
  </si>
  <si>
    <t>Беклог по видам групп планирования.</t>
  </si>
  <si>
    <t>не более 2 недели</t>
  </si>
  <si>
    <t>Доля просроченных мероприятий</t>
  </si>
  <si>
    <t>не более 15 шт</t>
  </si>
  <si>
    <t>Внесение заказов в МRS и установка статусов для коррек-го отбраженния в Д.Б.</t>
  </si>
  <si>
    <t>Графикование через MRS 100 % персонала подрядчиков.</t>
  </si>
  <si>
    <t>Фактическая загрузка РП</t>
  </si>
  <si>
    <t>Плановая загрузка РП</t>
  </si>
  <si>
    <t>Статусы на ЗН</t>
  </si>
  <si>
    <t>Весение заказов в систему МRS и установка всех статусов для корректного отбражения в Д.Б.  В течении четверга текущей недели</t>
  </si>
  <si>
    <t>График в «Проджект»</t>
  </si>
  <si>
    <t>не более 14 дни</t>
  </si>
  <si>
    <t>Безопасность без компромиссов</t>
  </si>
  <si>
    <t>1. LTIF =0
2. Получены все допуски;
3. Внесение не менее 15 записей ПАБ в журнал ОТ;</t>
  </si>
  <si>
    <t>Услуги в рамках Стратегического партнёрства с Фоклифт</t>
  </si>
  <si>
    <t>Заключение договора на оказание услуг в рамках стратегического партнёрства, отражение затрат в рамках проекта, проведение оплаты.</t>
  </si>
  <si>
    <t>ОР-2026</t>
  </si>
  <si>
    <t>Бизнес-планирование на 2027 год</t>
  </si>
  <si>
    <t>Бюджет Логистики ТНХ на 2027 год сформирован по ППР-1, проведен предварительный БюК / защита бюджета. Бюджет внесен в систему SAP BW.</t>
  </si>
  <si>
    <t>Формирование отчетности БюК, MPR, MD&amp;A, анализ затрат.</t>
  </si>
  <si>
    <t>Предоставлены все отчеты по запросам своевременно, в полном объеме, защищены. Проведен факторный анализ затрат.</t>
  </si>
  <si>
    <t>Своевременное отражение первичных бух.докум-ов в SAP ERP в зоне ответственности</t>
  </si>
  <si>
    <t>Бюджет управления Логистики в 3 кв. 2026 не более 56 млн. руб.</t>
  </si>
  <si>
    <t>не более 56 млн. руб.</t>
  </si>
  <si>
    <t>Мероприятия Эффективность+</t>
  </si>
  <si>
    <t>Участие в расчетах, Наполнение Мероприятий Логистики Эффективность+</t>
  </si>
  <si>
    <t>Договор с Фирма Трансгарант 2026+</t>
  </si>
  <si>
    <t>Провести согласование и подписание Договора со всеми приложениями с "Фирма "Трансгарант" на оказание услуг по обработке КТК с 15.10.2026.</t>
  </si>
  <si>
    <t>Организовать работу по табельному учету , капитализации затрат по ФОТ на ОР</t>
  </si>
  <si>
    <t>Оформлена коммуникация,  организована проверка расстановки на ОР работников производств,  направлены тикеты на капитализацию затрат по ОР</t>
  </si>
  <si>
    <t>Выполнение корп мероприятий по инц НКНХ</t>
  </si>
  <si>
    <t>Разработать и организовать корректную расстановку в ОР</t>
  </si>
  <si>
    <t>Успешное выполнение остановочного ремонта 2026 года
   Оценка выполнения в соответствии с чек-листом - не менее 95%</t>
  </si>
  <si>
    <t>% срочности</t>
  </si>
  <si>
    <t>не более 3.5 %</t>
  </si>
  <si>
    <t>% инцидентов Предприятия</t>
  </si>
  <si>
    <t>не более 2 %</t>
  </si>
  <si>
    <t>% возвратов на Предприятие</t>
  </si>
  <si>
    <t>Старший инженер по планированию</t>
  </si>
  <si>
    <t>Отклонение фактических трудозатрат не более 10%</t>
  </si>
  <si>
    <t>Выполнение месячных планов ТОИР не менее 90%</t>
  </si>
  <si>
    <t>Выполнение плана превентивных работ 90-100%</t>
  </si>
  <si>
    <t>"LTIF - 0 Проведение не менее 15 Паб в квартал, и не менее 5 по экологии"</t>
  </si>
  <si>
    <t>не менее 15 ШТ</t>
  </si>
  <si>
    <t>Управление рабочим капиталом (управление запасом МРП и НВИ)</t>
  </si>
  <si>
    <t>"Вовлечение МРП, млн. – 55,
Оборачиваемость МТР - не более 90к.д.,
Уровень МРП без потребности на 31.12.2026 млн. руб – 0,
Уровень материалов ФТС на 31.12.2026, млн. руб. - 0."</t>
  </si>
  <si>
    <t>Попадание работ в плановые даты согласно стратегии ТОиР не менее 90 %</t>
  </si>
  <si>
    <t>Отслеживание отклоненных заявок в зоне своей ответственности</t>
  </si>
  <si>
    <t>Количество отклоненных заявок не более 20 шт.</t>
  </si>
  <si>
    <t>Формирование 100 % Актов переноса заказов и загрузка в КИС</t>
  </si>
  <si>
    <t>100 % устранение замечаний в соответствии с Д.Б. по планированию ПОФ - 2027</t>
  </si>
  <si>
    <t>Внесение 100 % выполненного объема работ в программу "Горизонт"</t>
  </si>
  <si>
    <t>Ведущий инженер по учету энергоресурсов</t>
  </si>
  <si>
    <t>Общество с ограниченной ответственностью "Томскнефтехим"/Направление Директора по производству/Отдел управления энергоресурсами</t>
  </si>
  <si>
    <t>Распределение паров на марочник ППЭ</t>
  </si>
  <si>
    <t>Практическое применение методологии распределения паров на марки ППЭ при закрытии отчётного периода путём вычищения из технологии расходов на ОПР.</t>
  </si>
  <si>
    <t>Оформление УМШ</t>
  </si>
  <si>
    <t>Оформление УМШ не менее 1 в квартал</t>
  </si>
  <si>
    <t xml:space="preserve"> Выявление и регистрация не менее 1 ПАБ</t>
  </si>
  <si>
    <t>Проведение и участие в эковолонтёрских мероприятиях</t>
  </si>
  <si>
    <t>Бизнес планирование на 2027 год в части энергоресурсов ТНХ</t>
  </si>
  <si>
    <t>Данные на всех этапах сформированы корректно, занесены в систему и в доп. формы в соответствии с графиком. Замечания со стороны ФЭР, ЦК ФЭС - отсутствуют.
Разработаны и утверждены нормы на ОПР ЭР с соответствии с СТП СР/ПиТ/МУ03.</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</si>
  <si>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t>
  </si>
  <si>
    <t>Повышение эффективности РП РТУ</t>
  </si>
  <si>
    <t>1 Отсутствие переработок более 120 часов (СУР, РВД) персонала РП РТУ .
2.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3.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</si>
  <si>
    <t>Cписание МРП</t>
  </si>
  <si>
    <t>отсутствие несвоевременно списанных МРП</t>
  </si>
  <si>
    <t>Внесение в систему Иди и Смотри 10 ПАБ с выявлением ОД/ОУ в квартал</t>
  </si>
  <si>
    <t>Допуски по ОТиПБ</t>
  </si>
  <si>
    <t>отсутствие просроченных допусков</t>
  </si>
  <si>
    <t xml:space="preserve"> Отсутствие травматизма</t>
  </si>
  <si>
    <t>Отсутствие несчастных случаев при выполнении работ; соблюдение требований ДИ</t>
  </si>
  <si>
    <t>Персонал</t>
  </si>
  <si>
    <t>1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
2 Разработка, пересмотр и внесение изменений в должностные инструкции, инструкции по охране труда, инструкции по видам работ в зоне своей ответственности.
3 Ноль  просроченных допусков, обучений персоналом РП РТУ</t>
  </si>
  <si>
    <t>Ведение документации</t>
  </si>
  <si>
    <t>1.Оформление расследований микротравм и несчастных случаев (при необходимости), произошедших в РП РТУ, внесение результатов расследования в программу.
2. Участие в работе комиссии по аттестации по вопросам безопасности и проверки знаний требований охраны труда рабочих и ИТР РП РТУ, ведение протоколов аттестационных комиссий подразделения.
3. Контроль наличия/отсутствия id-допусков персонала подразделения РП РТУ.
4. Организация своевременной аттестации (формирование списков, графиков проверки знаний).</t>
  </si>
  <si>
    <t>Формирование 100 % Актов переноса заказов не вошедших в месячный план, направлен</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</si>
  <si>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ремонту технологического оборудования Производства полиэтилена</t>
  </si>
  <si>
    <t>Развитие ПСС</t>
  </si>
  <si>
    <t>1. 20 баллов по чек-листу оценки рабочего места
2. Одна идея УМШ по развитию и поддержанию ПСС в месяц</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</si>
  <si>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t>
  </si>
  <si>
    <t>Планирование ТОиР</t>
  </si>
  <si>
    <t>"
"1. Замеры ЧВР (ФРД) анализ потерь разработка мероприятий на их снижение
2. Точность предоставления  данных по мощности участка на еженедельной основе не менее 97%
3. Выполнение недельного плана работ"</t>
  </si>
  <si>
    <t>"1. Ноль травм. LTIF = 0
2. Проведение ПАБ и выявление ОД/ОУ. Не менее 15 баллов в Чемпионате
3. Вовлечение персонала в мотивационную программу ""Чемпионат по безопасности по ОТ, ПБ и Э"" 100%
4. Отсутствие аварий, инцидентов, ПОП по причине некачественного ремонта
5. Проведениии собраний по ОТиПБ по утвержденному алгоритму на участке с составлением протокола (4 в КТО)"</t>
  </si>
  <si>
    <t>Развитие сотрудников</t>
  </si>
  <si>
    <t>"1. Индекс компетентности персонала не менее 81%
2. Контроль выполнения планов обучения и соблюдения графиков реализации обучающих программ"</t>
  </si>
  <si>
    <t>"1. Разработка СОП и актуализация техкарт в соответствии с графиком.
2. Не более 1 повторного ремонта.
3. Отсутствие аварий, инцидентов, ПОП.
4. 100% СОП разработаны и актуализированы в соответствии с графиком"</t>
  </si>
  <si>
    <t>01.07.2026 - 05.07.2026</t>
  </si>
  <si>
    <t>Доля выполненных работ из запланированных на неделю работ</t>
  </si>
  <si>
    <t>Доля НД непрошедших проверки РПО из-за критических замечаний по отношению к общ</t>
  </si>
  <si>
    <t>1.  Выбросы ЗВ в атмосферу не более 0,357 тыс.тн
2. Сбросы ЗВ в стоки не более 0,101 тыс. тн
3. Отходы на размещение не более 0,055 тыс. тн.</t>
  </si>
  <si>
    <t>Потери сырья от ВО, млн.руб.</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</si>
  <si>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ремонтов/Техническое обслуживание и ремонты Производства полиэтилена</t>
  </si>
  <si>
    <t>80% внеплановых работ выполнено за счет ПФ
Вся документация сформирована до пуска производств
Готовность к пуску производства ПЭ раньше ПМ на 4 суток</t>
  </si>
  <si>
    <t>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потерь ВПР в течение  20 суток после ОР.</t>
  </si>
  <si>
    <t>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</si>
  <si>
    <t>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</si>
  <si>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в з.о. СУОФ по отказам оборудования УМД от EBITDA = 0%
Отсутствует отставание по расследованиям</t>
  </si>
  <si>
    <t>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</si>
  <si>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ЛО согласно плана проведения с записями в Иди и смотри
Проверка РПО по своим работам</t>
  </si>
  <si>
    <t>Выполнение планов по сменам за 3 кв2026 г.</t>
  </si>
  <si>
    <t>Выполнение целей стратегии устойчивого развития Не менее 100 %</t>
  </si>
  <si>
    <t>1. Выбросы ЗВ в атмосферу не более 0,166 тыс. тн
2. Сбросы ЗВ в стоки не более 0,021 тыс. тн
3. Отходы на размещение не более 0,050 тыс. тн
4. Водопотребление, не более 48,60 тыс. м3
5. Выбросы парниковых газов, не более 24860,00 т. СО2</t>
  </si>
  <si>
    <t>УМД в зоне ответственности производства, % от EBITDA</t>
  </si>
  <si>
    <t>не более 0 млн руб</t>
  </si>
  <si>
    <t>сигнализации - 10500 шт.
НТР - не более 60  шт./кв.
НАК - не более 78 шт./кв.</t>
  </si>
  <si>
    <t>ЦНД, % отклоненных н/д не более 10 %</t>
  </si>
  <si>
    <t>Не более 10 %</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</si>
  <si>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фондами/Регионализация ФЭП КЦ/Центр компетенций Планирование и контроль</t>
  </si>
  <si>
    <t>Контроль исполнения и консолидация отчетности бюджета ЭПНиР ТД Компании</t>
  </si>
  <si>
    <t>Осуществляется систематический контроль выполнения запланированных объемов и стоимостных показателей расходов по статьям бюджета ЦФО ЭПНиР ТД, ведется учет отклонений от установленного бюджета.
Своевременная подготовка и предоставление отчетности.
Выполнена консолидация данных по предприятиям в единую отчетность, проведена сверка и согласование сводных показателей с ФЭС.
Результаты мониторинга и анализа представляются руководству Компании в удобной и наглядной форме.
Выполнены необходимые корректировки лимитов бюджета.</t>
  </si>
  <si>
    <t>Атуализация СТП по управлению РБ (в т.ч.обновление ролей )</t>
  </si>
  <si>
    <t>Организовать сбор обратной связи, вопросы и предложения по изменению СТП с ключевых участников процесса. Все изменения полностью отражены в новой версии стандарта. Роли и полномочия сотрудников, участвующих в процессе управления РБ ПОФ соответствуют актуальному штатному расписанию. Обновленная версия документа направлена на рассмотрение и утверждение руководителям.</t>
  </si>
  <si>
    <t>Оценка приживаемости и внесение корректировок в СТП по РБ ПОФ</t>
  </si>
  <si>
    <t>Организовала  и приняла участие в обучающем вебинаре по изменению СТП.
Участие в оценке приживаемости процессов. Оценка соответствия практики действующим регламентным документам. Собраны и проанализированы отзывы и замечания пользователей СТП, проведен анализ результатов его внедрения. На основе собранных данных выявлены недостатки существующего СТП, разработаны предложения по внесению уточнений и дополнений в текст документа. Изменения включены в новый вариант СТП.</t>
  </si>
  <si>
    <t>Доработка ДБ Выполнение годового плана ТОиР</t>
  </si>
  <si>
    <t>Участие в рабочей группе по доработкам ДБ как ЕОЛ, оперативно прорабатывать вопросы, возникающие в рамках реализации доработки, проводить тестирование выполненных шагов.
Проводить оценку эффективности реализации доработки, предоставлять руководству и ответственным службам актуальную информацию о ходе завершения доработки,  выявление проблемных зон и потенциальных рисков завершения в срок.</t>
  </si>
  <si>
    <t>Годовое планирования РБ ПОФ,ЭПНиР ТД Компании. Организация процесса по метод-ии</t>
  </si>
  <si>
    <t>Организован процесс экспертизы бюджетов РБ ПОФ на предмет соответствия стандартам и методикам планирования Компании, контроля работы по качеству и своевременности внесения плановых данных в информационные системы (экспертами, лично). Организован и выполнено административное сопровождение встреч по Защите РБ ПОФ 2027 с Руководителями ФЭП</t>
  </si>
  <si>
    <t>Отсутствие НС (LTIF = 0), Вовлечение в Чемпионат по безопасности, экологии</t>
  </si>
  <si>
    <t>- Синхронизировать активности и внедрения (планирование ОПИ, омологация новых марок  и т.п.). Фокус на качество продукции, проработка рисков.
- Обеспечить совместно с СГТ факторный анализ и  актуализацию расходных норм
- Обеспечить совместно с СУН/СУОФ актуализацию ремонтных циклов</t>
  </si>
  <si>
    <t>Выполнение плана по производствам в з.о. ПДУ - ПП+ПЭ (3квартал) - 114,4тн.
Выполнение плана (очищенный от ОР) по производствам в з.о. ПДУ - ПП+ПЭ (3квартал) -  85,4тыс.тн</t>
  </si>
  <si>
    <t>Развитие команды:
- подготовка к аудиту ИСМ (Агаджанян/Михальчук/Кузнецов
- выравнивание/настраивание методологии с ФЭП КЦ в рамках Меридиума (УМД/ДМД/НСП)
- Календарный план по ПЭ (Агаджанян/Малышева
- Простои производства сырье (Мишанькина/Леонтьева)</t>
  </si>
  <si>
    <t>Мастер по ремонту технологического оборудования</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</si>
  <si>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компрессорного и технологического оборудования ПМ, ППЭ, ППП, ПУиСП/Группа по оперативному ремонту технологического оборудования производств/Поле</t>
  </si>
  <si>
    <t>не менее 20 балл</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</si>
  <si>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компрессорного и технологического оборудования ПМ, ППЭ, ППП, ПУиСП</t>
  </si>
  <si>
    <t>Развитие команды</t>
  </si>
  <si>
    <t>"1. Индекс компетентности персонала не менее 65%.
2. Контроль выполнения планов обучения и соблюдения графиков реализации обучающих программ."</t>
  </si>
  <si>
    <t>ОТ и ПБ</t>
  </si>
  <si>
    <t>не менее 45 шт</t>
  </si>
  <si>
    <t>1. Выполнение дневного плана работ.
2. Своевременное и ежесменное подтверждение фактических трудозатрат в SAP.</t>
  </si>
  <si>
    <t>"1. Отсутствие повторных ремонтов в зоне ответственности.
2. Внесение записей в паспорт оборудования после проведения ремонтов / оформление исполнительной документации.
 3. Контроль качества заполнения формуляров подчиненным персоналом с подведением итогов на еженедельной основе.
4. Отсутствие аварий, инцидентов, ПОП.           "</t>
  </si>
  <si>
    <t>Установить на ОПЭ МТР приобретенные по ЦИ ТН</t>
  </si>
  <si>
    <t>Установить на ОПЭ  МТР приобретенные по ЦИ  ТН  в количестве согласно возможностям производств. Предварительно   10 позиций подлежит установке.</t>
  </si>
  <si>
    <t>Сформировано РКД . РКД передан в КЦ ТНЦ для включения в общую модель данных</t>
  </si>
  <si>
    <t>не менее 30 поз.</t>
  </si>
  <si>
    <t>Утверждение программ ОПЭ</t>
  </si>
  <si>
    <t>Софрмированы и утверждены программы ОПЭ  по  9 поз.</t>
  </si>
  <si>
    <t>Митигация рисков доступности оборудования</t>
  </si>
  <si>
    <t>Сформирован трекер . Для 100% МТР трекера ABCD определены пути митигации, митигированы риски тек.периода или  сформирован отчет по защищенности по задаче М.Ю.Новокрещенных</t>
  </si>
  <si>
    <t>Общество с ограниченной ответственностью "Томскнефтехим"/Направление Главного инженера/Проектный офис "Целевые инициативы"</t>
  </si>
  <si>
    <t>Коэффициент частоты травм с временной потерей трудоспособности</t>
  </si>
  <si>
    <t>не более 0.1 ед</t>
  </si>
  <si>
    <t>Директор</t>
  </si>
  <si>
    <t>Общество с ограниченной ответственностью "Томскнефтехим"/Инфраструктура.Развитие.</t>
  </si>
  <si>
    <t>Реализация проекта перенос управления в ЗСГО (Бункер)</t>
  </si>
  <si>
    <t>Согласно графика реализации проекта в срок до 30.09.2026 выполнено:
1. Закуп 100% материалов для прокладки оптического кабеля
2. Прокладка 100% кабеля оптического между производствами
3. Организован закуп оборудования и шкафов связи для их дальнейшего монтажа</t>
  </si>
  <si>
    <t>Подготовка пакета документов, для БП 2027 по ЦИ Подземные трубопроводы</t>
  </si>
  <si>
    <t>Согласование по матрице согласующих подготовленной карточки ЦИ Подземные трубопроводы, включение согласованного бюджета в бизнес-план 2027 года</t>
  </si>
  <si>
    <t>Прогресс проекта Противопожарное водоснабжение на 30.09.2026</t>
  </si>
  <si>
    <t>не менее 76.21 %</t>
  </si>
  <si>
    <t>Прогресс проекта АСУ ТП на 30.09.2026</t>
  </si>
  <si>
    <t>не менее 81.09 %</t>
  </si>
  <si>
    <t>Прогресс проекта АСПЗ на 30.09.2026</t>
  </si>
  <si>
    <t>не менее 79.85 %</t>
  </si>
  <si>
    <t>Снизить аварийность по инженерке</t>
  </si>
  <si>
    <t>Сократить количество аварийных заявок по системам отопления и водоснабжения на 30% за год за счёт плановой промывки, опрессовки, замены изношенных участков и контроля давления</t>
  </si>
  <si>
    <t>Контролировать состояние кровли</t>
  </si>
  <si>
    <t>До начала осенне-зимнего периода (октябрь) устранить все протечки кровли и нарушения водоотвода; подтвердить актом готовности к сезону</t>
  </si>
  <si>
    <t xml:space="preserve"> Управление травматизмом</t>
  </si>
  <si>
    <t>1. ПАБ - 1 шт./мес.
2. ОТ - 9 шт./мес.
3. ПБ - 1 шт./мес.
4. Экология - 1 шт./мес.</t>
  </si>
  <si>
    <t>Вовлеченность в чемпионат по безопасности</t>
  </si>
  <si>
    <t>Вовлеченность ИТР РП в ПАБ не менее 95% ежемесячно</t>
  </si>
  <si>
    <t>Организовать выполнение мероприятий по соблюдению требований пож. без-ти в РП</t>
  </si>
  <si>
    <t>Сократить число зафиксированных нарушений требований пожарной безопасности на 30% за квартал по сравнению с предыдущим периодом</t>
  </si>
  <si>
    <t>Подача в СУОФ доступных ресурсов РП для недельного и месячного планирования</t>
  </si>
  <si>
    <t>Отсутствие замечаний от смежных подразделений - 0 замечаний по качеству подачи и сроку</t>
  </si>
  <si>
    <t>Оценка 5
1. Обеспечить подтвержденный финансовый эффект от внедренных ММ в размере не менее 11 млн руб. до 30.09.2026
2. Сформировать  перечень инициатив на 2027г. с суммарным прогнозным эффектом на EBITDA не менее 40,5 млн руб. до 30.09.2026 (В СОВА на этапе I2P ММ)
3. Обеспечить выполнение норм расхода сырья в период ОР-2026г., не более:
3.1 ПМ = 2743т;
4.  Обеспечить  подтвержденным финансовым эффектом в 2026 от реализации меропритяий  программы ""Эффективность+"" в ЗО СГТ   до 30.09.2026, млн.руб.:
4.1 ПМ = 142;
Оценка 6
3. Снизить потери сырья относительно заложенных в БП-2026 на ОР за счёт разработанных технических мероприятий :
3.1. ПМ = -190 тонн (бензин);
4. Разработать дополнительные мероприятия с подтвержденным финансовым эффектом в 2026 для  программы "Эффективность+" в ЗО СГТ  до 30.09.2026, млн.руб.
4.1 ПМ = 50;</t>
  </si>
  <si>
    <t>Повышение производственной эффективности ТНХ</t>
  </si>
  <si>
    <t>"1. Обеспечить выполнение (выдерживание) расходных норм МТР не менее 90% до 30.09.2026 за счёт разработки меропритяий по итогам:
1.1 ежесменного ФА отклонений РН (выполняет НС)
1.2 еженедельного ФА отклонений РН (выполняет ВИП+ВИТ)
1.3 ежемесячного ФА отклонений РН (в рамках защиты БК)
2. Снизить неидентифицированные потери узла Пиролиза с 0,5 до 0,4% до 30.10.2026 путём актуализации балансовых схем, выявления неидентифицированных потоков, выявления проблем с качеством данных в ТМБ.
3. Обеспечить выполнение показателя ""Потери по ключевым РН сырья в ЗО ФЭП"" до 30.09.2026,  не более 36 млн.руб (ПМ сырье = 32, ПМ топ.газ = 4) за счёт разработки меропритяий по итогам:
3.1 ежесменного ФА отклонений РН (выполняет НС)
3.2 еженедельного ФА отклонений РН (выполняет ВИП+ВИТ)
3.3 ежемесячного ФА отклонений РН (в рамках защиты БК)"</t>
  </si>
  <si>
    <t>Минимизация потерь ТНХ</t>
  </si>
  <si>
    <t>Разработан помощник для сведения баланса этилена и пропилена на ТНХ</t>
  </si>
  <si>
    <t>Внедрение ИИ в ОТиР</t>
  </si>
  <si>
    <t>Обеспечение эффективного процесса RCA (Анализ коренных причин)</t>
  </si>
  <si>
    <t>"1. Доля просроченных мероприятий АКП, не более 10% в месяц
2. Покрытие расследованиями отклонений ключевых РН по сырью, не менее 50%
3. Покрытие расследованиями отклонений ключевых РН по сырью, не менее 50%"</t>
  </si>
  <si>
    <t>Развитие и управление цифровизацией</t>
  </si>
  <si>
    <t>"ЭКОНС:
1. Работа в ЗЗ за период, не менее 80%
2. Работа в ОГР за период, не менее 95%
3. Работа в ЧЗ за период, менее 1%
4. Создания с нуля панели ЭКОНС отражающую текущие показатели эффективности - ИТЭ-1,2, ИТЭзхп, МДП, потери"</t>
  </si>
  <si>
    <t>"1. Провести не менее 3-х ПАБ в квартал. Предложить мероприятия по недопощуению травмирования сотрудников предприятия и подрядных организаций
2. Проведение ЛО не менее 2 баллов по ПБ, не менее 2 баллов по ОТ.
"</t>
  </si>
  <si>
    <t>Качество ТОиР,</t>
  </si>
  <si>
    <t>1. Освоение ПОФ 2026 по поверке приборов ООО Томскнефтехим не менее 95 %, в зоне своей ответственности.
2. Выполнение недельного  и месячного плана работ не менее 95 %, в зоне своей ответственности.
3. Своевременная отражение ПБД в отчетный период.
4. Заключение договоров (доходных, расходных,  ДГПХ и др.) по распоряжению руководителя 100%
5. Проведение ЭС УМШ 2 раза в месяц, кроме КИПиА</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</si>
  <si>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фондами/Остановочные ремонты</t>
  </si>
  <si>
    <t>Сформированы Work-Pack'и для списка критичного оборудования в количестве 38 штук</t>
  </si>
  <si>
    <t>не менее 38 шт</t>
  </si>
  <si>
    <t>Менеджер по остановочным ремонтам</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</si>
  <si>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t>
  </si>
  <si>
    <t>Проверены квалификационные документы и тех оснащение подрядчиков для выдачи проп</t>
  </si>
  <si>
    <t>Проведен входной контроль всех МТР к ОР 2026</t>
  </si>
  <si>
    <t>Обеспечено формирование объема работ ОР, выраженного в виде 5913Заказ-нарядов SA</t>
  </si>
  <si>
    <t>не менее 5913 шт.</t>
  </si>
  <si>
    <t>Обеспечено сопровождение всех тендерных процедур</t>
  </si>
  <si>
    <t>- сформированы ТЗ
- проведены референс-визиты
- проведена проверка квалификационных удостоверений исполнителей</t>
  </si>
  <si>
    <t>Обеспечено качество формирования ЗН на работы ОР 2026 года на уровне 100% соглас</t>
  </si>
  <si>
    <t>На все дополнительные работы ОР созданы ЗН SAP</t>
  </si>
  <si>
    <t>Контроль исполнения работ КА</t>
  </si>
  <si>
    <t>выполнено - операции выполняются согласно графика, статус ежедневно передается СТиП
не выполнено -  операции не выполняются согласно графика / статус не передается СТиП</t>
  </si>
  <si>
    <t>Для формирования ситуационного плана предоставлена вся необходимая информация, ф</t>
  </si>
  <si>
    <t>выполнено - ситуационный план сформирован, обеспечена работоспособность коммуникаций
не выполнено - ситуационный план не сформирован /не обеспечена работоспособность коммуникаций</t>
  </si>
  <si>
    <t>Все мастера контрагентов ознакомлены по месту с объемом работ ОР</t>
  </si>
  <si>
    <t>не менее 6 чел.</t>
  </si>
  <si>
    <t>Руководитель ремонтного производства</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</si>
  <si>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t>
  </si>
  <si>
    <t>Нет отрицательного влияния на сроки проведения ОР. В течение 20 дней после ОР нет отказов от некачественных ремонтов в ЗО.</t>
  </si>
  <si>
    <t>Исполнение пунктов в ЗО согласно дорожной карты.</t>
  </si>
  <si>
    <t>1. 0 событий в зоне ответственности с влиянием на ИА-1
2. 0 событий с возгораниями в ЗО</t>
  </si>
  <si>
    <t>Команда</t>
  </si>
  <si>
    <t>1. Выполнения планов обучения и соблюдения графиков реализации обучающих персонала не менее 95%
2. Формирование комплекта учебно‑методических материалов в соответствии с матрицей компетенций для обучения сотрудников.
3. Реализация учебного процесса в классах для формирования у персонала теоретических знаний и практических навыков в рамках утверждённых графиков.</t>
  </si>
  <si>
    <t>Выработка РП (плановой трудоемкость подтв заказов/ факт ФРВ по табелю)</t>
  </si>
  <si>
    <t>1. Повторных ремонтов в ЗО РП не более 350ч;
2. Проведения ритуала День качества согласно карточки ритуала
3. Выполнение мероприятий из плана по снижению потерь (реестр мероприятий с статусами «запланировано», «в работе», «выполнено»).</t>
  </si>
  <si>
    <t xml:space="preserve"> УМД в ЗО РП 0% от Ebitda</t>
  </si>
  <si>
    <t>не более 0 %</t>
  </si>
  <si>
    <t>1. 0 событий в зоне ответственности с влиянием на Ltif предприятия
2. Срок расследования происшествий по ОТ ПБ не более 21 дня
3. Вовлеченность ИТР в проведение ПАБ 100%
4. Отсутствуют просроченные id - допуска в матрице положенности по РП более 1%</t>
  </si>
  <si>
    <t>Подготовка и Выполнение остановочного ремонта согласно амбициозным срокам</t>
  </si>
  <si>
    <t>1. 100% выполнение работ, влияющих на соблюдение межремонтного интервала в з.о.
2. Все работы в SAP закрыты, использованные материалы списаны до начала пусковых работ  в з.о.
3.Вся документация (ИД, ЭД) заполнена до пуска оборудования
4. ОР проведён согласно амбициозных сроков (ПМ 25 дней, ПЭВД 21 день)  в з.о.
5. Не зафиксировано происшествий по ОТ и ПБ и влияющих на ИА  в з.о.
6. Дополнительный и внеплановый объем выполнен без влияния на сроки ОР в з.о.
7.Выполнение объема работ от замороженного  92% &lt;Х&lt;100 %  в з.о.
8. Выполнение объема работ критического пути на 100%  в з.о.
9. Потери ВПР в течение  20 суток после ОР  в з.о.</t>
  </si>
  <si>
    <t>Ведущий инженер по вибродиагностике</t>
  </si>
  <si>
    <t>Восстановить точки замеров виб. на насосах тит.402, поз. Н-8, Н-9, Н-10, Н-75</t>
  </si>
  <si>
    <t>Повышение точности сравнительно анализа вибрации</t>
  </si>
  <si>
    <t>Оформление ПАБ</t>
  </si>
  <si>
    <t>не менее 15 штук</t>
  </si>
  <si>
    <t>Мониторинг состояния резервуара Е-2 и оформление заключений за отчетный квартал</t>
  </si>
  <si>
    <t>Безаварийная эксплуатация резервуара ИХЭ</t>
  </si>
  <si>
    <t>Выполнение задач экспертного сообщества КЦ</t>
  </si>
  <si>
    <t>Проведена защита на инженерном совете целевой инициативы по оснащению агрегатов системами вибромониторинга и вибродиагностики</t>
  </si>
  <si>
    <t>Общество с ограниченной ответственностью "Томскнефтехим"/Направление Главного инженера/Служба управления надежностью/Отдел технического надзора</t>
  </si>
  <si>
    <t>Проведение комплексной проверки на ЭП согласно графику</t>
  </si>
  <si>
    <t>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</si>
  <si>
    <t>Проведение комплексной проверки ПМ, ЭП</t>
  </si>
  <si>
    <t>Проведение комплексной проверки на ПМ согласно графику</t>
  </si>
  <si>
    <t>Минимизация травматизма. Отсутствие НС по СУН</t>
  </si>
  <si>
    <t>не более 0 .</t>
  </si>
  <si>
    <t>Организация проведения работ по ЭПБ в ОР 2026</t>
  </si>
  <si>
    <t>Выполнение работ по ЭПБ 2026 в ОР 2026 согласно графика</t>
  </si>
  <si>
    <t>Организация проведения ЭПБ до ОР 2026</t>
  </si>
  <si>
    <t>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</si>
  <si>
    <t>Общество с ограниченной ответственностью "Томскнефтехим"/Направление Директора по производству/Производство мономеров/Смена 3/Установка пиролиза углеводородов нефти</t>
  </si>
  <si>
    <t>не более 1579 шт</t>
  </si>
  <si>
    <t>Общество с ограниченной ответственностью "Томскнефтехим"/Направление Директора по производству/Производство мономеров/Смена 3</t>
  </si>
  <si>
    <t>не более 16364 шт</t>
  </si>
  <si>
    <t>не более 27096 шт</t>
  </si>
  <si>
    <t xml:space="preserve"> Выполнение в срок задач, поставленных руководителем</t>
  </si>
  <si>
    <t>Все задачи и распоряжения выполнены в срок</t>
  </si>
  <si>
    <t>Проведение линейных обходов производств</t>
  </si>
  <si>
    <t>Линейные обходы проведены</t>
  </si>
  <si>
    <t xml:space="preserve"> Проведение комплексной проверки на ПМ и ЭП не менее 2 шт</t>
  </si>
  <si>
    <t>Выполнение ЭПБ 2026 в ОР 2026</t>
  </si>
  <si>
    <t>Участие в Чемпионате безопасности</t>
  </si>
  <si>
    <t>Отсутствие случаев травматизма в зоне ответственности ОУЭр. Поддерживается вовлеченность сотрудников в ОТиПБ. Личная вовлеченность в ОТиПБ, участие в ЛО и регистрация ПАБ в системе</t>
  </si>
  <si>
    <t>Выполнение целей устойчивого развития</t>
  </si>
  <si>
    <t>Участие не менее чем в 3-х экомероприятиях как проводимых направлением Экология, так и вовлеченность согласно методики экологов</t>
  </si>
  <si>
    <t>Принять участие в поведении мастерской по СРР
Приведение рабочих мест в подразделении в соответствие системе 5С и поддержание порядка в долгосрочном периоде</t>
  </si>
  <si>
    <t>Настройка процесса ценозависимого потребления электроэнергии согласно СТП СР/05-02-01/МУ01 и контроля его выполнения, проведение ознакомительной встречи с начальниками производств, определение ответственных</t>
  </si>
  <si>
    <t>Тарифная кампания на 2027 год</t>
  </si>
  <si>
    <t>Формирование ТЗ на выбор подрядчика. Согласование с ФЭР. Взаимодействие с коллегами ЗСНХ по обмену опытом. Запуск процедуры выбора. Проработка необходимости утверждения инвестиционной программы по регулируемым видам деятельности ТНХ</t>
  </si>
  <si>
    <t>Общество с ограниченной ответственностью "Томскнефтехим"/Направление Директора по производству/Производство полиэтилена/Смена 1</t>
  </si>
  <si>
    <t>Выполнение целей стратегии устойчивого развития: - выбросы ЗВ в атмосферу</t>
  </si>
  <si>
    <t>1. Выбросы ЗВ в атмосферу не более 0,225 тыс. тн
2. Сбросы ЗВ в стоки не более 0,018 тыс. тн
3. Отходы на размещение не более 0,050 тыс. тн.</t>
  </si>
  <si>
    <t>УМД в зоне ответственности производства</t>
  </si>
  <si>
    <t>0 млн.руб.</t>
  </si>
  <si>
    <t>сигнализации - 10500 шт.
НТР - не более 6533  шт./кв.
НАК - не более 52 шт./кв.</t>
  </si>
  <si>
    <t>Цифровые наряды допуски</t>
  </si>
  <si>
    <t>не более 10%</t>
  </si>
  <si>
    <t>Главный технолог</t>
  </si>
  <si>
    <t>Общество с ограниченной ответственностью "Томскнефтехим"/Служба главного технолога</t>
  </si>
  <si>
    <t>Запуск процессов АГХК</t>
  </si>
  <si>
    <t>Обеспечена поддержка командам УК и ЦЗЛ АГХК. Системное подключение на ритуалы, оказание методологической поддержки в решении задач.</t>
  </si>
  <si>
    <t>Запуск новых производств</t>
  </si>
  <si>
    <t>Финализирована ДК по ЦЗЛ. Отслеживаются статусы выполнения мероприятий на ежеквартальной основе. Запланированные мероприятия выполнены в полном объеме.</t>
  </si>
  <si>
    <t>Реализация мероприятий Программы на 2026 г,внедрение инструмента ВУЭ, выполнение планов по помещениям, СРР через квартальное\годовое целеполагание</t>
  </si>
  <si>
    <t>Развитие технических и функциональных компетенций персонала</t>
  </si>
  <si>
    <t>Уровень универсализации в ЦЗЛ не ниже 80% без учета вновь принятых сотрудников, ИК не ниже 95%</t>
  </si>
  <si>
    <t>Приживаемость вновь вводимых процессов (эффект 1000 исп/год) по перераспределению текущих ресурсов персонала ЦЗЛ: приготовление растворов сотрудниками СЭК, выполнение графика 2 силами препараторов, перераспределение функционала по организации процесса аутсорсинга масел, универсализация персонала  с последующей дозагрузкой ГАК ТИБА</t>
  </si>
  <si>
    <t>Кураторство деятельности Сообщества равных возможностей ТНХ</t>
  </si>
  <si>
    <t>- запуск проекта с психологами на тему Теория поколений
- проведение квартальной встречи с женщинами производств
- запуск подкаста с женщинами недавно вышедшими из декрета (сложности, страхи)
- запуск работы с НКО по вопросам психологической поддержки мам детей-инвалидов, реализация проекта "Скоро в школу"
- реализованы коммуникационные активности по проведенным мероприятиям</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</si>
  <si>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полипропилена/Участок по ремонту технологических трубопроводов, трубопроводной арматуры и изготовлению нестандартного, котельного оборудования/Поле</t>
  </si>
  <si>
    <t>Развитие Команды</t>
  </si>
  <si>
    <t>1. Выполнение планов обучения и соблюдения графиков реализации обучающих программ не менее 95%.
2. ИК - 84,8%,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85%.
5. Проведение проверок знания по ТК персоналу РТУ согласно графика, индекс компетентности персонала участка 75%  (на основании запланированных обучений и по результатам успешной сдачи).</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</si>
  <si>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полипропилена/Участок по ремонту технологических трубопроводов, трубопроводной арматуры и изготовлению нестандартного, котельного оборудования</t>
  </si>
  <si>
    <t>1. Состояние рабочих мест (5С) не менее 95% с оценкой выше 20 балов.
2.  Сокращение потерь через проведения ФРД, ЧВР поля выше 57%, цеха выше 76%.
3. Все мероприятия по минимизации потерь выполнены на 100%.
4. Отсутствие нарушений трудового распорядка дня персоналом РП РТУ ЗРА и НКО.</t>
  </si>
  <si>
    <t>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Проведение оценок всех рабочих мест по приведению к 5С, не ниже 20% по чек листу.
6. % личной вовлеченности в управленческое наставничество, развивающее сотрудников (не менее 2  наставляемых ).
7. Приживаемость - Адаптация, развитие, УЭ, Вовлечённость - 100%.
8. Оценка качества проведения Час по ОТ ПБ Э - не ниже 90%.
9. Приживаемость сотрудников до 1 года, МС - &lt;10%.
10. Вовлечённость в Пульс опрос &gt;95% ; Лояльность &gt;90%, Удовлетворённость &gt;90%, eNPS &gt;47%, mNPS &gt;58%.
11. Срок получения допуска к самостоятельной работе не более 60 дней.</t>
  </si>
  <si>
    <t>1. Не более 1-го повторного ремонта из-за некачественного ремонта (без УМД), не более 100ч/ч.
2. 0 отклонений по графику пересмотра и формирования карт СОП.
3. 0 ремонтов без тех.карт.
4. 0 непредоставленных исполнительных документаций после ремонта.</t>
  </si>
  <si>
    <t>1. Фактическая загрузка персонала не менее 95 %.
2. Выполнение дневного плана работ в среднем за месяц не менее 95 %.
3. Выполнение недельного плана 95%.
4. Выработка РП РТУ ЗРА и НКО  не менее 86%.</t>
  </si>
  <si>
    <t>УМД в ЗО РП РТУ ЗРА и НКО = 0</t>
  </si>
  <si>
    <t>не более 0 млн.р</t>
  </si>
  <si>
    <t>1. Выявление и расследование микротравм на участке РП РТУ ЗРА и НКО.
2. 10 записей ПАБ.
3. Вовлеченность в чемпионат по безопасности персонала РП РТУ ЗРА и НКО(внесение записей в журнал Иди и смотри по ОТ, ПБ, Э)   - 100%.
4. Вовлеченность мастеров, экспертов в проведение ПАБ 100%.
5. Отсутствие просроченных id - допусков в матрице положенности по РП РТУ ЗРА и НКО не более 1%.
6. Проведение  не менее одного совещания по ОТ в месяц на участке РП РТУ ЗРА и НКО.</t>
  </si>
  <si>
    <t>Формирование перечня АТЗ</t>
  </si>
  <si>
    <t>утверждение перечня АТЗ на уровне ГИ ТНХ</t>
  </si>
  <si>
    <t>Приживаемость петрик ПСС</t>
  </si>
  <si>
    <t>Достижение целевых метрик приживаемости &gt;93%:</t>
  </si>
  <si>
    <t>1. Полученные допуска по СУН -99%
2. 0 событий в зоне ответственности с влиянием на Ltif предприятия
3. Проведение запланированных ЛО 100%
4. Вовлечённость в ПАБ СУН - 90%</t>
  </si>
  <si>
    <t>Выполнение остановочного ремонта согласно заявленным параметрам БП</t>
  </si>
  <si>
    <t>Оценка выполнения в соответствии с чек-листом - не менее 95%, в т.ч
1. Выполнение 100% объёма ЭПБ, запланированного на ОР согласно ДК
2. Выполнение качественно, в срок ремонт основного динамического оборудования ПМ, ПП, ПЭ</t>
  </si>
  <si>
    <t>УМД по валу в ЗО, % от EBITDA</t>
  </si>
  <si>
    <t>Качественно и в срок проведённые расследования на события с УМД по валу</t>
  </si>
  <si>
    <t>качество расследований не менее 90%
средний срок RCA не более 30 дней
Средний срок БА не более 45 дней
покрытие всех событий с УМД 100%</t>
  </si>
  <si>
    <t>Сформирован общий перечень несоответствий, выявленных в ходе проверки по ЛОС</t>
  </si>
  <si>
    <t>Бизнесс планирование Расходных норм на 2027 г</t>
  </si>
  <si>
    <t>Внесены в SAP БП РН по ПМ, ПУиСП на 2027 год в соответствии с предоставленным шаблоном ВИТ</t>
  </si>
  <si>
    <t>Прохождение обучения по курсам:
1. Диалог с искусственным интеллектом (ИИ): от запросов к решению;
2. Использование искусственного интеллекта (ИИ) для решения рабочих задач;
3. Основы практического использования искусственного интеллекта (ИИ)</t>
  </si>
  <si>
    <t>Проведение экспертных советов УМШ по СГТ</t>
  </si>
  <si>
    <t>Рассмотрение всех новых идей УМШ по СГТ в установленные сроки</t>
  </si>
  <si>
    <t>По ОТ 6 записей
По ПБ 6 записей
Баллы ПАБ 3 (1 ПАБ в месяц)
Экология 10</t>
  </si>
  <si>
    <t>Проведение целевых и комплексных проверок согласно графика.</t>
  </si>
  <si>
    <t>Проведение целевых и комплексных проверок согласно графика. Внесение замечаний в систему в установленные сроки
1. ПМ - июль
2. Проверка производств на соответствие Перечня обязательных документов на ЦПУ</t>
  </si>
  <si>
    <t>Исправление замечаний КА "Русская лаборатория" в зоне ответственности СГТ</t>
  </si>
  <si>
    <t>Исправлены все замечания КА "Русская лаборатория" в зоне ответственности СГТ в соответствии с предоставленным отчётом.</t>
  </si>
  <si>
    <t>Внесение в SAP изменений в расходные нормы ПМ</t>
  </si>
  <si>
    <t>Внесение в SAP изменений в расходные нормы ПМ, ведение спецификаций ПМ в SAP</t>
  </si>
  <si>
    <t>Внесение изменений в технологические регламенты</t>
  </si>
  <si>
    <t>Внесение изменений в Технологические регламенты в ОР:
1. ПТР ПУиСП-01-2021 (ТСБ), Изм.8 (Интеграция Текона в Yokogawa)
2. ПТР ПМ-07-2023 (дем. вода), Изм.3   (АСУ ТП узла обессоливания воды к.415)
3. ПТР ПМ-01-2018, Изм.17</t>
  </si>
  <si>
    <t>ППЭ организация и планирование проведения ПО/РЕВИЗ Технологических трубопроводов</t>
  </si>
  <si>
    <t>не менее 50 %</t>
  </si>
  <si>
    <t>Осуществление внутренних проверок состояния промышленной безопасности Не менее 6 количество</t>
  </si>
  <si>
    <t>Осуществление внутренних проверок состояния ПБ</t>
  </si>
  <si>
    <t>не менее 2 количество</t>
  </si>
  <si>
    <t>Организация проведения плановых ПО/РЕВИЗИИ Технологических трубопроводов ПМ</t>
  </si>
  <si>
    <t>Организация проведения ЭПБ ТТ в З.О. в запланированных объемах</t>
  </si>
  <si>
    <t>не менее 630 шт.</t>
  </si>
  <si>
    <t>Организация проведения ЭПБ статического оборудования Не менее 2621 количество</t>
  </si>
  <si>
    <t>Общество с ограниченной ответственностью "Томскнефтехим"/Направление Директора по производству/Производство мономеров/Смена 2/Установка компримирования и разделения пирогаза</t>
  </si>
  <si>
    <t>Снижение нарушений НТР в зоне ответственности</t>
  </si>
  <si>
    <t>не более 13548 шт</t>
  </si>
  <si>
    <t>не более 68400 шт</t>
  </si>
  <si>
    <t>Количество нарушений НАК в зоне ответственности</t>
  </si>
  <si>
    <t>не менее 96.39 %</t>
  </si>
  <si>
    <t>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</si>
  <si>
    <t>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потери ВПР в течение  20 суток после ОР</t>
  </si>
  <si>
    <t>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t>
  </si>
  <si>
    <t>В зоне ответственности СУОФ по отказам оборудования УМД от EBITDA = 0%
Отсутствует отставание по расследованиям</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</si>
  <si>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ремонтов/Техническое обслуживание и ремонты Энергопроизводства</t>
  </si>
  <si>
    <t>Подготовка к ОЗП</t>
  </si>
  <si>
    <t>4.1. На все сообщения в рамках подготовки к ОЗП созданы заказы, операциями, наполненые МТР, определён исполнитель;
4.2. Все работы запраланированы и выполнены в рамках 3-го квартала 2026г;
4.3. Отсутствуют замечания по опрессовки системы ЭПиОЗХ в ЗО (повторные ремонты);</t>
  </si>
  <si>
    <t>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Отсутсвие потери ВПР в течение  20 суток после ОР.</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</si>
  <si>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</si>
  <si>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Составление и согласование графика проведения ППР/ТО в программе «Проджект» не м</t>
  </si>
  <si>
    <t>не более 14 день</t>
  </si>
  <si>
    <t>Своевременное проведение ритуалов в соответствии с карточками НОМ</t>
  </si>
  <si>
    <t>Контроль за просроченными сообщениями (еженедельное уведомление</t>
  </si>
  <si>
    <t>еженедельное уведомление инженеров по направлению о количестве просроченных сообщениях</t>
  </si>
  <si>
    <t>Весение заказов в систему МRS и установка всех статусов для корректного отбражен</t>
  </si>
  <si>
    <t>Фактическая загрузка ремонтного персонала</t>
  </si>
  <si>
    <t>Плановая загрузка ремонтного персонала</t>
  </si>
  <si>
    <t>Беклог по видам групп планирования. 2-4 Недели. Все отклонения зафиксированы в о</t>
  </si>
  <si>
    <t>не более 4 Неделя</t>
  </si>
  <si>
    <t>Безопасность без компромиссов. Составление паб</t>
  </si>
  <si>
    <t>не менее 15 шт</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</si>
  <si>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компрессорного и технологического оборудования ПМ, ППЭ, ППП, ПУиСП/Цех</t>
  </si>
  <si>
    <t>Общество с ограниченной ответственностью "Томскнефтехим"/Направление Главного инженера/Служба управления надежностью/Направление Главного энергетика</t>
  </si>
  <si>
    <t>Главный энергетик</t>
  </si>
  <si>
    <t>Проведение целевых проверок состояния оборудования</t>
  </si>
  <si>
    <t>Проведены комплексные проверки состояния оборудования</t>
  </si>
  <si>
    <t>Проведение ОР 2026 года согласно ДК(в том числе проведение 100% ЭПБ согласно ДК)</t>
  </si>
  <si>
    <t>проведение ОР 2026 года согласно ДК</t>
  </si>
  <si>
    <t>Повторные отказы оборудования с УМД в ЗО</t>
  </si>
  <si>
    <t>Индекс аварийности (ИА1) в ЗО</t>
  </si>
  <si>
    <t xml:space="preserve"> Реализация ЦИ "Энергонадежность"</t>
  </si>
  <si>
    <t>Запланированные мероприятия ЦИ на 3-й квартал выполнены</t>
  </si>
  <si>
    <t>Списание МТР с истекшим сроком годности</t>
  </si>
  <si>
    <t>Контроль несогласованного списания МТР с ЦС.</t>
  </si>
  <si>
    <t>Списанные с ЦС МТР выданы заказчику или проведено сторно списания.</t>
  </si>
  <si>
    <t>не менее 9 шт.</t>
  </si>
  <si>
    <t>Контроль ведения журналов регистрации в сетевых ресурсах (поступления, ВК, списа</t>
  </si>
  <si>
    <t>Акты ведутся должным образом (все обязательные поля заполнены, приложения сохранены в соответствующих папках )</t>
  </si>
  <si>
    <t>Отсутствие замечаний к хранению МТР, к местам хранения складского инвентаря (обо</t>
  </si>
  <si>
    <t>не менее 6 шт</t>
  </si>
  <si>
    <t>Внесение складских мест хранения МТР на центральных складах</t>
  </si>
  <si>
    <t>Подготовка и проведение  ОР - укомплектованность смен, организация подготовки оборудования, реактивов, своевременная доставка проб, организация работ по дополнительным заявкам.</t>
  </si>
  <si>
    <t>Развитие ЦЗЛ</t>
  </si>
  <si>
    <t>Переход на выписки из ТР, организация процесса</t>
  </si>
  <si>
    <t>Реализация мероприятий Программы на 2026 г: своевременная актуализация ВУЭ, составление и организация выполнения планов по помещениям на 3 квартал</t>
  </si>
  <si>
    <t>Достижение уровня универсализации в каждой смене не ниже 80%, ИК не ниже 95%</t>
  </si>
  <si>
    <t>1.реализация плана по повышению эффективности СМ на 2026г
2. Проведение МСИ совместно с ПОЛИЛАБ метод Ударная вязкость по Изоду (улучшение воспроизводимости метода)</t>
  </si>
  <si>
    <t>С начала каждого месяца проводить:
ОТ: не менее 1 ПАБ по ОТ; не менее 5  ЛО по ОТ (с подтвержденным средним риском за 3 кв. 2 ЛО)
Экология: не менее 5 ЛО по Экологии, не менее 3 экомероприятия</t>
  </si>
  <si>
    <t>Реализация ДК ЛИМС</t>
  </si>
  <si>
    <t>Пункты по направлению ПЭ и ППП выполнены в полном объеме</t>
  </si>
  <si>
    <t>Общество с ограниченной ответственностью "Томскнефтехим"/Направление Директора по производству/Энергопроизводство/Установка водоснабжения, канализации и оборотного водоснабжения</t>
  </si>
  <si>
    <t>не более 0 ед</t>
  </si>
  <si>
    <t>1. Выбросы ЗВ в атмосферу не более 0,197 тыс.тн
2. Сбросы ЗВ в стоки не более 0,072 тыс. тн
3. Отходы на размещение не более 0,030 тыс. тн.
4. Водопотребление 1313,9 тыс т м3
5. Выбросы парниковых газов 29164 т СО2</t>
  </si>
  <si>
    <t>1.Проведена сортировка инструмента, ЗИП, СИЗ на подшефном участке ИПП. Удалено все лишнее, места хранения обозначены и подписаны.
2.Приведение в порядок мест хранения. Есть условные обозначения, используется ВУЭ для быстрого и удобного поиска необходимого инвентаря.
3.Соблюдена информационная разметка и условные обозначения на подшефном участке ИПП.</t>
  </si>
  <si>
    <t>Доля выполненных работ (ППР) из запланированных на неделю</t>
  </si>
  <si>
    <t>Качественное планирование ремонтов и техобслуживания, обеспечивать выполнение этих планов</t>
  </si>
  <si>
    <t>Доля НД непрошедших проверки РПО из-за критических замечаний</t>
  </si>
  <si>
    <t>1. LTIF = 0
2. Вовлеченность в чемпионат «по Безопасности труда» не менее 90%
3. рейтинг на кв - не менее 15 (ПАБ/ОТ), в том числе не менее 1 записи по Экологии в системе "Иди и смотри"</t>
  </si>
  <si>
    <t>Повышение проф. и повед. компетенций по функциональным направлениям</t>
  </si>
  <si>
    <t>Прохождение обучение в соответствии с планом</t>
  </si>
  <si>
    <t>Контрактная стратегия ПИР, СМР, ПНР</t>
  </si>
  <si>
    <t>Своевременное формирование отчетности по установленным регламентом срокам</t>
  </si>
  <si>
    <t>Плановость и своевременность контрактования работ и услуг.</t>
  </si>
  <si>
    <t>1. LTIF = 0
2. Вовлеченность в чемпионат «по Безопасности труда» не менее 90%
3. рейтинг на кв - не менее 15 (ПАБ/ОТ)</t>
  </si>
  <si>
    <t>Подготовка экспертных заключений (ЭЗ) по проводимым ТП в установленные сроки</t>
  </si>
  <si>
    <t>Обеспечение своевременной проверки комплекта актов КС-2, КС-3</t>
  </si>
  <si>
    <t>Средний срок проверки комплекта актов по факту, с даты принятия в работу, без учета времени на устранение подразделениями и Подрядными организациями замечаний - 3-4 рабочих дня.</t>
  </si>
  <si>
    <t>Своевременная подготовка смет (ЛСР) на 2026 и 2027 год (ППОФ-2027) в устан. срок</t>
  </si>
  <si>
    <t>ЛСР подготовлены по всем проектам в установленные сроки.</t>
  </si>
  <si>
    <t>Подготовка докум-ции в части ц/о к тендерным процедурам (ТП) и закл договорам Пр</t>
  </si>
  <si>
    <t>Документы в части ценообразования (ц/о):
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</si>
  <si>
    <t>Обеспечение своевременной проверки смет/калькуляций от Подрядных организаций на</t>
  </si>
  <si>
    <t>Использование в работе инструментов ИИ</t>
  </si>
  <si>
    <t>Повышение эффективности  с использованием  инструментов ИИ</t>
  </si>
  <si>
    <t>1. LTIF = 0
2. Рейтинг на кв - не менее 10</t>
  </si>
  <si>
    <t>Снижение НВИ за период не менее 10 млн руб.</t>
  </si>
  <si>
    <t>1. Достижение целей по снижению объема НВИ не менее 10 млн руб.</t>
  </si>
  <si>
    <t>Выручка от реализации НВИ, млн. руб.</t>
  </si>
  <si>
    <t>не менее 10 млн.</t>
  </si>
  <si>
    <t>Ожидаемый результат
Приживаемость ПСС на ЦС</t>
  </si>
  <si>
    <t>Достижение экономического эффекта 6 751,25 тыс.руб. по программе "Эффективность +" за 9 месяцев 2026 г.:
1.Вывод 1 ед. погрузчика (7 тн.) с 01.04.2026г. из договора аренды погрузчиков с ООО "Форклифт"-Экономический эффект ОФ, тыс.руб-331,54
Достижение экономического эффекта 6 751,25 тыс.руб. по программе "Эффективность +" за 9 месяцев 2026 г.:
1.Вывод 1 ед. погрузчика (7 тн.) с 01.04.2026г. из договора аренды погрузчиков с ООО "Форклифт"-Экономический эффект ОФ, тыс.руб-331,54
2.Перенос даты вывода 1 FTE из Складского Хозяйства  с 01.01.2026г. на 01.10.2026г.-Экономический эффект ОФ, тыс.руб-1 262,89
3.Снижение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
5.Продажа ж.д. техники (тепловоз)-Экономический эффект ОФ, тыс.руб-2 372,87
6.Продажа неиспользуемого транспорта-Экономический эффект ОФ, тыс.руб-648,00
3.Снижение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
5.Продажа ж.д. техники (тепловоз)-Экономический эффект ОФ, тыс.руб-2 372,87
6.Продажа неиспользуемого транспорта-Экономический эффект ОФ, тыс.руб-648,00</t>
  </si>
  <si>
    <t>Управление РК в части снижения НВИ</t>
  </si>
  <si>
    <t>не более 10 млн</t>
  </si>
  <si>
    <t>Развитие операционной модели ФОП, Рост уровня сервисаOTIF – не менее 90%</t>
  </si>
  <si>
    <t>Развитие складской логистики МТО в периметре ФОП:          2.1. Обеспечено выполнение цели по росту производительности складов МТО (+15% vs 2025г)
2.2. Выполнение КПЭ по основным процессам ЦСХ в рамках целевых значений:
∙ Средний срок приемки МТР в зоне ответственности ЦСХ не более 5и рабочих дней на 1пг 2026, не более 4х рабочих дней на 2пг 2026
∙ OTIF – не менее 90% на 1пг 2026г, не менее 95% на 2пг 2026
∙ Уровень затрат на выполненную операцию – снижение на 5% vs 2025г
2.3. Выполнение задач по запуску ключевых процессов складской логистики МТО на складах МТО АГХК согласно ДК (мобилизация подрядчика, запуск складской инфраструктуры, построение процессов и др.)</t>
  </si>
  <si>
    <t>Достижение целевых показателей OTIF по общий по всем позициям ОиМ</t>
  </si>
  <si>
    <t>Управление ремонтом установки УПП</t>
  </si>
  <si>
    <t>Получение ТКП, заведение кодов на закупку шлангов центрифуг Р10А, Р11А.</t>
  </si>
  <si>
    <t>5.1. Отсутствуют помещения на производствам с хранящимися ТМЦ, исключение – перечень определенных протоколом в рамках обсуждения на встречах по РК. В к. 120 весь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</si>
  <si>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</si>
  <si>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4.1. Определен перечень работ на 3-й кв., согласно графика подготовки к ЭПБ  (дорожной карты) в 2026 и перенесённых с 2025г. работ;
4.2. Все работы выполнены в рамках 3-го квартала 2026г;
4.3. Отсутствуют замечания по подготовке к ЭПБ с 2025г., 2026г.</t>
  </si>
  <si>
    <t>1. В з.о. СУОФ по отказам оборудования УМД от EBITDA = 0;
2. Отсутствует отставание по расследованиям;
3. Отсутсвие невыполненых рекомендаций;</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</si>
  <si>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экструзионного и технологического оборудования ППЭ, ППП</t>
  </si>
  <si>
    <t>УМД в Зоне ответственности РП РТО = 0</t>
  </si>
  <si>
    <t>1. Фактическая загрузка персонала не менее 95%.
2. Выполнение дневного плана и отражения подтверждения фактического затраченного времени в заказах SAP на участке - 95-100%
3. Доля отсутствующего персонала в тек. деятельности - не выше 13% В период ОКР - не выше 10%.</t>
  </si>
  <si>
    <t>1. Не более 4 повторных ремонтов.
2. ЧВР (ФРД) смены/бригады 60-63%</t>
  </si>
  <si>
    <t xml:space="preserve"> 0 травм с потерей трудоспособности по РП РТО</t>
  </si>
  <si>
    <t>1. Персонал обучен смежным работам
2. Кадровая защищённость по ключевым позициям (гр. 15-13) - 65%
3. Текучесть по инициативе сотрудников до 1 года в подразделении - 5-6%
4. Уровень вовлеченности в подразделении (факторы: непосредственный руководитель, ОС, карьерные возможности) - 80-88%</t>
  </si>
  <si>
    <t>1. Выполнение планов обучения и соблюдения графиков реализации обучающих программ не менее 95%.
2. Выполнение графиков обучения по ТК, достижение Индекс компетентности персонала участка 88-92%</t>
  </si>
  <si>
    <t>Общество с ограниченной ответственностью "Томскнефтехим"/Направление Директора по производству/Производство полипропилена/Смена 4</t>
  </si>
  <si>
    <t>Руководитель Регионального Центра</t>
  </si>
  <si>
    <t>Общество с ограниченной ответственностью "Томскнефтехим"/Региональный центр «Управление земельно-имущественными активами»</t>
  </si>
  <si>
    <t>Сопровождение профильных вопросов кадастровых работ и легализации</t>
  </si>
  <si>
    <t>1. ТНХ: Реализованы мероприятия по легализации внутренних автодорог, завершен второй  этап - постановка на кадастровый учет и внесение изменений в ЕГРН
2. ТНХ: Проведены работы по оформлению землепользования для легализации внешних автодорог</t>
  </si>
  <si>
    <t>Сопровождение сделок по реализация непрофильного недвижимого имущества</t>
  </si>
  <si>
    <t>1.  КЗСК: выполнены мероприятия по передаче имущества и регистрации перехода права собственности на проданный земельный участок ООО "Прикамье"
2. ТНХ: организовано взаимодействие с Россети и Томскими электрическими сетями по реализации имущества ГПП-16, проведены переговоры и подготовлены проекты документов для заключения договора купли-продажи с ТЭС при принятии управленческого решения о реализации.</t>
  </si>
  <si>
    <t>Ревизии ТНХ и КЗСК</t>
  </si>
  <si>
    <t>1. Реализован очный этап  ревизии КЗСК, сформирован Протокол по выявленным объектам., разработаны мероприятия по легализации
2. Реализован подготовительный  этап  ревизии ТНХ.</t>
  </si>
  <si>
    <t>Сопровождение земельно-имущественных вопросов разграничения с Биаксплен</t>
  </si>
  <si>
    <t>Оформление взаимных сервитутов с БКП
1. Корректировка сервитута для прохода/проезда к территории БКП после завершения координирования автодорог.
2. Регистрация  в ЕГРН сервитута с ГПМ.</t>
  </si>
  <si>
    <t>Поддержка реализации проектов развития и M&amp;A проектов</t>
  </si>
  <si>
    <t>Умный результат в проектной деятельности</t>
  </si>
  <si>
    <t>Своевременно (согласно графика ИК) подготовлены профильные экспертизы для рассмотрения, определение класса объектов (движимое/недвижимое имущество) по проекту Гаприн и другим проектам на предприятиях в зоне ответственности РЦ.</t>
  </si>
  <si>
    <t>Кадровая защищенность и развитие сотрудников Корпоративной политики и ЦМР</t>
  </si>
  <si>
    <t>1. Развитие сотрудников РЦ с фокусом на инструменты ИИ, технологическую грамотность и повышение эффективности.
2. Реализованы мероприятия по развитию 2 номера руководителя РЦ.
3. Принято участие в Круглом столе по актуальной тематике УЗИА.</t>
  </si>
  <si>
    <t>1. Проверка качества заполнения формуляров, паспортов и ремонтных журналов . Ежедневный ритуал с 18:00 до 19:00.
2. Своевременное выявление дефектов (отклонений) требующих дополнительных ресурсов. Отдельная группа в мессенджере с СУОФ.
     0 скрытых и несвоевременно выявленных/упущенных дефектов.
3. Обеспечение  мобилизации персонала в период ОР2026. Не менее 98%.
4. Контроль за соблюдением ПВТР, распределение звеньев на плановые перерывы для обеда и ужина с учётом ИК по ИС.
     0 отклонений при ЛО.
5. Выполнение всех операций из стратегии/техкарты. 0 невыполненных или несогласованных о переносе с СУН операций.
6. Подготовлены мастерские к проведению ОР 2026(определены зоны для размещения оборудования , подготовлены рабочие места).
7. Персонал  укомплектован СИЗ ,исправным сертифицированным инструментом, диагностическим оборудованием, МТР.
8.  Командированный персонал, персонал ГПХ допущен к работе. (Проверены допуски/ проведены инструктажи/ укомплектован СИЗ, инструментом)
9. Нет отрицательного влияния на сроки проведения ОР. В течение 20 дней после ОР нет отказов от некачественных ремонтов в ЗО.</t>
  </si>
  <si>
    <t>Проведение ОР 2026г</t>
  </si>
  <si>
    <t>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7. Дополнительный и внеплановый объем выполнен без влияния на сроки ОР в з.о.
8. До начала ОР у всего персонала участка 0 просроченных допусков.
9. Проведена спецподготовка ремонтному персоналу.</t>
  </si>
  <si>
    <t>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Удовлетворённость &gt;90%, eNPS &gt;47%, mNPS &gt;58%
12. Срок получения допуска к самостоятельной работе не более 60 дней.</t>
  </si>
  <si>
    <t>Исполнение дорожной карты ИС 2.0</t>
  </si>
  <si>
    <t>0 отклонений от сроков дорожной карты.</t>
  </si>
  <si>
    <t>1. Проведение проверок знания по ТК персоналу РТО согласно графика, индекс компетентности персонала участка 75%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Кадровая защищённость по ключевым позициям (гр. 11-13) - 85%
4. Организовать процесс адаптации МС с соблюдением 4 шагов согласно алгоритма адаптации,  Текучесть по инициативе  МС не более 20%
5. Уровень вовлеченности в подразделении (факторы: непосредственный руководитель, ОС, карьерные возможности) - 80-88%</t>
  </si>
  <si>
    <t>1. Проведение ПАБ и выявление ОД/ОУ. Не менее 15 баллов в Чемпионате.
2. Вовлечение персонала рабочих профессий в мотивационную программу
 "Чемпионат по безопасности по ОТ, ПБ и Э" 100%, записи в журнал Иди и смотри.
3. Проведение собраний по ОТиПБ по утвержденному алгоритму на участке с составлением протокола (4 в КТО)
4.  0 травм с потерей трудоспособности в ЗО.
5. Вовлеченность мастеров по ремонту в проведение ПАБ 100%
6. Отсутствуют просроченные id - допуска в матрице положенности по участку</t>
  </si>
  <si>
    <t>1. Организация ремонта согласно технической документации и паспорта на оборудования, не более 1 повторного ремонта.
2. ЧВР (ФРД) смены/бригады 60-65%
3. Заполненные Чек-листы по сборке ФС на технологических трубопроводах I, II, III категорий  внесены в информационную систему SAP с обязательным приложением оформленного чек-листа при закрытии заказ-наряда.
4.  Ноль просроченных мероприятий согласно сроков выполнения мероприятий расследований RCA
5.  Ноль замечаний по не заполнению формуляров</t>
  </si>
  <si>
    <t>1. Фактическая загрузка персонала не менее 95 %,
2. Выполнение дневного плана работ в среднем за месяц не менее 90 %
3. Доля отсутствующего персонала в тек. деятельности - не выше 13% В период ОКР - не выше 10%.
4. Точность предоставления  данных по мощности участка на еженедельной основе не менее 97%.
5. Выполнение недельного плана 95%
6. Выработка РП РТО Уч.ТОиР ЭТО (производительность труда) (Соотношение плановой трудоемкости подтвержденных заказов (ремонтных работ, выполненных силами РП РТО Уч.ТОиР ЭТО ) к фактической доступности рабочего ремонтного персонала РП РТО не менее 90%
5. Обеспечить своевременное оповещение графиковщика о задержке или срыве работ, а также ежедневно сразу после окончания работ.</t>
  </si>
  <si>
    <t>Контроль за просроченными сообщениями не более 15 шт.</t>
  </si>
  <si>
    <t>Контроль за просроченными сообщениями не более 15 шт. (еженедельное уведомление инженеров по направлению о количестве просроченных сообщениях), включать в недельный план по 3-4 просроченные работы на еженедельном уровне.</t>
  </si>
  <si>
    <t>Фактическая загрузка РП/КА не менее 90 %</t>
  </si>
  <si>
    <t>Плановая загрузка РП/КА не менее 100 %</t>
  </si>
  <si>
    <t>Составление и согласование графика проведения ППР/ТО</t>
  </si>
  <si>
    <t>Составление и согласование графика проведения ППР/ТО в программе «Проджект» не менее чем за 14 дней до плановой даты остановки производства.</t>
  </si>
  <si>
    <t>Внесение заказов в систему МRS и установка всех статусов.</t>
  </si>
  <si>
    <t>Внесение заказов в систему МRS и установка всех статусов для корректного отображения в Д.Б.  В течении четверга текущей недели.</t>
  </si>
  <si>
    <t>1. LTIF =0
2. Получены все допуски;
3. Внесение не менее 15 записей ПАБ в журнал ОТ.</t>
  </si>
  <si>
    <t>Беклог по видам групп планирования 2-4 Недели.</t>
  </si>
  <si>
    <t>Беклог по видам групп планирования.
2-4 Недели. Все отклонения зафиксированы в отчете за пред. неделю, делается анализ и разрабатываются корректирующие мероприятия по не допущению повышения беклога выше 4 нед.</t>
  </si>
  <si>
    <t>Реализация и планирование работ по ПОФ согласно утвержденной методологии РОП</t>
  </si>
  <si>
    <t>Все работы ПОФ митигуруют максимальные риски согласно методологии РОП</t>
  </si>
  <si>
    <t>Повышение эффективности затрат на ПОФ на этапе БП и при испол.бюджета в теч.года</t>
  </si>
  <si>
    <t>При планировании ППОФ 2026г затраты на ремонт и эксплуатацию. Качественный показатель. Оценивается по зонам ответственности.</t>
  </si>
  <si>
    <t>Прохождение обучения в соответствии с планом.</t>
  </si>
  <si>
    <t>Изучение смеж. функционала в рамках функционала Вед. спец-та по отчетн.ИП</t>
  </si>
  <si>
    <t>Сотрудник ознакомлен со смежным функционалом в рамках должностной инструкции и готов к частичному выполнению задач по направлению</t>
  </si>
  <si>
    <t>Ежемес.подготовка анализа по экономии/перерасходу по потреб-ти проектов ПОФ 2026</t>
  </si>
  <si>
    <t>Проведение мониторинга экономии/перерасхода по потребности проектов ППОФ 2026г.</t>
  </si>
  <si>
    <t>1. LTIF = 0
2. Вовлеченность в чемпионат «по Безопасности труда» не менее 90%
3. рейтинг на кв - не менее 15 ПАБ. Не менее 1 записи по Экологии в год</t>
  </si>
  <si>
    <t>Своевременное и качественное формирование бизнес-планов, отчетности РБ ПОФ, ЦИ</t>
  </si>
  <si>
    <t>Своевременное и качественное формирование бизнес-планов РБ ПОФ, ЦИ:
- Выполнена: План РБ, ЦИ на 2026г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с задержкой &lt; 7 рабочих дня в соответствии с методологией по качеству планирования  (PowerPoint, Excel, ИС) в ЗО
- Не выполнена: с задержкой &gt; 7 рабочих дня c отклонениями от методологии по качеству планирования  (PowerPoint, Excel, ИС) в ЗО.
Своевременное и качественное формирование отчетности РБ ПОФ, ЦИ:
- Выполнена: Отчетность РБ ПОФ, ЦИ сформирована  в установленный срок согласно графика в соответствии с методологией управления затратами (PowerPoint, Excel) в ЗО.
- Выполнена частично: Отчетность РБ ПОФ, ЦИ сформирована  с задержкой &lt; 7 рабочих дня в соответствии с методологией управления затратами (PowerPoint, Excel) в ЗО.
- Не выполнена: Отчетность РБ ПОФ, ЦИ  сформирована  с задержкой &gt;7 рабочих дня в соответствии с методологией управления затратами (PowerPoint, Excel) в ЗО.</t>
  </si>
  <si>
    <t>Исполнения плана освоения, фин-ния и ввода капитальных вложений по ИП и ПОФ</t>
  </si>
  <si>
    <t>Исполнение ремонтного бюджета ПОФ</t>
  </si>
  <si>
    <t>не менее 6 млн.</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</si>
  <si>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ремонтов/Техническое обслуживание и ремонты Производства мономеров</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</si>
  <si>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</si>
  <si>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</si>
  <si>
    <t>1. Провести не менее 3-х ПАБ в квартал  ( не менее  1 ПАБ в месяц) с выявлением опасных условий/опасных действий. Предложить мероприятия по недопощуению травмирования сотрудников предприятия и подрядных организаций
2. Проведение ЛО не менее 3 баллов по ПБ, не менее 3 баллов по ОТ.</t>
  </si>
  <si>
    <t>Подготовка КБ ИП УМИ-4 к ИК-4 и ПИМ</t>
  </si>
  <si>
    <t>Сформированы материалы на ИК4</t>
  </si>
  <si>
    <t>Реализация стратегических инициатив</t>
  </si>
  <si>
    <t>1. Подготовить проект вторичная гранула на ТНХ к КС с ЧП, и в случае положительного решения на КС о строительстве установки на ТНХ довести проект до этапа «Подготовка к реализации».
2. Довести проект Гаприн до КС по выбору площадки и далее до ИК</t>
  </si>
  <si>
    <t>Проработка новых идей развития ТНХ</t>
  </si>
  <si>
    <t>Проработка и подготовка к внутренним КС/ТК новые крупнобюджетные идеи направленные на развитие ТНХ</t>
  </si>
  <si>
    <t>Эффект от реализации мероприятий менеджмента
Наполнение портфеля ММ с эффектом в следующем году проработанными мероприятиями (с влиянием на EBITDA), не менее 15 млн руб. </t>
  </si>
  <si>
    <t>"1. Отсутствие существенных отклонений по исходным данным в проработанных НБ/СБ ИП в ЗО СГТ.
2. Средневзвешенная длительность реализации НБ проектов (IP2) не более 414 дн. (зона влияния в части: своевременная разработка ТЗ и изм.ТЗ, согласование ОЛ, тех.схем, согласование ТКП на ОТО и МТР при выборе, участие в ПНР под нагрузкой и пр).
3. Инициация и вынесение на приоритизацию ИИ окупаемых в экспресс-расчете экономики, не менее 6 в квартал (2 в месяц),
4. Длительность проработки новых эффективных инвест.идей на этапе I2P, не более 51 кд (даже если они не переходят на P2I из-за внешних ограничений)"</t>
  </si>
  <si>
    <t>Поставка ТЭА производства ТНХ на KPI</t>
  </si>
  <si>
    <t>Содействие в отгрузке партии ТЭА на KPI для ОПИ</t>
  </si>
  <si>
    <t>Координировать утилизацию, возврат и повторное использование</t>
  </si>
  <si>
    <t>Наладить учёт возвращённого инструмента (в т. ч. частично изношенного), его диагностику и направление на восстановление либо безопасное списание и утилизацию.</t>
  </si>
  <si>
    <t>Обеспечить сохранность и учёт МТР</t>
  </si>
  <si>
    <t>Поддерживать точный количественный и качественный учёт всех материальных ценностей, исключить недостачи и пересортицу, обеспечить соответствие фактических остатков данным учёта.</t>
  </si>
  <si>
    <t>Контролировать качество поступающего инструмента и работу поставщиков</t>
  </si>
  <si>
    <t>Проверять соответствие инструмента ТУ и стандартам, фиксировать отклонения, готовить рекламации, влиять на выбор надёжных поставщиков.</t>
  </si>
  <si>
    <t>1. Вовлеченность в чемпионат по безопасности - 100%
2. Внести наблюдения по ПБ с записью в журнал 1 в квартал
3. Внести наблюдения по экологии с записью в журнал 3 в квартал
4. Создание записей в журнал и ПАБ - 10 в квартал</t>
  </si>
  <si>
    <t>1. Формирование ППОФ 2027
2. Перемещения МТР с ЦС на склады РП (за исключением ТМЦ по заказам ТОРО)
3. Оптимизировать нормы расхода и лимиты инструмента
4. Подобрать и протестировать аналоги инструмента</t>
  </si>
  <si>
    <t>УМД = 0 от остановки производств по причинам отсутствия Оборудования и Материалов</t>
  </si>
  <si>
    <t>Достижение целевых показателей по своевременности контрактации</t>
  </si>
  <si>
    <t>Достижение целевых показателей OTIF по остановочным ремонтам (ФЭП)</t>
  </si>
  <si>
    <t>Готовность выполнения ремонта ЗРА и СППК в ОР 2026г в 4 пролёте.</t>
  </si>
  <si>
    <t>01.08.2026г. разработаны и утверждены инструкции на вновь смонтированное оборудование в 4 пролёте и 01.08.26г персонал задействованный по ремонту ЗРА с обоих участков прошёл  стажировку и имеет готовность выполнения работ в ОР на этом оборудовании.</t>
  </si>
  <si>
    <t>1. Состояние рабочих мест (5С) не менее 80% с оценкой выше 20 балов
2.  Сокращение потерь через проведения ФРД, ЧВР поля выше 57%, цеха выше 76%
3. Все мероприятия по минимизации потерь выполнены на 100%</t>
  </si>
  <si>
    <t>УМД в ЗО РП РТУ = 0</t>
  </si>
  <si>
    <t>не более 0  млн.р</t>
  </si>
  <si>
    <t>1. Выполнение планов обучения и соблюдения графиков реализации обучающих программ не менее 95%.
2. ИК - 79,9%,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65%</t>
  </si>
  <si>
    <t>1. Не более 2-х повторных ремонта из-за некачественного ремонта (без УМД), не более 150 часов
2. 0 отклонений по графику пересмотра и формирования карт СОП
3. 0 просроченных/невыполненных мероприятий по расследованиям REC
4. 0 ремонтов без тех.карт
5. 0 непредоставленных исполнительных документаций после ремонта</t>
  </si>
  <si>
    <t>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РТУ (производительность труда) (Соотношение плановой трудоемкости подтвержденных заказов (ремонтных работ, выполненных силами РП РТУ ) к фактической доступности рабочего ремонтного персонала РП РТУ не менее 90%
5. Обеспечить своевременное оповещение инженера по ресурсному планированию о задержке или срыве работ, а также ежедневно сразу после окончания работ.</t>
  </si>
  <si>
    <t>1. Выявлять и расследовать микротравмы по РП РТУ
2. 10 записей ПАБ
3. Вовлеченность в чемпионат по безопасности персонала РП РТУ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РТУ не более 1%
6. Проведение  не менее одного совещания по ОТ в месяц в подразделении</t>
  </si>
  <si>
    <t>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t>
  </si>
  <si>
    <t>"4.1. Определен перечень работ на 3-й кв., согласно графика подготовки к ЭПБ (дорожной карты) в 2026 и перенесённых с 2025г. работ;
4.2. Все работы выполнены в рамках 3-го квартала 2026г;
4.3. Отсутствуют замечания по подготовке к ЭПБ с 2025г., 2026г.;"</t>
  </si>
  <si>
    <t>"80% внеплановых работ выполнено за счет ПФ
Вся документация сформирована до пуска производств
Проведение ОР за 25 дней ПМ"</t>
  </si>
  <si>
    <t>"Не менее 95% согласно критериям оценки качества проведенного ОР:
1. 100% выполнение работ, влияющих на соблюдение межремонтного интервала
2. ОР проведён без отклонения от утверждённого графика.
3. Не зафиксировано происшествий по ОТ и ПБ и влияющих на ИА
4. ОР проведен не более сроков согласно БП
5. Выполнение объема работ критического пути на 100%
6. Отсутсвие потери ВПР в течение  20 суток после ОР."</t>
  </si>
  <si>
    <t>Общество с ограниченной ответственностью "Томскнефтехим"/Направление Директора по производству/Производство полиэтилена/Установка производства и дополнительной переработки полиэтилена на основе технического углерода, компримирования и подготовки сырья</t>
  </si>
  <si>
    <t>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t>
  </si>
  <si>
    <t>ВПР = 69,81 %
ИТЭ = 99,35 %
ИЭ = 206,31 %
ИТЭзхп  не менее= 95,22 %</t>
  </si>
  <si>
    <t>Организация процесса списания инициаторов</t>
  </si>
  <si>
    <t>Отсутствие ошибок при перемещении и при формировании отчета</t>
  </si>
  <si>
    <t>Объем производства, тонн</t>
  </si>
  <si>
    <t>не менее 55563 т/тн</t>
  </si>
  <si>
    <t>Объем выпуска НСП</t>
  </si>
  <si>
    <t>КПО и ТП не более 0,50
КЦП не менее 0,97
НСП более 5.97%</t>
  </si>
  <si>
    <t>Достижение КПЭ по ЭКОНС</t>
  </si>
  <si>
    <t>1) % нахождения в зеленой зоне не менее 80 %
2) % времени работы в зоне ограничений не менее 95%</t>
  </si>
  <si>
    <t>Ведущий инженер-эколог</t>
  </si>
  <si>
    <t>Общество с ограниченной ответственностью "Томскнефтехим"/Служба экологии</t>
  </si>
  <si>
    <t>Проведение закупочной процедуры по выемке осадка из ливневого амбара</t>
  </si>
  <si>
    <t>1. Подготовлено ТЗ по выемке осадка,
2. Проведена закупочная процедура.</t>
  </si>
  <si>
    <t>Руководитель по экологии</t>
  </si>
  <si>
    <t>Успешное прохождение Остановочного ремонта</t>
  </si>
  <si>
    <t>1. Отсутствие нарушений по обращению с отходами со стороны подразделений,
 2. Контроль за подрядными организациями в период ОР. Отсутствие нарушений.</t>
  </si>
  <si>
    <t>Саморазвитие</t>
  </si>
  <si>
    <t>Прохождение обучения
1. по программам в ЛК.
2.  во внешних экологических вебинарах - 2 вебинара.</t>
  </si>
  <si>
    <t>Применение режима "Отходы -3" для Арендаторов и Контрагентов</t>
  </si>
  <si>
    <t xml:space="preserve"> Техноавиа,  Фортклифт - заключены договоры на ТКО.
</t>
  </si>
  <si>
    <t>РОП. Выполнение нормативов утилизации.</t>
  </si>
  <si>
    <t>Во 3  квартале:
Выстроен процесс по получению отчетности по объемам ОИТ от утилизатора.</t>
  </si>
  <si>
    <t>Получение нормативно-разрешительной документации для Предприятия</t>
  </si>
  <si>
    <t>Устранены замечания по отходам выданные при рассмотрении заявки КЭР</t>
  </si>
  <si>
    <t>Обеспечение предприятий разрешительной документацией Не менее 7</t>
  </si>
  <si>
    <t>Мастер</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</si>
  <si>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изготовлению/Механический участок</t>
  </si>
  <si>
    <t>Выполнение дорожной карты ОР в ЗО РП не менее 95%</t>
  </si>
  <si>
    <t>1. Средняя результативность оценки рабочих мест по чек листам не менее 21 баллов.</t>
  </si>
  <si>
    <t>1. Фактическая загрузка персонала не менее 95% в ЗО.
2. Выполнение дневного плана работ - 95-100%.
3. Доля отсутствующего персонала в тек. деят-сти - не выше 13% В период ОКР - не выше 10%.
4.  Точность предоставления  данных по мощности участка на еженедельной основе не менее 97%.</t>
  </si>
  <si>
    <t>1. Проведение ПАБ и выявление ОД/ОУ. Не менее 15 баллов в Чемпионате.
2. Вовлечение персонала рабочих профессий в мотивоционную программу
 "Чемпионат по безопасности по ОТ, ПБ и Э" 100%, записи в журнал Иди и смотри.
3. отсутствие замечаний по полноте наполнения и качества мероприятий при оформлении Н/Д.
4.  0 травм с потерей трудоспособности по РП РПИ
5. Вовлеченность мастеров в проведение ПАБ 100%
6. Отсутствуют просроченные id - допуска в матрице положенности по участку</t>
  </si>
  <si>
    <t>1. Организация изготовления согласно технической документации. Не более 1 замечания от ОТК официально подтвержденные.
2. ЧВР (ФРД) смены/бригады 80-83%
3. Закрытие заказов в САП на еженедельной основе 95 % от выполненных работ</t>
  </si>
  <si>
    <t>Общество с ограниченной ответственностью "Томскнефтехим"/Направление Директора по производству/Энергопроизводство/Смена 1</t>
  </si>
  <si>
    <t>не более 894 шт.</t>
  </si>
  <si>
    <t>не более 133 шт.</t>
  </si>
  <si>
    <t>ИЭ ОЗХ</t>
  </si>
  <si>
    <t>не более 108.85 %</t>
  </si>
  <si>
    <t>УМД в зоне ответственности</t>
  </si>
  <si>
    <t>не более 0 млн. руб.</t>
  </si>
  <si>
    <t>Выполнение целей стратегии устойчивого развития.</t>
  </si>
  <si>
    <t>выбросы ЗВ в атмосферу - 0,3
сбросы ЗВ в стоки - 0,072
отходы на размещение - 0,033
водопотребление, тыс. м3 - 1313,90
выбросы парниковых газов, тыс. т СО2 - 29,16</t>
  </si>
  <si>
    <t>Управление техногенностью ИА1,2</t>
  </si>
  <si>
    <t>не менее 0.88 млн. руб.</t>
  </si>
  <si>
    <t>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ключевых позиций ИТР производства – не менее 35% (готовность до 1 года)</t>
  </si>
  <si>
    <t>Организация проведения ЭПБ в период ОР</t>
  </si>
  <si>
    <t>Проведение НК в рамках ЭПБ для продления срока безопасной эксплуатации</t>
  </si>
  <si>
    <t>Безопасная эксплуатация ЗиС ПМ, ЭП</t>
  </si>
  <si>
    <t>Инженер-электрик</t>
  </si>
  <si>
    <t>Проведение проверок АВР всех подстанций ПМ</t>
  </si>
  <si>
    <t>100% работоспособность АВР на всех подстанциях ПМ.</t>
  </si>
  <si>
    <t>4.1. Определен перечень работ на 2-й кв., согласно графика подготовки к ЭПБ в 2026 и перенесённых с 2025г. работ;
4.2. Все работы выполнены в рамках 2-го квартала 2026г;
4.3. Отсутствуют замечания по подготовке к ЭПБ с 2025г., с 2-го кв. 2026г.;</t>
  </si>
  <si>
    <t>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ППР- 2025г);
- Цель выполнена частично: 75%-94% мероприятий по протоколам Штабов в зоне ответственности выполнены в срок (источник – ДБ готовности к ППР-2025г);
- Цель не выполнена: ≤75% мероприятий по протоколам Штабов в зоне ответственности выполнены в срок (источник – ДБ готовности к ППР-2025г);</t>
  </si>
  <si>
    <t>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Приемка оборудования в/из ремонта, вкл. чистоту раб. места и ЕО на которой проводилось ТОиР;
1.4.Все паспорта/формуляры после ремонта заполнены, ИД разработана, принята ОТН;</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</si>
  <si>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</si>
  <si>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Специалист по нормированию</t>
  </si>
  <si>
    <t>1. Проработка РР заказов (в формате корректировки норм времени при изменении ТП и МТР) в SAP в течение 7 дней после присвоения статуса ТРНР
2. Проработка РР заказов (в формате составления заявок на перемещение МТР с ЦС на склады РП) в SAP в течении 4дней при условии: обеспечения заказа МТР,  присвоения заказу статуса СТПЛ УТВП ТРТП и готовности участка принять МТР
3. Проведение замеров ЧВР при возникновении существенных отклонений фактических норма-часов от плановых
4. Корректировка (отмена) РР заказов согласно изменению потребности ТОРО
5. Запуск в работу внеплановых РР заказов, обеспеченных МТР. Расчет предварительных норма-часов по чертежу (без ТП) для новых деталей. Внесение норма-часов в САП.</t>
  </si>
  <si>
    <t>1.Вовлечённость в чемпионат по безопасности - 100%
2. Проведение аудита по ПБ  с записью в журнал - не менее 1 в квартал
3. Проведение аудита по экологии  с записью в журнал - не менее 3 в квартал
4. Проведение  аудита по ОТ с записью в журнал - не менее 9  в квартал
5. Проведение ПАБ - не менее 3 в квартал</t>
  </si>
  <si>
    <t>Проведение осенних осмотров ЗиС</t>
  </si>
  <si>
    <t>не менее 14 шт.</t>
  </si>
  <si>
    <t xml:space="preserve"> Внесение замечаний ЗЭПБ в Меридиум</t>
  </si>
  <si>
    <t>не менее 34 шт.</t>
  </si>
  <si>
    <t>Проведение ЭПБ ЗиС</t>
  </si>
  <si>
    <t>не более 27 шт.</t>
  </si>
  <si>
    <t>Согласование и регистрация ЭПБ 2026 в РТН</t>
  </si>
  <si>
    <t>Продление безопасного срока эксплуатации ЗиС</t>
  </si>
  <si>
    <t>Дополнительные цели</t>
  </si>
  <si>
    <t>Доработка документации</t>
  </si>
  <si>
    <t>Приведение документации по ТОиР ФУО к нормативным требованиям</t>
  </si>
  <si>
    <t>- выполнение всех работ по помещениям и оборудованию, предусмотренных планом УЛ по ОР  с должным качеством;
- обеспечение 100% безопасности при проведении работ;
- недопущение срыва сроков проведения ремонта в ЗО УЛ;</t>
  </si>
  <si>
    <t>LTIF=0 в ЗО УЛ</t>
  </si>
  <si>
    <t>1. Произвести зонирование мест для стоянки:
- большегрузного автотранспорта у к.111 для недопущения его нахождения на проезжей части в ожидании погрузки.
- погрузчиков в к.1064.
2.  Обустройство маршрута пешеходного прохода от КПП№8 до АБК для водителей
3. Установка ограждений транспортеров в к.111, к.428</t>
  </si>
  <si>
    <t>Внедрение ВДО у КА</t>
  </si>
  <si>
    <t>Внедрение практики ВДО у КА по направлению механика.</t>
  </si>
  <si>
    <t>Обеспечение безопасности на СГП</t>
  </si>
  <si>
    <t>Организация монтажа ограждений, монтаж информационных баннеров, локальный ремонт полов, монтаж доп.оснастки для обслуживания и ремонта оборудования.</t>
  </si>
  <si>
    <t>Управление эффективностью утилизации складов</t>
  </si>
  <si>
    <t>5S</t>
  </si>
  <si>
    <t>Установка новых инструментальных шкафов к.111, отм.8400.Наведение порядка в слесарных мастерских.</t>
  </si>
  <si>
    <t>Остановочный ремонт 2026</t>
  </si>
  <si>
    <t>Успешное проведение ОР2026 согласно календарного плана. Аналитика проведенных работ в ОР с целью понимания новых потребностей для обеспечения плана отгрузки ГП. Конструктивное взаимодействие с КА.</t>
  </si>
  <si>
    <t>LTIF=0. Управление травматизмом</t>
  </si>
  <si>
    <t>1.Полученные допуска -99% сотрудниками УЛ
2.0 событий в зоне ответственности с влиянием на Ltif предприятия
3. Срок расследования происшествий не более 21 дня
4.Кол-во ГОР и ОР в выходные дни не более 10% (отн. выход/будни) в среднем по предприятию
5.100% проведенных ритуалов по ОТ,ПБ
6.0 пробитых барьеров при проведении стресс-тестов со стороны ОТ,ПБ (по вине сотрудников производства)</t>
  </si>
  <si>
    <t>1.0 событий в зоне ответственности с влиянием на ИА-1
2.0 событий с возгораниями</t>
  </si>
  <si>
    <t>УМД=0. Отсутствие УМД в зоне логистики.</t>
  </si>
  <si>
    <t>- Реализация плана мероприятий по ремонту оборудования в зоне ответственности "Форклифт" (по механической и электрической частям);
- Организация оперативного ремонта оборудования с привлечением при необходимости коллег из смежных блоков (АСУ ТП, ТЭСС Сибирь, РП, СУОФ) и т.д.</t>
  </si>
  <si>
    <t>Общество с ограниченной ответственностью "Томскнефтехим"/Цифровые технологии/Цифровизация процессов</t>
  </si>
  <si>
    <t>Реализация проекта Развитие НиР</t>
  </si>
  <si>
    <t>Реализованы мероприятия проекта Развитие НиР:
1. Процессные метрики НиР:
1.1 Рассчитаны исходные значения метрик НиР для НН-кластера (СК, РВЛ) на основе данных 6 мес 2026
1.2 Настроен сбор метрик НиР для НН-кластера: определены и обучены ответственные за расчет, сформировано пространство для ведения отчетности
1.3 Проведено пилотирование ДБ «Месячное планирование» на ритуалах «Статус подготовки к месячному планированию», «Анализ эффективности месячного планирования» (СК)
1.4 Подготовлен СОП для ритуалов «Статус подготовки к месячному планированию», «Анализ эффективности месячного планирования»
2. Доработки ДБ:
2.1 ИТ-доработки: ДБ. Завершены доработки чек-листа планирования (6 доработок), ДБ передан в тех.поддержку
2.2 ИТ-доработки: ДБ. Завершены доработки ДБ "Выполнение годового плана ТОиР" (лист «ранжирование работ» и 5 доработок)
2.3 ИТ-доработки: ДБ. Завершены доработки ДБ «Месячное планирование» по результатам тестирования на ЗСНХ, КОС и НН-кластере Реализована «облегченная» версия ДБ для хранения аналитик месячного планирования на годовом горизонте</t>
  </si>
  <si>
    <t>Руководитель по развитию Производственной системы</t>
  </si>
  <si>
    <t>Общество с ограниченной ответственностью "Томскнефтехим"/Развитие Производственной системы</t>
  </si>
  <si>
    <t>Обеспечение доступности мощностей действующих производств</t>
  </si>
  <si>
    <t>Обеспечение доставки МТР (материально-технические ресурсы) в нормативные сроки.</t>
  </si>
  <si>
    <t>не более 0 день</t>
  </si>
  <si>
    <t>Контроль сроков доставки согласно договорным документам</t>
  </si>
  <si>
    <t>Достижение целевых показателей по результативности в Чемпионате УМШ</t>
  </si>
  <si>
    <t>Вовлеченность в Чемпионат по Безопасности. Проведение ПАБ.</t>
  </si>
  <si>
    <t>не менее 1 ПАБов</t>
  </si>
  <si>
    <t>Своевременное отражение док-тов в SAP, в теч. суток от получения полной инф-ции.</t>
  </si>
  <si>
    <t>не более 24 часы</t>
  </si>
  <si>
    <t>Оформление заявок на вывоз в теч. суток от даты представления полной информации</t>
  </si>
  <si>
    <t>не более 24 часов</t>
  </si>
  <si>
    <t>Контроль расхода ДС в рамках исполнения бюджета</t>
  </si>
  <si>
    <t>Нецелевое использование бюджета Управления МТО по отправкам СП в рамках договоров транспортной экспедиции.</t>
  </si>
  <si>
    <t>Экономический эффект в рамках закупочной деятельности</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</si>
  <si>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строительства и ремонта</t>
  </si>
  <si>
    <t>Цифровые инициативы</t>
  </si>
  <si>
    <t>Составление  дефектных ведомостей в электронном виде, 100% от общего объема.</t>
  </si>
  <si>
    <t>Управление LTIF подрядчиков</t>
  </si>
  <si>
    <t>-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</si>
  <si>
    <t>Взаимозачёт металла в системе SAP по договорам демонтажа.</t>
  </si>
  <si>
    <t>Заведение в систему SAP данных  по металу, образовавшемуся в ходе демонтажа ЗиС по договорам с ООО Прогрессстройгрупп, ООО ПСК Веста, ООО КТС, ООО Сибирские ресурсы, ООО ДеСтрой.</t>
  </si>
  <si>
    <t>LTIF</t>
  </si>
  <si>
    <t>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</si>
  <si>
    <t>Учёт смет ЦЦ по кварталам</t>
  </si>
  <si>
    <t>Учёт реестра смет от ЦЦ по направленным ДВ в своей зоне ответственности</t>
  </si>
  <si>
    <t>Реализация ремонта объектов ПОФ 2026</t>
  </si>
  <si>
    <t>Реализация ремонта объектов ПОФ 2026 :
1. Выполнение работ по 101P2-00400-001, работы по замене металлических напольных настилов к. 401.
2. Выполнение работ по 101P2-00503-004, работы по замене стеклопакета каб. 410 к. 116.
3. Выполнение работ по 101P2-00503-005, работы по ремонту окна, утеплению окна каб. 28 к. 1120.
4. Выполнение работ по 101P2-00458, работы по ЭПБ тит. 405/2.
5. Заключение ДС с КА по усилению в к. 413 по  101P2-00459-001</t>
  </si>
  <si>
    <t>Исполнения плана освоения, финансирования и ввода капитальных вложений</t>
  </si>
  <si>
    <t>исполнение плана более 98% (оценка 100% и более)
исполнение плана от 85% до 98% (оценка 85%)
исполнение плана менее 85% (оценка 50%)</t>
  </si>
  <si>
    <t>Общество с ограниченной ответственностью "Томскнефтехим"/Инфраструктура.Развитие./Сервис и хозяйственное обеспечение</t>
  </si>
  <si>
    <t>Изучение функционала SAP SRM по процессу закупок услуг</t>
  </si>
  <si>
    <t>Изучена работа сервиса SAP SRM для проведения конкурентных процедур на закупку услуг сторонних организаций.</t>
  </si>
  <si>
    <t>Оказание сервисов СХО в период Остановочного ремонта</t>
  </si>
  <si>
    <t>Рабочий капитал – оптимизация и эффективное управление (основные средства, ТМЦ н</t>
  </si>
  <si>
    <t>ОС, ТМЦ своевременно списываются, перемещаются, реализовываются</t>
  </si>
  <si>
    <t>Производственный травматизм (LTIF)</t>
  </si>
  <si>
    <t>1. LTIF=0, в т.ч. ПО (отсутствие происшествий с сотрудниками СОБ и подрядных организаций в зоне ответственности) / Отсутствуют сокрытые микротравмы, в т.ч. ПО
2. Поддерживается программа культуры безопасности (подрядные организации) и отслеживается статус реализации программы
3. Проведены ежемесячные совещания по ОТиПБ с подрядными организациями
4. Полученные допуска -99%
5.            0 событий в зоне ответственности с влиянием на Ltif предприятия
6            Срок расследования происшествий не более 21 дня
7.            0 случаев травмирования ДТП – Транспортная безопасность</t>
  </si>
  <si>
    <t>Оптимизация затрат по направлениям деятельности</t>
  </si>
  <si>
    <t>1. Оптимизированы затраты на бутилированную (19л) воду - поставка в месяц сокращена на 50% по корпусам с установленными пурифайерами;
2. Оптимизированы бытовки ЦРП для оптимизации используемых площадей в корпусе 1014, 5й этаж. Работники размещены на 3м этаже и 4м этаже.
3. В СБК завершена идентификация закрепления сотрудников, пустые кабинки переведены в резерв для новых работников.</t>
  </si>
  <si>
    <t>Оценка сервисов СХО</t>
  </si>
  <si>
    <t>Ежемесячный контроль сервиса «Такси», своевременное удаление уволенных сотрудников для исключения доп. затрат Предприятия.
Средняя оценка в заказе транспорта (по транспорту 5 со средней оцененностью не менее 50%)</t>
  </si>
  <si>
    <t>Оценка сервисов на предприятиях</t>
  </si>
  <si>
    <t>Выполнение прочих поручений в рамках функционала СХО</t>
  </si>
  <si>
    <t>Качественно и в срок выполнялись прочие поручения руководителя в части задач СХО (не транспорт)</t>
  </si>
  <si>
    <t>Ведущий инженер по метрологии</t>
  </si>
  <si>
    <t>1. Содержание рабочего места по 5С.</t>
  </si>
  <si>
    <t>1. LTIF = 0
2. Создание 10 записей  ПАБ.
3. Вовлеченность в чемпионат по безопасности.</t>
  </si>
  <si>
    <t>1. Выполнение графиков поверки(калибровки) за квартал не менее 95 %
2. Безошибочное внесение сведений о результатах поверки  СИ в Аршин.
3. Метрологический надзор
4. Подтверждение компетентности по  поверке.</t>
  </si>
  <si>
    <t>Общество с ограниченной ответственностью "Томскнефтехим"/Административная поддержка руководителей</t>
  </si>
  <si>
    <t>Высокий уровень координации сотрудников и решение операционных вопросов</t>
  </si>
  <si>
    <t>Высокая результативность команды по своей вертикали (отсутствие просрочек по ДО, коммуникация с руководителями, высокие оценки от руководителей, корректное распределение нагрузки, контроль работы в рамках матрицы должностных обязанностей).</t>
  </si>
  <si>
    <t>Генеральный директор</t>
  </si>
  <si>
    <t>Общество с ограниченной ответственностью "Томскнефтехим"</t>
  </si>
  <si>
    <t>Оценка сервиса оказываемых АПР услуг не ниже 4,9 (по 7 бальной шкале) Не менее 4.9</t>
  </si>
  <si>
    <t>Повторный анализ процессов в базовом функционале АПР</t>
  </si>
  <si>
    <t>Определены процессы в базовом функционале АПР для возможного упрощения или автоматизации.</t>
  </si>
  <si>
    <t>Повышение эффективности и автоматизация процессов АПР в КЦ и на предприятиях СХ</t>
  </si>
  <si>
    <t>Эффективная работа с документами, задачами и поручениями руководителя</t>
  </si>
  <si>
    <t>Не менее 95% документов, задач и поручений обрабатываются своевременно и корректно. Обеспечивается высокий уровень экспертизы входящей и исходящей корреспонденции, контроль своевременного подписания и согласования писем, договорных документов и доверенностей, знание зон ответственности блока, корректное делегирование и контроль срока исполнения поручений почты Генерального директора, сбор промежуточных статусов и анализ полноты отчетов по поручениям.</t>
  </si>
  <si>
    <t>Качественное планирование рабочего графика руководителя</t>
  </si>
  <si>
    <t>Не менее 95% встреч руководителя планируется с учетом бизнес-приоритетов, регулярных управленческих ритуалов, состава участников и правила «Среда — день работы с командой». Конфликты встреч минимизированы, материалы к ключевым встречам предоставляются своевременно.</t>
  </si>
  <si>
    <t>Высокий уровень оказываемых руководителям услуг</t>
  </si>
  <si>
    <t>- Качественное и своевременное выполнение функционала в соответствии с Матрицей должностных обязанностей;
- Получены высокие оценки (5 и выше) руководителя и функции АПР;
-Бизнес-поручения руководителя контролируются и исполняются качественно и в срок.</t>
  </si>
  <si>
    <t>- запуск проекта с психологами на тему Теория поколений
- проведение квартальной встречи с женщинами производств
- запуск подкаста с женщинами недавно вышедшими из декрета (сложности, страхи)
- реализованы коммуникационные активности по проведенным мероприятиям</t>
  </si>
  <si>
    <t>Общество с ограниченной ответственностью "Томскнефтехим"/Направление Директора по производству/Производство полиэтилена/Установка производства и дополнительной переработки полиэтилена на основе технического углерода, компримирования и подготовки сырья/410</t>
  </si>
  <si>
    <t>Поручения в ИДИ и смотри</t>
  </si>
  <si>
    <t>отсутствие просроченных поручений в ЗО</t>
  </si>
  <si>
    <t>УМД в зоне ответственности производства не более 0 млн.руб.</t>
  </si>
  <si>
    <t>не более 1.3 %</t>
  </si>
  <si>
    <t>Соблюдение требований СР1.01</t>
  </si>
  <si>
    <t>Журнал выдачи оборудования в ремонт - сответствие требованиям СР1.01, отсутствие замечаний в ЗО</t>
  </si>
  <si>
    <t>Рабочий капитал</t>
  </si>
  <si>
    <t>Содержание помещений в ЗО в соответствии с требованиями</t>
  </si>
  <si>
    <t>Корректность внесения заявок в SAP</t>
  </si>
  <si>
    <t>Оценка рабочих мест по 5с в ЗО (по чек-листу - супервизия)</t>
  </si>
  <si>
    <t>Доля выполненных работ (ППР) из запланированных на неделю % не менее 90 %</t>
  </si>
  <si>
    <t>1. Выбросы ЗВ в атмосферу не более 0,823
2. Сбросы ЗВ в стоки не более 0,075
3. Отходы на размещение не более 0,165
4. Водопотребление, не более  113,30
5. Выбросы парниковых газов, не более 132,70</t>
  </si>
  <si>
    <t>1. Полученные допуски - 99% (личные)
2. Натурная проверка РПО (ГОР, ОР, ВР, ЗР) - 100%.
Проверка РПО особо опасных - 100%
Документарные проверки - 50% (ГОР, ОР, ЗР, ВР)
Документарные проверки - 5% (все виды работ)
3. LTIF = 0 в ЗО
4. 0 пробитых барьеров при проведении стресс-тестов со стороны ОТ,ПБ  в ЗО
5. ИА 1,2 = 0</t>
  </si>
  <si>
    <t>Своевременно вносить информацию по метрологической прослеживаемости оборудования, СИ (поверка, калибровка, аттестация)</t>
  </si>
  <si>
    <t>Управление оборудованием ЦЗЛ в части направления ППЭ.</t>
  </si>
  <si>
    <t>Графики поверки/калибровки, аттестации оборудования скорректированы с учетом перевода оборудования  в консервацию и списанием невостребованного оборудования. Отредактированы тех. места в САП по ветке 1010-12-0CZL  и 1010-13-0CZL с учетом месторасположения оборудования.</t>
  </si>
  <si>
    <t>Управление затратами ЦЗЛ (стоимость владения)</t>
  </si>
  <si>
    <t>Участие в анализе постоянных расходов бюджета ЦЗЛ январь-декабрь 2026.Рабочий капитал –проработка мероприятий по  снижению стоимости владения ЦЗЛ.</t>
  </si>
  <si>
    <t>Приведение к нормам к. 519, комнаты арбитражных проб к.428 в соответствии с Планом мероприятий по 5С. Участие в заседаниях ЭС в качестве секретаря, подготовка Протоколов по идеям УМШ.</t>
  </si>
  <si>
    <t>Развитие функциональных и технических компетенций</t>
  </si>
  <si>
    <t xml:space="preserve"> Функционал по аналитическому контролю масел в аутсорсинговой лаборатории передан Горбуновой А.Г. и взят в работу в полном объеме</t>
  </si>
  <si>
    <t>Выполнение мероприятий по Плану повышения эффективности СМ на 2026 г в зоне ответственности</t>
  </si>
  <si>
    <t>Поддержание культуры безопасности в ЦЗЛ</t>
  </si>
  <si>
    <t>Координация работы УОТ.  Участие в ОР в качестве комиссара.</t>
  </si>
  <si>
    <t>Договорные обязательства по аутсорсингу на 2026 г.</t>
  </si>
  <si>
    <t xml:space="preserve"> Контроль выполнения обязательств по договорам. Отсутствие нарушений финансовой дисциплины.</t>
  </si>
  <si>
    <t>Вовлеченность в Чемпионат по Экологии и ОТ</t>
  </si>
  <si>
    <t>С начала каждого месяца проводить и вовлечь смену:
ОТ: не менее 3 ПАБ по ОТ; 2 ЛО с подтвержденным средним риском, не менее 10 ЛО с приемлемым и низким риском. Экология: не менее 5 ЛО по Экологии, не менее 1 эко мероприятия</t>
  </si>
  <si>
    <t>Поиск потенциалов оптимизации затрат, повышения опер.эффективности.</t>
  </si>
  <si>
    <t>Оценка отклонений расходования сырья на выпуск продукции. Определения возможного потенциала для оптимизации; - эскалация на уровень ГД возможности для оптимизации, риски отклонения по выпуску продукции; - изменения формата внутренней отчётности ПДО (отчетность используемая внутри предприятия) для фокусировки на показатели влияющие на бизнес-результат.</t>
  </si>
  <si>
    <t>Отсутствие НС (LTIF = 0), Вовлечение в Чемпионат по безопасности</t>
  </si>
  <si>
    <t>Выполнение плана по производствам в з.о. ПДУ - ПП+ПЭ (3квартал) - 85.415тн.</t>
  </si>
  <si>
    <t>Повышение операционной эффективности.
- управления запасами сырья (емкость+путевые), ведение посуточного факторного анализа слива сырья, причины отклонения от плановых значений (Леонтьева А.А., Диспетчера)
- управления отгрузками продукции ПМ, ведение посуточного факторного анализа (Кавсюк Ю.В.)
- подготовка данных/дополнительной информации для проекта Лодка9 (все)
- передача данных для ЕСД, ЕКП. Формирования МЗК, КПО (обучение, верификация данных)</t>
  </si>
  <si>
    <t>- Лодка9
- выравнивание/настраивание методологии с ФЭП КЦ в рамках Меридиума (УМД/ДМД/НСП)
- Календарный план по ПЭ (Агаджанян/Малышева)
- Календарный план ПМ (Малышева Е.Ю.)
- мониторинг действий комисcаров по ОТ и БП в период проведения ОР26 (диспетчера)</t>
  </si>
  <si>
    <t>ИИ внедрен в постоянную работу ведущих инженеров технологов, экспертов по предпроектной проработке, главных экспертов</t>
  </si>
  <si>
    <t>Целевой результат 3 квартал на 5
1. Инициация и вынесение на приоритизацию ИИ окупаемых в экспресс-расчете экономики, не менее 3 в квартал
2. Длительность проработки новых эффективных инвест.идей на этапе I2P, не более 51 кд (даже если они не переходят на P2I из-за внешних ограничений)
Целевой результат 3 квартал на 5 (включая мероприятия на 5)
Запущена инициатива по альтернативной переработке АПП (реализация 2027-2028 гг)
Инициирован/возобновлен проект по СВМПЭ на ПП</t>
  </si>
  <si>
    <t>ЭКОНС:
1. Работа в ЗЗ за период, не менее 80%
2. Работа в ОГР за период, не менее 95%
3. Работа в ЧЗ за период, менее 1%</t>
  </si>
  <si>
    <t>1. Провести не менее 3-х ПАБ в квартал с выявлением опасных условий/опасных действий. Предложить мероприятия по недопощуению травмирования сотрудников предприятия и подрядных организаций
2. Проведение ЛО не менее 2 баллов по ПБ, не менее 2 баллов по ОТ.
3. Провести оценку качества проведённых ПАБ подчинённым персоналом, не менее 5 проверок</t>
  </si>
  <si>
    <t>Развитие персонала ОТиР</t>
  </si>
  <si>
    <t>Целевой результат 3 квартал на 5
1. Обеспечить кадровую защищенность ОТиР до 30.09.2026г. за счёт:
1.1. подготовки второго номера  МТиР (Амзараков Д.Е.) путём стажировки на Производствне полиэтилена с полной ответсвенностью за результат;
1.2. внутреннего перевода  на позицию  ВИТ ОЗХ Назарова Д.В.
1.3. стажировки кандидатов: ППЭ - Власов М.В., Штобза Д., ПМ - Александров Д.С., ППП - Ходжибаев Ф.Д., ЭнП - Дмитриев К.Н.
2. Повышение компетентности ВИТ до 30.09.2026г. за счёт:
2.1 Наставничества с привлечением эксперта ФЭП сотрудника Котова А.А. по направлению - "Сведение тех.мат баланса"
2.2 Использования ИИ для разработки макросов/формул с целью анализа отклонений тех.параметров загруженных в эксель таблицах
2.3. Создания с нуля панели ЭКОНС отражающую актуальные показатели эффективности - ИТЭ-1,2, ИЭ, ИТЭзхп, МДП, потери
2.4 Обучения на уровень ЗП 6 Сигма</t>
  </si>
  <si>
    <t>Управление тех. рисками и безопасной работой произ-в + Обесп-ие эфф-го пр-са АКП</t>
  </si>
  <si>
    <t>Целевой результат 3 квартал на 5
1. Статистика по отклонениям ННТР, ННАК формируется из реестра событий в срок до 10 числа ежемесячно, не менее 100%
2. Анализ причин отклонений показателей ННТР, ННАК от целевых фикисруетсмя на ритуале ВИТ-ВИП еженедельно.
3. Подготовка верифицированных данных для Ритуала ГТ "Анализ соблюдения технологической дисциплины на Предприятии", не реже 1 раза в месяц
4. Качество планирования и реализации ОПИ, не менее 65%
5. Успешность ОПИ, не менее 80%
6. Доля просроченных мероприятий АКП, не более 10% в месяц
7. Покрытие расследованиями отклонений ключевых РН по сырью, не менее 90%
Целевой результат 3 квартал на 6 (включая мероприятия на 5)
3. Обеспечить подготовку верифицированных данных для Ритуала ГТ "Анализ соблюдения технологической дисциплины на Предприятии" используя ИИ, не реже 1 раза в месяц до 30.09.2026</t>
  </si>
  <si>
    <t>Целевой результат 3 квартал на 5
1. Обеспечить показатель валового НСП ПП+ПЭ (все ЗО), не более 4501 т./5,33% (ПЭ = 3236т./5,97%, ПП = 1265т./4,18%) до 30.09.2026  за счёт разработки и реализации орг. и тех. меропритяий
2. Обеспечить стабильность процесса выпуска марок ПЭ (Ppk &gt;1,33 по метрикам и границам тех.карт) до 30.09.2026 за счёт разработки и реализации орг. и тех. мероприятий
3. Обеспечить выполнение (выдерживание) расходных норм МТР не менее 90-95% до 30.09.2026 за счёт разработки мероприятий
4. Отсутствие неидентифицированных потерь/дебалансов
5. Сходимость расходных норм ТМБ и ЭМБ
6. Обеспечить выполнение показателя "Потери по ключевым РН сырья в ЗО ФЭП" до 30.09.2026,  не более 114 млн.руб (ПМ сырье = 72, ПМ топ.газ = 4, ПЭ этилен = 24, ПП пропилен = 14) за счёт разработки мероприятий
Целевой результат 3 квартал на 6 (включая мероприятия на оценку 5)
1. Обеспечить показатель валового НСП ПП+ПЭ (все ЗО), не более 3323 т./3,94% ( ПЭ =  2736 т./5,05%, ПП = 587 т./1,94% ) до 30.09.2026  за счёт разработки и реализации орг. и тех. меропритяий при проведении остановочных/пусковых операций ПЭ/ПП</t>
  </si>
  <si>
    <t>Целевой результат 3 квартал на оценку 5
1. Обеспечить подтвержденный финансовый эффект от внедренных ММ в размере не менее 279 млн руб.  до 30.09.2026 (ПМ=20,4, ПЭ=235, ПП=15, ПУиСП+ЭП=1 млн.руб.)
2. Сформировать  перечень инициатив на 2027г. с суммарным прогнозным эффектом на EBITDA не менее 95,4 млн руб.  до 30.09.2026 (В СОВА на этапе I2P ММ: ПМ=40,5, ПЭ=40,5, ПП=14,3, ПУиСП+ЭП=5 млн.руб.)
3. Обеспечить выполнение норм расхода сырья в период ОР-2026г., не более:
3.1 ПМ = 2743т;
3.2 ПЭ = 31т;
3.3 ПП = 518т.
4.  Обеспечить  подтвержденным финансовым эффектом в 2026 от реализации меропритяий  программы "Эффективность+" в ЗО СГТ   до 30.09.2026, млн.руб.:
4.1 ПМ = 142;
4.2 ПЭ = 63;
4.3 ПП = 16;
4.4 ЭнП+ПУиСП и прочие = 7.
Целевой результат 3 квартал на 6 (в дополнении к показателям оценки 5)
3. Снизить потери сырья относительно заложенных в БП-2026 на ОР за счёт разработанных технических мероприятий :
3.1. ПМ = -190 тонн (бензин);
3.2. ПП = -40 тонн (пропилен);
3.3. ПЭ = -10 тонн (этилен);
4. Разработать дополнительные мероприятия с подтвержденным финансовым эффектом в 2026 для  программы "Эффективность+" в ЗО СГТ  до 30.09.2026, млн.руб.
4.1 ПМ = 50;
4.2 ПЭ = 15;
4.3 ПП = 5.
5. Обеспечить проведение ОПИ, составить план дальнейших действий до 30.09.2026г.:
5.1 ТЭА производства ТНХ на KPI  за счёт реализации ИП;
5.2 при выпуске марки MG013: снижение концентрации ПИ.
5.3 при выпуске марки 08218 - введение добавки.</t>
  </si>
  <si>
    <t>Общество с ограниченной ответственностью "Томскнефтехим"/Направление Директора по производству/Производство углеводородов и сырья для пиролиза/Смена 2</t>
  </si>
  <si>
    <t>"LTIF = 0,
ИА 1,2=0"</t>
  </si>
  <si>
    <t>Снижение нарушений НТР, НАК</t>
  </si>
  <si>
    <t>не более 109 шт./кв.
не более 14 шт./кв.</t>
  </si>
  <si>
    <t>Снижение количества срабатывания сигнализаций</t>
  </si>
  <si>
    <t>не более 5040 шт.</t>
  </si>
  <si>
    <t>"Выполнение целей стратегии устойчивого развития: - выбросы ЗВ в атмосферу</t>
  </si>
  <si>
    <t>1. Выбросы ЗВ в атмосферу не более 0,053тыс.тн
2. Отходы на размещение не более 0,015 тыс. тн</t>
  </si>
  <si>
    <t>Общество с ограниченной ответственностью "Томскнефтехим"/Направление Директора по производству/Производство полиэтилена/Смена 2</t>
  </si>
  <si>
    <t>Общество с ограниченной ответственностью "Томскнефтехим"/Юридическое управление</t>
  </si>
  <si>
    <t>Оценка потенциала и внедрение ИИ инструментов в бизнес-процессы ЮП</t>
  </si>
  <si>
    <t>1. Предложены и направлены в ЮП идеи по кросс-функциональным процессам ЮП по применению ЮП с целью повышения эффективности процессов Компании
2. Сотрудники ЮС Томска регулярно применяют ИИ в своих процессах (поисковые операции, генерация и анализ документов, презентации, пр.)</t>
  </si>
  <si>
    <t>Участие в проекте Лидеры направлений "Команда"</t>
  </si>
  <si>
    <t>1) Участие в РГ по проекту  "Сыгранность команды" - направление " Эталонный НС",  выполнены мероприятия согласно плану за 3 кв. 2026 г.</t>
  </si>
  <si>
    <t>Участие в проекте Лидеров направлений "Устойчивое развитие"</t>
  </si>
  <si>
    <t>1) выполнены мероприятия за 3 кв. 2026 г.
2) участие в РГ по "Сыгранности команды" - Амбассадоры СИБУРа: сформирован план работы на 2026 г., выполнены мероприятия согласно плану за 3 кв. 2026 г.</t>
  </si>
  <si>
    <t>Ведение качественного биллинга</t>
  </si>
  <si>
    <t>1. Все сотрудники ЮУ ведут 100% биллинг по своим задачам в электронной системе не позднее следующего рабочего дня
2. Все сотрудники ЮУ соблюдают правила ЮП ведения дел в Джеффит</t>
  </si>
  <si>
    <t>Обучение руководителей и специалистов ТНХ, КЗСК по актуальным юр.темам</t>
  </si>
  <si>
    <t>1.  проведены обучения согласно плану на 3 кв. 2026 г. (не менее 3 обучений в квартал)</t>
  </si>
  <si>
    <t>Правовое сопровождение выстраивания новых или корректировки существующих кросс-функциональных бизнес-процессов компании в целях повышения их
 эффективности</t>
  </si>
  <si>
    <t>Правовое сопровождение работ в ОР ТНХ, КЗСК</t>
  </si>
  <si>
    <t>1) правовая поддержка и помощь СУОФ по переносу сроков в договорах с контрагентами ТНХ
2) методол.помощь - составление памятки по порядку действий и применении  штраф.санкции в отношении подрядчиков на работы ОР (1) для менеджеров СУОФ; 2) коммуникация для подрядчиков
3) отработка всех вопросов в приоритетном  порядке по работам ОР(консульт.помощь, ПИР, пр.)</t>
  </si>
  <si>
    <t>Координация программы "Стажер 2026"</t>
  </si>
  <si>
    <t>1.  Подведены итоги программы Стажер 2026 г.
2. сформирована программа Стажер 2027 г. (собрана обратная связь по улучшениям программы, подписан договор с ТГУ)
3. Сформирована презентация об эффективности стажерской программы за 10 лет
4. Сформированы метрики оценки эффективности программы на будущее и определен порядок их учета
5. Сформирована база кадрового резерва стажеров за 2026 г.</t>
  </si>
  <si>
    <t>Сохранение ключевой экспертизы и развитие хард и бизнес компетенций ЮП, необходимых в среднесрочной перспективе (в т.ч. МКА, английское право,
 антидемпинг, логистика, обязательственное право, ИИ промтинг).</t>
  </si>
  <si>
    <t>Банкротство КолдТрейдХолдинг (чиллер КЗСК)</t>
  </si>
  <si>
    <t>1.  Подписаны документы о принятии имущества от Промтехстрой, долг КТХ закрыт.
2. В случае неподписания документов со стороны Промтехстроя выстроена стратегия дальнейших действий для КЗСК с минимальными рисками</t>
  </si>
  <si>
    <t>Эффективная претензионно-исковая работа Не менее 88</t>
  </si>
  <si>
    <t>Сопровождение расследования несчастного случая</t>
  </si>
  <si>
    <t>1) обеспечено сопровождение руководителей/специалистов ТНХ в рамках расследования уг.дела, в т.ч. с участием адвокатов;
2) сформирована и согласована с ГД концепция сопровождения дела на этапе суд.рассмотрения в отношении обвиняемых
3) организовано рассмотрение представления СК с минимальными рисками для ТНХ</t>
  </si>
  <si>
    <t>1. Утверждены   ИПР сотрудников К.Винила, В.Тецлова на 2026 г.
2. Обеспечена регулярность встреч по развитию сотрудников (не менее 1 р. в месяц)
3.  ИПР сотрудников актуализируются по мере отслеживания статусов выполнения, и новых вызовов</t>
  </si>
  <si>
    <t>Своевременность направления заявок в систему тикетов, при наличии замечаний по р</t>
  </si>
  <si>
    <t>Запрос в систему тикетов должен быть направлен в течении рабочего дня, следующего за днем получения документов, подтверждающих некачественную поставку</t>
  </si>
  <si>
    <t>Своевременная инициация процесса проведения входного контроля</t>
  </si>
  <si>
    <t>Направление информации непосредственному заказчику о необходимости проведения ВК в течении 2 раб. дней с даты поступления МТР на склад (при наличии информации о Заказчике МТР)</t>
  </si>
  <si>
    <t>Отсутствие нарушений фин. дисциплины со стороны СХ на конец фин. периода</t>
  </si>
  <si>
    <t>Обеспечить своевременность приемки МТР в системе SAP не более 2 раб. дней</t>
  </si>
  <si>
    <t>не более 2 дней</t>
  </si>
  <si>
    <t>Направления запросов, для своевременного отражения ПМ МТР, в Тикеты в течении 2-</t>
  </si>
  <si>
    <t>Направление по почте товарно-сопроводительных документов в адрес поставщиков не</t>
  </si>
  <si>
    <t>Контроль сроков проведения ВК в соответствии СТП</t>
  </si>
  <si>
    <t>ВК проведен в регламентные сроки. Акт ВК оформлен должным образом.</t>
  </si>
  <si>
    <t>Выполнение задач по ознакомлению с документами в системе КИС ЕСМ</t>
  </si>
  <si>
    <t>100% и своевременное ознакомление с задачами за оцениваемый период</t>
  </si>
  <si>
    <t>Главный эксперт по охране труда и промышленной безопасности</t>
  </si>
  <si>
    <t>Общество с ограниченной ответственностью "Томскнефтехим"/Направление директора по охране труда и промышленной безопасности/Отдел охраны труда, промышленной  и пожарной безопасности</t>
  </si>
  <si>
    <t>Проведение Безопасного Остановочного ремонта 2026г</t>
  </si>
  <si>
    <t>ОР 2026 проведен без НС и аварий</t>
  </si>
  <si>
    <t>Управление рисками</t>
  </si>
  <si>
    <t>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</si>
  <si>
    <t>Работа с предписаниями</t>
  </si>
  <si>
    <t>100% затратных предписаний внесены в реестр, обрискованы, осмечены. Определен источник финансирования или долгосрочный план устранения предписаний.</t>
  </si>
  <si>
    <t>Идентификация опасности и оценки рисков в области ОЗиБТ</t>
  </si>
  <si>
    <t>1. Обеспечено наличие актуальных анкет по всем рабочим местам предприятия.
2. Все высокие и средние риски включены в РРП, разработаны митигирующие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t>
  </si>
  <si>
    <t>Повышение компетенций команды функции ОТиПБ</t>
  </si>
  <si>
    <t>Получение 100% допусков, реализовать запланированные обучения</t>
  </si>
  <si>
    <t>Управление травматизмом: повышение контроля за РПО</t>
  </si>
  <si>
    <t>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3. Организованы системные проверки ОТиПБ ранжирования РПО в ЦНД и видеофиксации целевых инструктажей в выходные дни (ГОР, ОР)</t>
  </si>
  <si>
    <t>Настройка системы "Иди и Смотри" для целей ПК</t>
  </si>
  <si>
    <t>Сформированы и распределены задания базового алгоритма
Сформированы и распределены целевые проверки согласно утвержденному графику
Контроль выполнения заданий с установленные сроки</t>
  </si>
  <si>
    <t>Общество с ограниченной ответственностью "Томскнефтехим"/Направление Директора по производству/Производство полиэтилена/Установка полимеризации этилена/Полимеризация (408)</t>
  </si>
  <si>
    <t>Общество с ограниченной ответственностью "Томскнефтехим"/Направление Директора по производству/Производство полиэтилена/Установка полимеризации этилена/Полимеризация/грануляция (408)</t>
  </si>
  <si>
    <t>Эффективность + Реализация ММ, по снижению постоянных расходов в ЗО</t>
  </si>
  <si>
    <t>не менее 6.59 млн. руб.</t>
  </si>
  <si>
    <t>1. 0 событий в зоне ответственности с влиянием на ИА-1
2.            0 событий с возгораниями</t>
  </si>
  <si>
    <t>Работа с условиями труда на предприятия</t>
  </si>
  <si>
    <t>СБК обеспечение приживаемости
Продолжение работы по улучшению условий труда на предприятии и улучшению Инфраструктуры
Анализ использования бытовок на производствах, закрытие избыточных помещений.
Переезд  персонала из к. 1550
Переезд Инф. безопасности в к. 1002 к. 228</t>
  </si>
  <si>
    <t>1. LTIF=0, в т.ч. ПО (отсутствие происшествий с сотрудниками СОБ и подрядных организаций в зоне ответственности)/ Отсутствуют сокрытые микротравмы, в т.ч. ПО
2. Поддерживается программа культуры безопасности (подрядные организации) и отслеживается статус реализации программы
3. Проведены ежемесячные совещания по ОТиПБ с подрядными организациями
4.            Полученные допуска -99%
5.            0 событий в зоне ответственности с влиянием на Ltif предприятия
6            Срок расследования происшествий не более 21 дня
7.            0 случаев травмирования ДТП – Транспортная безопасность</t>
  </si>
  <si>
    <t>Организация работы по контроллингу реализации Целевых инициатив</t>
  </si>
  <si>
    <t>1. Контрактование по реализуемым ЦИ АСУ ТП, АСПЗ, Пожарные водоводы
2. Контроль реализации ЦИ в 2026
3. Проработка бюджета на 2027г</t>
  </si>
  <si>
    <t>Сыгранность</t>
  </si>
  <si>
    <t>Работа в группах по темам   Эффективность + и Эталонный Начальник смены</t>
  </si>
  <si>
    <t>1.Организовано питание на период ОР, организованы дополнительные  пункты питания (вагончики для приема пищи в согл местах)
2. Установлены дополнительные точки питья.
3. Организована работа Спецтехники и пассажирского транспорта
4. Обеспечена инфраструктура: установка биотуалетов.
5. Организован дополнительный контроль по работе СБК к. 1003
6. Организован доп контроль по стирке и химчистке СИЗ на период ОР.
7. Усилена работа по клинингу на период ОР.</t>
  </si>
  <si>
    <t>1.Оценка сервисов ФСХО сотрудниками предприятия:
1.1.Питание:
•оценка во ВКУС средняя за 2026 год ≥ 5.5
•не менее 90% оценок «отлично и хорошо» через анкетирование, охват респондентов не мене 30% посетителей столовых
1.2.Клининг: оценка во ВКУС средняя за 2026 год ≥ 5.5
1.3.Транспорт: оценка в системе Заказа транспорта средняя за 2024 год ≥ 4.8, доля оцененных заявок не менее 85%
1.4.СИЗ: оценка во ВКУС средняя за 2026 год ≥ 5.5
2.Оценка сервисов ФСХО Службой заказчика:
2.1.SLA ≥ 95% (питание, клининг)</t>
  </si>
  <si>
    <t>Обеспечение кадровой устойчивости, работа с командой</t>
  </si>
  <si>
    <t>1.Наличие и калибровка «вторых» номеров уровня Руководителя СОБ / Руководителя СОБ-1
2.Укомплектованность штата СОБ на 100%, добровольная текучесть не более 10%
3.Удержание уровня вовлеченности не ниже уровня 2025 года</t>
  </si>
  <si>
    <t>Развитие команды ФСХО</t>
  </si>
  <si>
    <t>Бюджет ФСХО ТНХ за 9 мес. 2026</t>
  </si>
  <si>
    <t>не более 549.6 млн. руб.</t>
  </si>
  <si>
    <t>Вовлечение в экологическую программу ТНХ</t>
  </si>
  <si>
    <t>Применение метода SPM HD, на A/B-404-G1</t>
  </si>
  <si>
    <t>Применение метода ударных импульсов SPM на практике, для качественного определения состояния подшипников качения редукторов A/B-404-G1</t>
  </si>
  <si>
    <t>Старший юрист</t>
  </si>
  <si>
    <t>Качественный биллинг</t>
  </si>
  <si>
    <t>Забиллино не менее 8 ч в день, все Дела заполнены согласно Правил работы в Jeffit</t>
  </si>
  <si>
    <t>1.  переформатирован подход к обучению (по итогам мозгового штурма)
2. проведены обучения согласно плану на  2026 г.</t>
  </si>
  <si>
    <t>1. Помощь в адаптации молодого сотрудника, успешное прохождение испытательного срока
2. Обеспечена регулярность встреч по развитию сотрудников (не менее 1 р. в квартал)
3. Определены не менее 2 направлений для собственного развития с учетом обратной связи от руководителя.
4. Выполнены планируемые мероприятия по развитию по выбранным направлениям (п.3)</t>
  </si>
  <si>
    <t>Развитие команды ЮУ Томск</t>
  </si>
  <si>
    <t>Выстраивание сквозного процесса учета ж/д простоев по вх. претензиям КЗСК</t>
  </si>
  <si>
    <t>1. Создать реестр ж/д  простоев по  вх. претензиям для мониторинга и анализа, выстроить процесс взаимодействия КЗСК-ПЦ- ЮУ ТНХ- НХТК для снижения фин. потерь.
2. Разработать механизм и порядок  контроля отработки входящих претензий по ж\д простоям, с учетом подготовки ответов на претензии, перевыставление в НХТК, РЖД, контроль поступления ден.средств в КЗСК по итогам суд.решений  -  порядок описан в виде документа,  предусмотрены зоны отв-ти всех участников процесса.</t>
  </si>
  <si>
    <t>Участие КЗСК (3 лицо) в делах НХТК о взыскании убытков с РЖД</t>
  </si>
  <si>
    <t>Подготовка судебных документов, участие в суд. заседаниях. Выстраивание взаимодействия между КЗСК,  ПЦ, ЮУ ТНХ и НХТК по  предъявлению  убытков в годич. срок, в т.ч. внесение изменение в договоры с поставщиками КЗСК о предъявлении претензий по ж\д простоям в 6 месячный срок.</t>
  </si>
  <si>
    <t>Сопровождение ключевых проектов обслуживаемых предприятий</t>
  </si>
  <si>
    <t>1. Правовое консультирование в целях оперативного решения  возникающих вопросов
2. Оказано консультативное и претензионное сопровождение проекта для достижения ключевых вех</t>
  </si>
  <si>
    <t>Лидерство в круге S&amp;P</t>
  </si>
  <si>
    <t>Планирование работы круга, защита целей</t>
  </si>
  <si>
    <t>Правовое сопровождение продаж, закупок и логистики</t>
  </si>
  <si>
    <t>Общество с ограниченной ответственностью "Томскнефтехим"/Направление Главного инженера/Служба управления надежностью/Направление Главного метролога</t>
  </si>
  <si>
    <t>Обеспечение бесперебойной работы предприятия в условиях санкций.</t>
  </si>
  <si>
    <t>1. Актуализация рискориентированных стратегий на ремонт оборудования в ЗО - не менее 500 шт.
2. Проведение ОПИ оборудования КИП (портативный газоанализатор, датчик давления на ПЭ, хроматограф, позиционеры).</t>
  </si>
  <si>
    <t>Главный метролог</t>
  </si>
  <si>
    <t>Контроль за проведением остановочного ремонта в ЗО</t>
  </si>
  <si>
    <t>1. Качественное проведение остановочного ремонта в ЗО.
2. Отсутствие задержки пуска основного технологического оборудования в ЗО.</t>
  </si>
  <si>
    <t>Мониторинг технического состояния оборудования в ЗО</t>
  </si>
  <si>
    <t>1. Проведение плановых комплексных проверок основных производств в соответствии с графиком - 100%.
2. Оценки качества проведенных ППР в ЗО.</t>
  </si>
  <si>
    <t>Минимизация УМД в ЗО</t>
  </si>
  <si>
    <t>1. Показатель УМД / EBITDA в ЗО не более 0.015%.
2. Расследование событий УМД с разработкой рекомендаций в ЗО - 100%.
3. Анализ выученных уроков по компании (100% в ЗО).
4. Своевременность выполненных рекомендаций в ЗО - 100%.</t>
  </si>
  <si>
    <t>Производственный травматизм в подразделении (LTIF)</t>
  </si>
  <si>
    <t>1. Отсутствие фактов травматизма (LTIF=0).
2. Проведение ПАБ - не менее 3 шт. в квартал.
3. Фиксация нарушений в области ОТ с занесением в систему "Иди и смотри" - не менее 3 шт. в квартал.</t>
  </si>
  <si>
    <t>Обеспечение радиационной безопасности</t>
  </si>
  <si>
    <t>1. Недопущение предписаний РТН.
2. Недопущение радиационных аварий.
3. Подготовка и подача пакета документов для получения нового СанЭпидЗаключения по ПЭ.
4. Контроль за проведением работ по перезарядка 14 блоков с ИИИ.</t>
  </si>
  <si>
    <t>Общество с ограниченной ответственностью "Томскнефтехим"/Направление Главного инженера/Служба управления надежностью/Направление Главного механика</t>
  </si>
  <si>
    <t>Обеспечение входного контроля ТМЦ по ИП, АТЗ в ЗО</t>
  </si>
  <si>
    <t>Своевременное и качественное участие во входном контроле ТМЦ по инвестиционным проектам, НБ проектам ППОФ, АТЗ в зоне ответственности.</t>
  </si>
  <si>
    <t>Главный механик</t>
  </si>
  <si>
    <t>Проведение КР т.а. М-1, 6, 5 в рамках ОР 2026</t>
  </si>
  <si>
    <t>Выполнение подготовительных мероприятий и успешное проведение капитального ремонта турбоагрегатов М6, М5, М1 в рамках остановочного ремонта 2026 года
Оценка выполнения в соответствии с чек-листом - не менее 95%</t>
  </si>
  <si>
    <t>Качество проведенных расследований событий с УМД (RCA) по ППП</t>
  </si>
  <si>
    <t>Эффект от достижения целевых значений по МГ в ЗО</t>
  </si>
  <si>
    <t>не менее 90.11 %</t>
  </si>
  <si>
    <t>Участие в инвестиционной деятельности, проектах развития и проекте АТЗ по ППП</t>
  </si>
  <si>
    <t>Своевременное и качественное рассмотрение и согласование новых проектов, инвестпроектов  по производству в зоне ответственности.</t>
  </si>
  <si>
    <t>Индекс аварийности (ИА1) в зоне ответственности</t>
  </si>
  <si>
    <t>не более 0 единиц</t>
  </si>
  <si>
    <t>Допуск к самостоятельной работе вновь устроенных сотрудников не более 90 дней</t>
  </si>
  <si>
    <t>1. Организация периодического М/О, контроль прохождения М/О.
2.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
3. Разработка, пересмотр и внесение изменений в должностные инструкции, инструкции по охране труда, инструкции по видам работ в зоне своей ответственности.</t>
  </si>
  <si>
    <t>УМД в ЗО РП = 0</t>
  </si>
  <si>
    <t>не более 0 Случаев</t>
  </si>
  <si>
    <t>1. Одна запись по ПБ в квартал.
2. Три записи по экологии.
3. Вовлеченность в чемпионат по безопасности РПИ 100%.
4. Проведение ПАБ 3 шт. в квартал.
5. Запись в журнале по ОТ 9шт. в квартал.</t>
  </si>
  <si>
    <t>1. Количество случаев нарушения сроков при табелировании работников Предприятия: Цель =0; Порог =2.
2. Соблюдение финансовой и исполнительской дисциплины: график расчета заработной платы, ежедневное внесение данных (допускается исправление на следующий рабочий день); корректировка после закрытия табеля в течении 2х рабочих дней следующего месяца.
3. Планирование и исполнение рабочих заданий, ведение документационного сопровождения.</t>
  </si>
  <si>
    <t>1. Средняя результативность оценки рабочих мест по чек листам не менее 21 балла.</t>
  </si>
  <si>
    <t>1. ЧВР (ФРД) смены/бригады 75-80%</t>
  </si>
  <si>
    <t xml:space="preserve"> ОТ и ПБ</t>
  </si>
  <si>
    <t>1. Проведение ПАБ и выявление ОД/ОУ. Не менее 15 баллов в Чемпионате.
2. Вовлечение персонала рабочих профессий в мотивоционную программу
 "Чемпионат по безопасности по ОТ, ПБ и Э" 100%, записи в журнал Иди и смотри.
3. отсутствие замечаний по полноте наполнения и качества мероприятий при оформлении Н/Д.
4.  0 травм с потерей трудоспособности по РП РПИ
5. Вовлеченность мастеров в проведение ПАБ 100%</t>
  </si>
  <si>
    <t xml:space="preserve"> Развитие сотрудников</t>
  </si>
  <si>
    <t>1. Проведение проверок знания по ТК персоналу РПИ согласно графика, индекс компетентности персонала участка 92,7%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Уровень вовлеченности в подразделении (факторы: непосредственный руководитель, ОС, карьерные возможности) - 80-88%</t>
  </si>
  <si>
    <t>Текучесть персонала</t>
  </si>
  <si>
    <t>правление травматизмом (LTIF) и техногенностью ИА1,2</t>
  </si>
  <si>
    <t>1.Полученные допуски -99% (личные)
2. LTIF = 0 (ППЭ)
3. 0 пробитых барьеров при проведении стресс-тестов со стороны ОТ,ПБ (в ЗО смены)
4. ИА 1,2 = 0</t>
  </si>
  <si>
    <t>Работа с командой (HR-метрики)</t>
  </si>
  <si>
    <t>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 а именно:</t>
  </si>
  <si>
    <t>ВПР = 69,81 %
ИТЭ = 99,35 %
ИЭ = 206,31 %
ИТЭзхп. = 95,22 %</t>
  </si>
  <si>
    <t>1. Выбросы ЗВ в атмосферу не более 0,225
2. Сбросы ЗВ в стоки не более 0,018
3. Отходы на размещение не более 0,050
4. Водопотребление, не более (тыс.м3)  21.70
5. Выбросы парниковых газов, не более 34,57</t>
  </si>
  <si>
    <t>КПОиТП не более 0,50
КЦП не менее 0,97
НСП не более 5,97%</t>
  </si>
  <si>
    <t>Общество с ограниченной ответственностью "Томскнефтехим"/Направление Директора по производству/Производство мономеров/Установка пиролиза углеводородов нефти</t>
  </si>
  <si>
    <t>Объем производства олефинов</t>
  </si>
  <si>
    <t>не менее 82.36 тыс. т.</t>
  </si>
  <si>
    <t>сигнализации - 15545 шт.
НТР - не более  15339  шт./кв.
НАК - не более 866 шт./кв.</t>
  </si>
  <si>
    <t>Достижение целей по ключевым показателям эффективности ВПР, ИТЭ, ИЭ, ИТЭзхп</t>
  </si>
  <si>
    <t>Достижение целей по ключевым показателям эффективности
ВПР = 67,48 %
ИЭ = 140,48%
ИТЭ=98,38%
ИТЭзхп=98,05</t>
  </si>
  <si>
    <t>Экономический эффект от мероприятий менеджмента</t>
  </si>
  <si>
    <t>не менее 20.36 млн. руб.</t>
  </si>
  <si>
    <t>Доля негативных событий где риск не был выявлен не более 25% от общего количеств</t>
  </si>
  <si>
    <t>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</si>
  <si>
    <t>Участие в проведении КР гипер компрессоров ПЭВД.</t>
  </si>
  <si>
    <t>К.Р. выполнен в соответствии с графиком, отсутствие остановок в течение месяца в зоне ответственности СУН по мех. части.</t>
  </si>
  <si>
    <t>Участие в инвестиционной деятельности, проектах развития и проекте АТЗ по ППЭ</t>
  </si>
  <si>
    <t>Своевременное и качественное рассмотрение и согласование новых проектов, инвестпроектов  по производству Полиэтилена - в зоне ответственности. Пересмотр АТЗ с учётом новой методологии и на основании пересмотренной критичности. Зона ответственности - оборудование ППЭ, механика. Ожидаемый результат на конец отчетного периода - Непосредственное участие и курирование проектов по производству Полиэтилена - в зоне ответственности,  достижение 90% вех в плановый срок.</t>
  </si>
  <si>
    <t>Производственный травматизм (LTIF) по СУН</t>
  </si>
  <si>
    <t>LTIF  по СУН =0, Выявление ОУ/ОД через проведение ПАБ/ЛО - не менее 15 аудит</t>
  </si>
  <si>
    <t>Качество проведенных расследований событий с УМД (RCA) по ППЭ</t>
  </si>
  <si>
    <t>Индекс аварийности (ИА1) в зоне ответственности по Производству полиэтилена</t>
  </si>
  <si>
    <t xml:space="preserve"> Проверка проведенных ППР производств по части качества ТОиР</t>
  </si>
  <si>
    <t>Заполнен чек-лист, разработаны рекомендации</t>
  </si>
  <si>
    <t>УМД в ЗО (СУН-механика) по ППЭ, % от EBITDA</t>
  </si>
  <si>
    <t>не более 0.26 %</t>
  </si>
  <si>
    <t>Обеспечение входного контроля ТМЦ по ИП, АТЗ в ЗО по ППЭ без нарушения сроков</t>
  </si>
  <si>
    <t>Своевременное и качественное участие во входном контроле ТМЦ по инвестиционным проектам, НБ проектам ППОФ по производству Полиэтилена - в зоне ответственности. Зона ответственности - динамическое оборудование, механика. Ожидаемый результат на конец отчетного периода, метрика - Входной контроль проведен по производству Полиэтилена своевременно - в зоне ответственности. Акты входного контроля по производству Полиэтилена оформлены, своевременно согласованы - в зоне ответственности.</t>
  </si>
  <si>
    <t>Общество с ограниченной ответственностью "Томскнефтехим"/Направление Директора по производству/Производство мономеров/Установка компримирования и разделения пирогаза</t>
  </si>
  <si>
    <t>Индекс компетентности</t>
  </si>
  <si>
    <t>не менее 91 %</t>
  </si>
  <si>
    <t>сигнализации - 16364шт./кв
НТР - не более  27096шт./кв.
НАК - не более 1579 шт./кв.</t>
  </si>
  <si>
    <t>1. Кадровая защищенность (формирование пула вторых номеров )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</si>
  <si>
    <t>не более 0  млн руб.</t>
  </si>
  <si>
    <t>ВПР = 97,34%
ИТЭ = 98,67%
ИЭ = 140,48%
ИТЭзхп = 96,39%</t>
  </si>
  <si>
    <t>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189,285 тыс. т СО2</t>
  </si>
  <si>
    <t>не менее 119.379 тыс. тонн</t>
  </si>
  <si>
    <t>Общество с ограниченной ответственностью "Томскнефтехим"/Направление Директора по производству/Производство полиэтилена/Смена 4</t>
  </si>
  <si>
    <t>1 квартал 2026/2026 год
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t>
  </si>
  <si>
    <t>КПОиТП не более 0,50
КЦП не менее 0,97
НСП более 5,97%</t>
  </si>
  <si>
    <t>1. Выбросы ЗВ в атмосферу не более 0,300 тыс.тн
2. Сбросы ЗВ в стоки не более 0,072 тыс. тн
3. Отходы на размещение не более 0,033 тыс. тн
4. Водопотребление 1313,9 тыс. т м3
5. Выбросы парниковых газов 29164 т СО2</t>
  </si>
  <si>
    <t xml:space="preserve"> LTIF = 50</t>
  </si>
  <si>
    <t>Общество с ограниченной ответственностью "Томскнефтехим"/Направление Директора по производству/Производство углеводородов и сырья для пиролиза/Смена 4</t>
  </si>
  <si>
    <t>LTIF = 0
ИА 1,2=0</t>
  </si>
  <si>
    <t>не более 312 шт./кв.
не более 156 шт./кв.</t>
  </si>
  <si>
    <t>Выполнение целей стратегии устойчивого развития:
1. Выбросы ЗВ в атмосферу не более 0,037 тыс.тн
2. Сбросы ЗВ в стоки не более 0,018 тыс. тн
3. Отходы на размещение не более 0,0045 тыс. тн.</t>
  </si>
  <si>
    <t>Улучшение малыми шагами</t>
  </si>
  <si>
    <t>Качество проведения ЭСП (по чек-листу) (не менее 85%); Наличие не рассмотренных / отпр. на доработку идей, под. более 90 дней назад, (0шт); Качество предоставления ОС автору идеи (по чек-листу) (не менее 85%); Cрок реализации идей УМШ (не более 60 дней); Качество идей (принятые идеи в реализацию/все рассмотренные) (не менее 75%); Уровень вовлеченности в подачу идей (не менее 60%); Конверсия идей в ММ (более 1%); Экономический эффект УМШ (более 1млн.руб.)</t>
  </si>
  <si>
    <t>Своевременность размещения информации на сетевых ресурсах</t>
  </si>
  <si>
    <t>Размещение документов в сетевых папках не позднее 10 числа следующего месяца</t>
  </si>
  <si>
    <t>Прохождение обучение в соответствии с планом
Изучение материалов НОМ/ТОМ для вновь принятых сотрудников</t>
  </si>
  <si>
    <t>Исполнения плана освоения, финансирования и ввода капитальных вложений по ИП и П</t>
  </si>
  <si>
    <t>Сокращение объема НЗС. Разработка перечня мероприятий для снижения общего уровня</t>
  </si>
  <si>
    <t>Разработан перечень мероприятий на 2026 год по сокращению объемов НЗС.</t>
  </si>
  <si>
    <t>Обеспечение своевременности ввода объектов в эксплуатацию по факту окончания раб</t>
  </si>
  <si>
    <t>Выполнение анализа и контроля объемов незавершенного производства по объектам строительства</t>
  </si>
  <si>
    <t>Ведущий специалист режимно-секретного подразделения</t>
  </si>
  <si>
    <t>Общество с ограниченной ответственностью "Томскнефтехим"/Направление Директора по безопасности</t>
  </si>
  <si>
    <t>Своевременное исполнение Задач от Руководителя</t>
  </si>
  <si>
    <t>Исполнять Задачи от Руководителя в срок</t>
  </si>
  <si>
    <t>Директор по безопасности</t>
  </si>
  <si>
    <t>Предоставление квартального отчета в ООО "СИБУР"</t>
  </si>
  <si>
    <t>Проведение ПАБ+экология</t>
  </si>
  <si>
    <t>не менее 8 шт</t>
  </si>
  <si>
    <t>Полугодовая сверка секретного делопроизводства с составлением Акта</t>
  </si>
  <si>
    <t>Провести сверку в срок, согласно плану</t>
  </si>
  <si>
    <t>Предоставление сведений в УФСБ России по приему иностранных граждан, выезд</t>
  </si>
  <si>
    <t>Предоставлять сведения в срок</t>
  </si>
  <si>
    <t>Обеспечение выполнения требований режима секретности</t>
  </si>
  <si>
    <t>Соблюдать требования режима секретности</t>
  </si>
  <si>
    <t xml:space="preserve"> Соблюдение правил ОТ и ПБ</t>
  </si>
  <si>
    <t>В систему внесено не менее 1 ПАБ</t>
  </si>
  <si>
    <t>Еженедельный сбор свода потребления ЭЭ</t>
  </si>
  <si>
    <t>Еженедельно осуществляется сбор и систематизация данных о фактическом потреблении и распределении электроэнергии по производственным подразделениям. По запросам от ВИТ и ВИП предоставлялась информация (комментарии) для анализа отклонений в зоне ответственности по учёту.</t>
  </si>
  <si>
    <t>Вовлеченность в эковолонтерские мероприятия</t>
  </si>
  <si>
    <t>Участие в экологических мероприятиях организованных на предприятии</t>
  </si>
  <si>
    <t>Общество с ограниченной ответственностью "Томскнефтехим"/Направление Главного инженера/Направление заместителя главного инженера/Служба управления основными фондами/Отдел технического обслуживания и ремонтов</t>
  </si>
  <si>
    <t>Срочные заявки ТМЦ в зоне ответственности</t>
  </si>
  <si>
    <t>Попадание работ в плановые даты согласно стратегии ТОиР</t>
  </si>
  <si>
    <t>Отклонение фактических трудозатрат от плановых по превентивным работам</t>
  </si>
  <si>
    <t>Контроль за просроченными сообщениями</t>
  </si>
  <si>
    <t>Выполнение месячных планов ТОиР</t>
  </si>
  <si>
    <t>Бэклог по видам групп плановиков</t>
  </si>
  <si>
    <t>не более 4 недель</t>
  </si>
  <si>
    <t>Своевременное проведение ритуалов</t>
  </si>
  <si>
    <t>Плановая загрузка РП-КА</t>
  </si>
  <si>
    <t>Внесение записей ПАБ</t>
  </si>
  <si>
    <t>Старший менеджер производства</t>
  </si>
  <si>
    <t>Приживаемость ИС 2.0</t>
  </si>
  <si>
    <t>1. Разработано дополнительно 30% вопросов к ЕКЭ по каждой компетенции
2. Проведены все ПАК и оформлены протоколы в срок
3. Проставлены все активности в ЛК сотрудников
4. Проведение Спецподготовки в полном объеме согласно графиков</t>
  </si>
  <si>
    <t>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</si>
  <si>
    <t>ЭЭ от ММ, ЭЭ от мероприятий программы Эффективность +, в ЗО</t>
  </si>
  <si>
    <t>Экономический эффект 3 квартал не менее 14,96 млн руб.
Экономический эффект от мероприятий программы Эффективность +, по мероприятиям в ЗО, не менее 58 млн.руб.</t>
  </si>
  <si>
    <t>Управление травматизмом (LTIF), аварийностью (ИА-1, ИА-2)</t>
  </si>
  <si>
    <t>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
8. 0 событий в зоне ответственности с влиянием на ИА-1 (согласно методологии)
9. Соответствие процесса осуществления производственного контроля метрикам оценки не менее "2,7" (указанным в МУ по осуществлению ПК на предприятиях СХ)
10. 0 событий с возгораниями</t>
  </si>
  <si>
    <t>1. Кадровая защищенность (формирование пула вторых номеров. разработка ИПР)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t>
  </si>
  <si>
    <t>Проведение ритуалов РС согласно графика с оценкой качества ритуала</t>
  </si>
  <si>
    <t>проведено 3 риск-сессии со средней оценкой не менее 2,5 балла</t>
  </si>
  <si>
    <t>Отсутствие рисков с просроченным статусом управления</t>
  </si>
  <si>
    <t>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t>
  </si>
  <si>
    <t>Качество рисков в РРП соответствует оценке 70%</t>
  </si>
  <si>
    <t xml:space="preserve"> Доля рисков с оценкой качества 70% в РРП.
100% -перевыполнено,
100%-70% - выполнено,
 70%-50% - частично выполнено,
 менее 50% - не выполнено.</t>
  </si>
  <si>
    <t>Доля негативных событий где риск не был выявлен не более 50% от общего количеств</t>
  </si>
  <si>
    <t>доля негативных событий где риск не выявлен больше 70% - не выполнено,
50%-70% - частично выполнено,
30%-50% - выполнено, меньше 30% - перевыполнено.</t>
  </si>
  <si>
    <t>LTIF по ЛНК = 0</t>
  </si>
  <si>
    <t>Теория, практика изучения мониторинга ВД экструзионного оборудования</t>
  </si>
  <si>
    <t>Изучить теоретические материалы диагностики  экструзионного оборудования по вибрации и применение их на практике</t>
  </si>
  <si>
    <t>1. Еженедельное проведение ПАБ и выявление ОД/ОУ, не менее 4 записей в месяц
2. Вовлечение персонала в мотивоционную программу "Чемпионат по безопасности по ОТ, ПБ и Э" 100%.
3. 100% выполнения мероприятий при производстве работ по Наряду допуску.
4. Ноль травм с потерей трудоспособности
5. Весь инструмент, оборудование смены/бригады в исправном состоянии и проверен, не более 1 выявленного замечания</t>
  </si>
  <si>
    <t>Чемпионат профессионального мастерства</t>
  </si>
  <si>
    <t>Подготовка к проведению чемпионата, формирование графиков, сбор списка участников, закупка сувенирной продукции. Привлечение студентов к участию в чемпионате</t>
  </si>
  <si>
    <t>Организация обязательного законодательного обучения, в том числе планового локал</t>
  </si>
  <si>
    <t>Проведение обучения корпоративными тренерами предприятия</t>
  </si>
  <si>
    <t>Проведение программ обучения КТ предприятия (план  факт)  100% от запланированных программ проведено в соответствии с согласованным графикомОбщий NPS по программам, проведенным КТ предприятия  75%</t>
  </si>
  <si>
    <t>Реализация не менее 95% сдачи (подготовленным сотрудникам по заявкам от СМП)
Ежемесячное проведение ЕКЭ, соединение со ШД , графикование, выбор компетенций, назначение теста, установление ПУ в ЛК, назначение надбавки за ПУ.</t>
  </si>
  <si>
    <t>Контроль целевого исполнение бюджета на программы обучения (без учета ВГО) Сибур</t>
  </si>
  <si>
    <t>Договорная работа по обязательному обучению</t>
  </si>
  <si>
    <t>Заключение договоров с КА, проведение ПД, контроль проведения оплат</t>
  </si>
  <si>
    <t>Общество с ограниченной ответственностью "Томскнефтехим"/Направление Директора по производству/Производство полиэтилена/Установка полимеризации этилена/Компрессия (408)</t>
  </si>
  <si>
    <t>01.06.26г. выполнение ДК по подготовки к ЭПБ не менее 90%</t>
  </si>
  <si>
    <t>Реализация мероприятий дорожной карты по 5С не менее 100 %</t>
  </si>
  <si>
    <t>1. Выбросы ЗВ в атмосферу не более 0,212 тыс.тн
2. Сбросы ЗВ в стоки не более 0,018 тыс.тн
3. Отходы на размещение не более 0,032 тыс.тн
4. Водопотребление не более 21,20 тыс. м3
5. Выбросы парниковых газов, не более 36,03 т СО2</t>
  </si>
  <si>
    <t>1. Вся ЗРА и СППК прибывшая в ремонт в период ОР отремонтирована, испытана, опломбирована, заполнены паспарта;
  нет отказов от некачественных ремонтов в ЗО по ЗРА и СППК в течение 20 дней после ОР
2. Все трубопроводы, оборудование работающее под давлением ЗО участка в период ОР отремонтированы, выдана вся ИД до подписания АКТА пуска производства сформирована и выдана заказчику;
  нет отказов от некачественных ремонтов в ЗО по трубопроводам, оборудованию работающим под давлением в течение 20 дней после ОР
     0 скрытых и несвоевременно выявленных/упущенных дефектов.
3. Обеспечение  мобилизации персонала в период ОР2026. Не менее 98%.
4. Контроль за соблюдением ПВТР, распределение звеньев на плановые перерывы для обеда и ужина с учётом ИК по ИС.
     0 отклонений при ЛО.
5. Персонал участка укомплектован СИЗ,  сертефицированным инструментом, весь инструмент и оборудование исправно и испытано, МТР.
6. Командированный персонал, персонал ГПХ допущен к работе. (Проверены допуски/ проведены инструктажи/ укомплектован СИЗ, инструментом)
7. Нет отрицательного влияния на сроки проведения ОР. В течение 20 дней после ОР нет отказов от некачественных ремонтов в ЗО.</t>
  </si>
  <si>
    <t>1. Проведение проверок знания по ТК персоналу УРПП согласно графика, индекс компетентности персонала участка 75%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Кадровая защищённость по ключевым позициям (гр. 11-13) - 85%
4. Организовать процесс адаптации МС с соблюдением 4 шагов согласно алгоритма адаптации,  Текучесть по инициативе  МС не более 20%
5. Уровень вовлеченности в подразделении (факторы: непосредственный руководитель, ОС, карьерные возможности) - 80-88%</t>
  </si>
  <si>
    <t>1. Проведение ПАБ и выявление ОД/ОУ. Не менее 15 баллов в Чемпионате.
2. Вовлечение персонала рабочих профессий в мотивационную программу
 "Чемпионат по безопасности по ОТ, ПБ и Э" 100%, записи в журнал Иди и смотри.
3. Проведение собраний по ОТиПБ по утвержденному алгоритму на участке с составлением протокола
4.  0 травм с потерей трудоспособности в ЗО.
5. Вовлеченность мастеров по ремонту в проведение ПАБ 100%
6. Отсутствуют просроченные id - допуска в матрице положенности по участку</t>
  </si>
  <si>
    <t>1. Организация ремонта согласно технической документации и паспорта на оборудования, не более 1 повторного ремонта.
2. ЧВР (ФРД) смены/бригады 60-65%
3. Заполненные Чек-листы по сборке ФС на технологических трубопроводах I, II, III категорий  внесены в информационную систему SAP с обязательным приложением оформленного чек-листа при закрытии заказ-наряда.
4.  0 – просроченных мероприятий согласно сроков выполнения мероприятий расследований RCA
5.  0 замечаний по не оформлению ИД после выполнения работ</t>
  </si>
  <si>
    <t>1. Фактическая загрузка персонала не менее 95 %,
2. Выполнение дневного плана работ в среднем за месяц не менее 90 %
3. Доля отсутствующего персонала в тек. деятельности - не выше 13% В период ОКР - не выше 10%.
4. Точность предоставления  данных по мощности участка на еженедельной основе не менее 97%.
5. Выполнение недельного плана 95%
6. Выработка УРПП (производительность труда) (Соотношение плановой трудоемкости подтвержденных заказов (ремонтных работ, выполненных силами УРПП ( к фактической доступности рабочего ремонтного персонала УРПП (не менее 90%
7. Обеспечить своевременное оповещение инженера по ресурсному планированию о задержке или срыве работ, а также ежедневно сразу после окончания работ.</t>
  </si>
  <si>
    <t>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7. Дополнительный и внеплановый объем выполнен без влияния на сроки ОР в з.о.
8. До начала ОР у всего персонала участка 0 просроченных допусков.
9. Проведена спецподготовка ремонтному персоналу.
10. Подготовлены мастерские к проведению ОР 2026(определены зоны для размещения оборудования , подготовлены рабочие места).</t>
  </si>
  <si>
    <t>Планирование изготовления запчастей и ремонта оборудования</t>
  </si>
  <si>
    <t>Разработан, описан и выстроен процесс недельного планирования и графикивания персонала РПИ, ежедневная выдача бланка сменного задания.</t>
  </si>
  <si>
    <t>1. Кадровая защищённость по ключевым позициям ИТР не менее 65%
2. Уровень вовлеченности в подразделении (непосредственный руководитель, ОС, карьера) не менее 95%
3. Текучесть по инициативе сотрудников до 1 года в подразделении не более 10%
4. Среднее количество часов переработок на человека не более 100 час
5. Выполнения планов обучения и соблюдения графиков реализации обучающих персонала
  не менее 95 %</t>
  </si>
  <si>
    <t>Обеспечить долю повторных ремонтов УМД от Ebitda</t>
  </si>
  <si>
    <t>Отношение количества повторных ремонтов к общему количеству ремонтов составляет не более 0,01% УМД от Ebitda в ЗО РП</t>
  </si>
  <si>
    <t>1. Выявлять и расследовать микротравмы по РП РПИ
2. 10 записей ПАБ
3. Вовлеченность в чемпионат по безопасности персонала РП РТУ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РПИ не более 1%
6. Провёл  не менее одного совещания по ОТ в месяц в подразделении
7. 0 случаев отстранения работников из-за неполученных СИЗ</t>
  </si>
  <si>
    <t>1. Не более 2-х повторных ремонта из-за некачественного ремонта (без УМД), не более 50ч/ч
2. 0 отклонений по графику пересмотра и формирования карт СОП
3. 0 просроченных/невыполненных мероприятий по расследованиям REC
4. 0 ремонтов/изготовление запчастей без тех.карт и чертежей
5. 0 несформированных документов на изделия</t>
  </si>
  <si>
    <t>1. Выполнение графика изготовления запчастей ОР в ЗО РПИ не менее 100%.
2. Объёмы ремонтных работ выполнены на 100%;
3. Обеспечено недельное планирование изготовление запчастей с составлением графикования персонала МУ.
4. Все работы в SAP закрыты, использованные материалы списаны до начала пусковых работ  в з.о.
5. Вся документация (ИД, ЭД) сформирована и заполнена до пуска оборудования
6. ОР проведён согласно амбициозных сроков (ПМ 25 дней, ПЭВД 21 день)  в з.о.
7. Не зафиксировано происшествий по ОТ и ПБ и влияющих на ИА  в з.о.
8. Дополнительный и внеплановый объем выполнен без влияния на сроки ОР в з.о.
9. Все выполняемые работы 100% обеспечены чертежами, технологиями, наряд заданиями.</t>
  </si>
  <si>
    <t>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Удовлетворённость &gt;90%, eNPS &gt;47%, mNPS &gt;58%
12. Срок получения допуска к самостоятельной работе не более 60 дней.</t>
  </si>
  <si>
    <t>Проведение комплексных проверок ПМ и ЭП, не менее 2 шт</t>
  </si>
  <si>
    <t>Внедрение ИИ инструментов в бизнес процессы ЮП</t>
  </si>
  <si>
    <t>1. Поиск идей по применению ИИ в процессах ЮП/смежных процессах.
2. Применение ИИ в работе с рутинными задачами (презентации, письма и т.п.) на постоянной основе.</t>
  </si>
  <si>
    <t>Участие в экспертной группе по РОП</t>
  </si>
  <si>
    <t>1. Участие в консультациях, подготовке заключений.
2. Обобщение и освещение правоприменительной практики предприятий (при наличии).</t>
  </si>
  <si>
    <t>Все мероприятия согласно Плана развития выполнены</t>
  </si>
  <si>
    <t>Сопровождение экологических и энергетических вопросов обслуживаемых предприятий</t>
  </si>
  <si>
    <t>1. Оказание правовых консультаций,
2. Участие в обсуждениях с заказчиком и профильными функциями,
3. Участие в разработке стратегии, мероприятий, порядка действий, подготовке дорожных карт и т.п.</t>
  </si>
  <si>
    <t>Признание незаконным отказа КрасКом в принятии декларации по стокам на 2026 г.</t>
  </si>
  <si>
    <t>Исковое заявление подано в суд. Подготовка процессуальных документов, участие в суд.заседании.</t>
  </si>
  <si>
    <t>Судебное урегулирование разногласий по договору ВиВ КЗСК-КрасКом</t>
  </si>
  <si>
    <t>Подготовка процессуальных документов, участие в суд.заседании.</t>
  </si>
  <si>
    <t>Принятие мер по недопущению взыскания с КЗСК НВЦСВ, НССВ в повышенном размере</t>
  </si>
  <si>
    <t>Недопущение взыскания с КЗСК НВЦСВ, НССВ в повышенном размере из-за отсутствия отдельного колодца для отбора проб отдельно от др.абонентов:
Подготовка судебной стратегии для защиты КЗСК от взыскания доп.платежей, участие в суд.заседаниях, подготовка суд.документов.
Подготовка стратегии и документов по смежным вопросам взаимодействия с КрасКом (принятие декларации, ответы на запросы и т.д.)</t>
  </si>
  <si>
    <t>1. Забиллино не менее   100 % раб.времени не позднее следующего рабочего дня.
2. В Джеффит дела ведутся в соответствии с правилами ЮП.</t>
  </si>
  <si>
    <t xml:space="preserve"> Потери ВПР в течение  20 суток после ОР</t>
  </si>
  <si>
    <t>Дополнительный и внеплановый объем в сравнении с базовым &lt;= 8%</t>
  </si>
  <si>
    <t>Не зафиксировано происшествий по ОТ и ПМ и влияющих на ИА</t>
  </si>
  <si>
    <t>ОР проведён согласно амбициозных сроков (ПМ 25 дней, ПЭВД 21 день)</t>
  </si>
  <si>
    <t>Отклонение освоенной суммы от утв. бюджета менее ± 5% , не менее 95% бюджета использовано на базовый объем</t>
  </si>
  <si>
    <t>100% выполнение работ, влияющих на соблюдение межремонтного интервала</t>
  </si>
  <si>
    <t>Выполнение объема работ критического пути на 100%</t>
  </si>
  <si>
    <t>Бюджет проекта</t>
  </si>
  <si>
    <t>Своевременная актуализация бюджета, анализ отклонений, формирование проекта решения и вынесение на руководителей</t>
  </si>
  <si>
    <t>Дорожная карта подготовки к ОР</t>
  </si>
  <si>
    <t>Выполнение дорожной карты 95%</t>
  </si>
  <si>
    <t>Организационные мероприятия подготовки к ОР</t>
  </si>
  <si>
    <t>Организация и проведение штабов подготовки к ОР</t>
  </si>
  <si>
    <t>- Разработано дополнительно 30% вопросов к ЕКЭ по каждой компетенции.</t>
  </si>
  <si>
    <t>- Пересмотрены и актуализированы вопросы с учетом апелляций.</t>
  </si>
  <si>
    <t>1. Индекс компетентности персонала не менее 84,0% в  РТО У ЭиТО
2. Контроль выполнения планов обучения и соблюдения графиков реализации обучающих программ  РТО У ЭиТО</t>
  </si>
  <si>
    <t>1. 20 баллов по чеклисту оценки участка  РТО У ЭиТО
2. Одна идея УМШ по ризвитию и поддержанию ПСС в месяц в  РТО У ЭиТО</t>
  </si>
  <si>
    <t>1. Не менее 2 замеров ЧВР (ФРД) в месяц с проведением анализа потерь и разработкой мероприятий по их снижению в  РТО У ЭиТО</t>
  </si>
  <si>
    <t>1. Проведение ПАБ или запись об отклонении в т.ч. вмешательство. Не менее 15 записей в квартал  РТО У ЭиТО
2. Ноль травм. LTIF = 0 в  РТО У ЭиТО</t>
  </si>
  <si>
    <t>1. Разработка СОП и актуализация техкарт в соответствии с графиком РТО У ЭиТО.</t>
  </si>
  <si>
    <t>Общество с ограниченной ответственностью "Томскнефтехим"/Направление Директора по экономике и управлению эффективностью</t>
  </si>
  <si>
    <t>1) Пройти обучения по ИИ
2) Разработать и реализовать 2 кейса по ИИ</t>
  </si>
  <si>
    <t>Директор по экономике и управлению эффективностью</t>
  </si>
  <si>
    <t>Организация процесса Бизнес планирования 2027 в части FC</t>
  </si>
  <si>
    <t>Работа в 3 кв. по графику формирования БП 2027. Поведение БК по FC.</t>
  </si>
  <si>
    <t>Выполнение ключевых финансово-экономических показателей (постоянные расходы)</t>
  </si>
  <si>
    <t>Постоянные затраты 9 месяцев 2026 г. не более 6 321  млн руб. Работа по сдерживанию роста постоянных затрат, мониторинг исполнения цели, поиску потенциала оптимизации.</t>
  </si>
  <si>
    <t>Реализация потенциалов дополнительной эффективности в ЗО FC</t>
  </si>
  <si>
    <t>Мониторинг/контроль выполнение мероприятий заявленных за  9 месяцев 2026г.
Выполнение заявленных эффектов за 9 месяцев  2026г. не менее 191 млн руб.(ОРЕХ)/49 (FCF)   (выполнено), более 212 млн руб. (ОРЕХ)/54 (FCF) перевыполнено.
По СХ Логистика  21 млн.руб.</t>
  </si>
  <si>
    <t xml:space="preserve"> Успешное выполнение остановочного ремонта 2026 года</t>
  </si>
  <si>
    <t>1.Соблюдение графика ОР 2026
2. Соблюдение лимитов бюджета.
3. Отсутствие НС в период ремонта
4. Получение товарных продуктов, согласно БП</t>
  </si>
  <si>
    <t>Соблюдение графика подготовки к ЭПБ</t>
  </si>
  <si>
    <t>1. Соблюдение составленного графика подготовки к ЭПБ</t>
  </si>
  <si>
    <t>100% использование унифицированных форм и соблюдение целевых ритуалов</t>
  </si>
  <si>
    <t>Доля внесенного дополнительного объема работ.</t>
  </si>
  <si>
    <t>не более 8 %</t>
  </si>
  <si>
    <t>Выполнение объема работ(Выполнение замороженного объема работ Критического пути)</t>
  </si>
  <si>
    <t>Выполнена: 100% выполненние объема
не выполнена: выполнение объема КП менее 100%</t>
  </si>
  <si>
    <t>92-100% ( выполение пунов дорожной карты на этапе подготовки)</t>
  </si>
  <si>
    <t>не менее 92 %</t>
  </si>
  <si>
    <t>Соответствие фактических сроков проведения ОР плановым .</t>
  </si>
  <si>
    <t>80% внеплановых работ выполнено за счет ПФ
Вся документация сформирована до пуска производств
Проведение ОР за 25 дней ПМ</t>
  </si>
  <si>
    <t>1. В з.о. СУОФ по отказам оборудования УМД от EBITDA = 0;
2. Отсутствует отставание по расследованиям;
3. Отсутствие невыполненных рекомендаций.</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</si>
  <si>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t>
  </si>
  <si>
    <t>4.1. Определен перечень работ на 3-й кв., согласно графика подготовки к ЭПБ (дорожной карты) в 2026 и перенесённых с 2025г. работ;
4.2. Все работы выполнены в рамках 3-го квартала 2026г;
4.3. Отсутствуют замечания по подготовке к ЭПБ с 2025г., 2026г.</t>
  </si>
  <si>
    <t>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</si>
  <si>
    <t>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</si>
  <si>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Не менее 95% согласно критериям оценки качества проведенного ОР:
1. 100% выполнение работ, влияющих на соблюдение межремонтного интервала
2. ОР проведён без отклонения от утверждённого графика.
3. Не зафиксировано происшествий по ОТ и ПБ и влияющих на ИА
4. ОР проведен не более сроков согласно БП
5. Выполнение объема работ критического пути на 100%
6. Отсутствие потери ВПР в течение  20 суток после ОР.</t>
  </si>
  <si>
    <t>Электрогазосварщик 6-разряд</t>
  </si>
  <si>
    <t>1.Выполнение дорожной карты ОР в ЗО РП РТУ (закреплённым персоналом) не менее 95%.
Исполнительная документация на выполненные работы в зоне своей ответственности оформлена= 100%.
2. Нулевое отклонение по выполнению работ согласно разработанным тех.картам (разработанные технологии ремонта).
3. Объёмы ремонтных работ выполнены на 100% в  соответствии с утверждённым графиком 4 уровня и работ критического пути;
4. 100% выполнение работ, влияющих на соблюдение межремонтного интервала в з.о.
5. Все работы в SAP закрыты, использованные материалы списаны до начала пусковых работ  в з.о.
6. ОР проведён согласно амбициозных сроков (ПМ 25 дней, ПЭВД 21 день)  в з.о.
7. Не зафиксировано происшествий по ОТ и ПБ и влияющих на ИА  в з.о.
8. Дополнительный и внеплановый объем выполнен без влияния на сроки ОР в з.о.
9. До начала ОР у всего персонала участка 0 просроченных допусков.
10. Проведена спецподготовка ремонтному персоналу.
11. Подготовлены мастерские к проведению ОР 2026(определены зоны для размещения оборудования , подготовлены рабочие места).</t>
  </si>
  <si>
    <t>1. Вся ЗРА и СППК прибывшая в ремонт в период ОР отремонтирована, испытана, опломбирована, заполнены паспорта;
  нет отказов от некачественных ремонтов в ЗО по ЗРА и СППК в течение 20 дней после ОР
2. Все трубопроводы, оборудование работающее под давлением ЗО участка в период ОР отремонтированы, выдана вся ИД до подписания АКТА пуска производства сформирована и выдана заказчику;
  нет отказов от некачественных ремонтов в ЗО по трубопроводам, оборудованию работающим под давлением в течение 20 дней после ОР
     0 скрытых и несвоевременно выявленных/упущенных дефектов.
3. Обеспечение  мобилизации персонала в период ОР2026. Не менее 98%.
4. Контроль за соблюдением ПВТР, распределение звеньев на плановые перерывы для обеда и ужина с учётом ИК по ИС.
     0 отклонений при ЛО.
5. Персонал участка укомплектован СИЗ,  сертифицированным инструментом, весь инструмент и оборудование исправно и испытано, МТР.
6. Нет отрицательного влияния на сроки проведения ОР. В течение 20 дней после ОР нет отказов от некачественных ремонтов в ЗО.</t>
  </si>
  <si>
    <t>Общество с ограниченной ответственностью "Томскнефтехим"/Направление Директора по производству/Производство мономеров/Установка локальных очистных сооружений/Основное производство</t>
  </si>
  <si>
    <t>1.  Выбросы ЗВ в атмосферу не более 0,359 тыс.тн
2. Сбросы ЗВ в стоки не более 0,101 тыс. тн
3. Отходы на размещение не более 0,0366 тыс. тн.</t>
  </si>
  <si>
    <t>Анализ MTTR и MTBF</t>
  </si>
  <si>
    <t>Проведён анализ MTTR и MTBF по оборудованию зоны ответственности: не менее 5 позиций по статическому и не менее 5 позиций по динамическому оборудованию по каждому показателю. Мероприятия по результатам анализа внесены совместно со старшим инженером по планированию в месячные графики ремонтов.</t>
  </si>
  <si>
    <t>Качественная дефектовка</t>
  </si>
  <si>
    <t>Участие в дефектовании оборудования совместно с мастерами РП, подрядными организации. Качество мероприятий по результатам дефектовки (доп. дефекты выявленные после обкатки).</t>
  </si>
  <si>
    <t>Корректировки ремонтного бюджета ПОФ 2027</t>
  </si>
  <si>
    <t>Контрактование доп. соглашений</t>
  </si>
  <si>
    <t>По договорным потребностям составлены дефектные ведомости и направлены сметчикам на расчёт, в зоне ответственности. Сформированы заказы на оформление доп. соглашений к действующим договорам в установленные сроки.</t>
  </si>
  <si>
    <t>Закрытие рекомендаций (ЗО) и заведение ЕО</t>
  </si>
  <si>
    <t>Закрытие 100% рекомендаций в зоне ответственности в установленные сроки. По рекомендации о заведении новых единиц оборудования: сверен перечень уже заведённых ЕО по механике в зоне ответственности, заполнены шаблоны на заведение ЕО и направлены специалисту по ведению НСИ/ЕО.</t>
  </si>
  <si>
    <t>Участие в формировании месячного и недельного графиков ремонтных работ: доля плановых регламентных работ - не менее 80%, доля внеплановых работ по дефектам - не более 20%. Акты переноса ППР (при невыдаче оборудования и по иным причинам) оформлены совместно со старшим инженером по планированию. Контроль работы, приёмка выполненных работ и планирование работ с подрядными организациями в зоне ответственности. Отслеживание, внесение корректировок по срокам и перечню работ, совместная работа с РП, подрядными организациями и инженером по планированию.</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</si>
  <si>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t>
  </si>
  <si>
    <t>Определен перечень работ на 2-й кв., согласно графика подготовки к ЭПБ в 2026 и перенесённых с 2025г. работ;
Все работы выполнены в рамках 2-го квартала 2026г;
Отсутствуют замечания по подготовке к ЭПБ 2-го кв.  2026г.;</t>
  </si>
  <si>
    <t>Участие в инвестиционной деятельности, проектах развития и проекте АТЗ</t>
  </si>
  <si>
    <t>Своевременное и качественное рассмотрение и согласование новых проектов, инвестпроектов  по ТНХ в зоне ответственности.</t>
  </si>
  <si>
    <t>Проведение ОР 2026</t>
  </si>
  <si>
    <t>Выполнение подготовительных мероприятий и успешное проведение капитального ремонта ключевого оборудования ТНХ (турбоагрегатов М6, М5, М1, гиперкомпрессоров ПЭ) в рамках остановочного ремонта 2026 года.
Оценка выполнения в соответствии с чек-листом - не менее 90%</t>
  </si>
  <si>
    <t>Проведение 100% запланированных в системе "Иди и Смотри" ЛО не менее 100 %</t>
  </si>
  <si>
    <t>100% запланированных в системе "Иди и Смотри" ЛО проведены</t>
  </si>
  <si>
    <t>Индекс аварийности(ИА1) не более 0</t>
  </si>
  <si>
    <t>не более 0</t>
  </si>
  <si>
    <t>Эффект от достижения целевых значений по МГ в ЗО не менее 96 %</t>
  </si>
  <si>
    <t>не менее 96 %</t>
  </si>
  <si>
    <t>Повторные отказы</t>
  </si>
  <si>
    <t>Вовлеченности РК по ЦИ ТН 2026</t>
  </si>
  <si>
    <t>Вовлеченность по РК по ЦИ ТН 2026 не более 90 дней.</t>
  </si>
  <si>
    <t>Сопровождение ОР 2026</t>
  </si>
  <si>
    <t>Участие в установках деталей ОПЭ, решение вопросов заказчика к производителю.
Сопровождение по механики производства полиэтилена установки гранулирования.</t>
  </si>
  <si>
    <t>Сформированы и утверждены программы ОПЭ по 9 АСВ кодов.</t>
  </si>
  <si>
    <t>Реализация программ митигации рисков по недоступным МТР и оборудованию</t>
  </si>
  <si>
    <t>Для 100% МТР трекера ABCD определены пути митигации, митигированы риски текущего периода</t>
  </si>
  <si>
    <t>Разработка РКД и передача их в КЦ</t>
  </si>
  <si>
    <t>не менее 30 АСВ кодов</t>
  </si>
  <si>
    <t>Установить на ОПЭ МТР приобретенные по ЦИ ТН  в количестве согласно возможностям производств.</t>
  </si>
  <si>
    <t>Экспертиза и сопровождение реализации проектов ДК МПТ</t>
  </si>
  <si>
    <t>- выполнение плановых вех по проектам ДК МПТ в установленные сроки
- внедрение эффективных решений для содействия успешной реализации проектов
- выполнение поручений в рамках протоколов заседаний рабочих групп</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</si>
  <si>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ПУиСП/Цех</t>
  </si>
  <si>
    <t>1. Индекс компетентности персонала не менее 58%.
2. Контроль выполнения планов обучения и соблюдения графиков реализации обучающих программ.</t>
  </si>
  <si>
    <t>1. Проведение ПАБ и выявление ОД/ОУ. не менее 15 записей в месяц.
2. Вовлечение персонала в мотивоционную программу "Чемпионат по безопасности по ОТ, ПБ и Э" 100%.
3. 100% выполнения мероприятий при производстве работ по Наряду допуску.
4. Отсутствуют просроченные id - допуска в матрице положенности в смене</t>
  </si>
  <si>
    <t>1. Выполнение дневного плана работ 90-95%
2. Своевременное и ежесменное подтверждение фактических трудозатрат в SAP.</t>
  </si>
  <si>
    <t>1. Не более 1 повторного ремонта  в зоне ответственности.
2. Внесение записей в паспорт оборудования после проведения ремонтов / оформление исполнительной документации.
 3. Контроль качества заполнения формуляров подчиненным персоналом с подведением итогов на еженедельной основе.
4. Отсутствие аварий, инцидентов, ПОП.</t>
  </si>
  <si>
    <t>Изуч.смежного функц. в рамках функционала Ведущ.спец. по отчетности ПОФиИП</t>
  </si>
  <si>
    <t>"1. LTIF = 0
2. Вовлеченность в чемпионат «по Безопасности труда» не менее 90%
3. рейтинг на кв - не менее 15 + не менее 1 записи по Экологии в системе "Иди и смотри" в месяц"</t>
  </si>
  <si>
    <t>Качество информации в ИТ-системах (Партнерство/взаимодействие)</t>
  </si>
  <si>
    <t>Корректное заполнение данных в ИСУП и SAP (карточка проекта / объекта, ПКВ, ЛПО, карточка решения; минимальное количество ошибок; частота возвращения на доработку)</t>
  </si>
  <si>
    <t>Формирование отчетности в зоне ответственности в соответствии с установленными требованиями и сроками в т.ч. формирование БП:
Выполнена: План/отчетность ИП на 2026г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План/отчетность ИП на 2026г передан на экспертизу/утверждение с задержкой &lt; 7 рабочих дня в соответствии с методологией по качеству планирования  (PowerPoint, Excel, ИС) в ЗО
- Не выполнена: План/отчетность ИП на 2026г передан на экспертизу/утверждение с задержкой &gt; 7 рабочих дня c отклонениями от методологии по качеству планирования  (PowerPoint, Excel, ИС) в ЗО</t>
  </si>
  <si>
    <t>Исполнения плана освоения, финансирования и ввода кап.вложений по ИП и ППОФ</t>
  </si>
  <si>
    <t>Общество с ограниченной ответственностью "Томскнефтехим"/Направление Директора по безопасности/Отдел экономической безопасности</t>
  </si>
  <si>
    <t>Выявление и устранение уязвимостей в бизнес-процессах</t>
  </si>
  <si>
    <t>Реализация совместно с ЦТ ТНХ и СИБУР Диджитал целевой инициативы по организации надлежащей системы учета бензинового сырья, поступающего на Предприятие ж/д транспортом, направленной на митигацию рисков МДиХ, обусловленных имеющимися недостатками в БП "Учет сырья".</t>
  </si>
  <si>
    <t>Выявление и предотвращение фактов МДиХ.</t>
  </si>
  <si>
    <t>1. Недопущение фактов МДиХ с реализованным ущербом в зоне ответственности курируемых подразделений/направлений деятельности Предприятия;
2. Контроль отгрузок ГП ППП/ППЭ в КТК и автотранспорт.
3. Проведение мероприятий, направленных на выявление рисков потенциального хищения БГС при осуществлении внутригрупповых поставок за период с 01.03.  по 31.05.2026 г.
4. Проверка по факту образования потерь (руб.) в результате простоя арендованной мобильной азотной станции для нужд ПУиСП.
5. Проверка подлинности свидетельств об образовании работников ТНХ на предмет выявления возможных фактов МД.
6. Сопровождение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t>
  </si>
  <si>
    <t>Травматизм</t>
  </si>
  <si>
    <t>1.  Провести СТ по проверке  качества проведения моб. обходов на ППЭ/ПУиСП.
2. Проведение СТ по проверке процесса организации и проведения РПО на ППЭ в целях формирования контрольной среды.
3. Участие в Чемпионате по безопасности и экологии (ПАБ - 6 шт., мероприятия по экологии - 2шт.).
4. Нулевой индекс травматизма.</t>
  </si>
  <si>
    <t>Управление функцией охраны. Антитеррористическая защита</t>
  </si>
  <si>
    <t>1. Проведение СТ  по проверке действий персонала ППЭ и ПУиСП при обнаружении подозрительного предмета. Выявление и митигация рисков, связанных с действиями/бездействиями со стороны персонала ППЭ/ПУиСП, подрядных организаций при обнаружении подозрительного предмета.
2. Проведение СТ по АТЗ на ж/д транспорте.
4. Недопущение фактов совершения АНВ в зоне своей ответственности.</t>
  </si>
  <si>
    <t>Информационная безопасность</t>
  </si>
  <si>
    <t>1. Соблюдение работниками ТНХ/СИБУР Коннект требований ЛНА СИБУР по организации доступа в  помещения УД/УС, ЦОД ТНХ.
2. Приведение в соответствие требованиям ЛНА СИБУР помещений УД/УС, ЦОД ТНХ.
3. Недопущение фактов разглашения КТ/КИ в зоне своей ответственности</t>
  </si>
  <si>
    <t>Мониторинг ППДЗ</t>
  </si>
  <si>
    <t>1. Недопущение фактов образования ПДЗ/ППДЗ в зоне ответственности курируемых подразделений Предприятия.
2. Контроль за образованием и обстоятельствами возникновения ПДЗ/ППДЗ.
3. Оказание содействия бизнесу в урегулировании проблемной задолженности.</t>
  </si>
  <si>
    <t>Повышение исполнительской дисциплины</t>
  </si>
  <si>
    <t>Соблюдение сроков выполнения запланированных мероприятий и указаний руководства, а также обеспечение надлежащего качества подготовки отчетных документов.</t>
  </si>
  <si>
    <t>1. Формирование ППОФ 2027
2. Выполнение графика поверки/калибровки по РП РПИ
3. Перемещения МТР с ЦС на склады РП (за исключением ТМЦ по заказам ТОРО)</t>
  </si>
  <si>
    <t>Проведение ОЗР на ТНХ</t>
  </si>
  <si>
    <t>Разработан план мероприятий</t>
  </si>
  <si>
    <t>Настройка инструмента Мобильные обходы</t>
  </si>
  <si>
    <t>Качество пересмотренных маршрутов на ППЭ  по ЧЛ не менее 85%</t>
  </si>
  <si>
    <t>Настройка ритуала ПиТ ВИТ-ВИП</t>
  </si>
  <si>
    <t>Оценка ритуала ПиТ ВИТ-ВИП  не менее 90%</t>
  </si>
  <si>
    <t>Проведение конкурса по 5С</t>
  </si>
  <si>
    <t>Проведена оценка по чек-листу, определены победители</t>
  </si>
  <si>
    <t>Настройка инструмента Визуальное Управление Эффективностью</t>
  </si>
  <si>
    <t>Оценка по чек-листу ВУЭ ТНХ не менее 90%</t>
  </si>
  <si>
    <t>Обеспечение технического сопровождение критических работ ОР-2026 в ЗО</t>
  </si>
  <si>
    <t>Шкала: Работы критического пути ОР-2026 по Производству выполнены в срок, качественно, без повторных ремонтов - в ЗО СУН-механика, внутренняя оценка качества проведения ОР  по чек-листу СУН-4 (71-85%) - оценка 100%.
Допущены отклонения по срокам проведения ОР-2026 на Производстве полипропилена и/или по качеству ремонта внутренняя оценка качества проведения ОР  по чек-листу СУН-3 (56- 70%) - оценка частично выполнение 75%.
Работы критического пути ОР-2026 по Производству выполнены в срок, качественно, без повторных ремонтов - в ЗО СУН-механика, внутренняя оценка качества проведения ОР  по чек-листу СУН-5 ( выше 86%) - оценка 125%.</t>
  </si>
  <si>
    <t>Обеспечение входного контроля ТМЦ по ИП, АТЗ в ЗО по ППП без нарушения сроков</t>
  </si>
  <si>
    <t>Своевременное и качественное участие во входном контроле ТМЦ по инвестиционным проектам, НБ проектам ППОФ, АТЗ по производству Полипропилена  - в зоне ответственности. Зона ответственности - динамическое оборудование, механика. Ожидаемый результат на конец отчетного периода, метрика - Входной контроль проведен по производству Полипропилена своевременно - в зоне ответственности. Акты входного контроля по производству Полипропилена оформлены, своевременно согласованы - в зоне ответственности.</t>
  </si>
  <si>
    <t>УМД в ЗО (СУН-механика) по ППП, % от EBITDA</t>
  </si>
  <si>
    <t>не более 0.06 %</t>
  </si>
  <si>
    <t>Рассмотрение RCA CИБУР-холдинг в рамках процесса Выученные уроки</t>
  </si>
  <si>
    <t>1 раз в квартал вносить в базу ФЭП по 1 выученному уроку и 1 лучшей практике от предприятия в квартал. Реализация ЦИ по реверс-инжинирингу, подборке и поставке аналогов по Производству полипропилена в зоне ответственности- СУН- механика. Подбор и выбор  аналогов проработаны, своевременно подготовлены Технические требования, проведены согласования, входной контроль - по заявкам при поступлении МТР категории АТЗ.</t>
  </si>
  <si>
    <t>LTIF  по СУН =0, Выявление ОУ/ОД через проведение ПАБ - не менее 15 аудит</t>
  </si>
  <si>
    <t>Оценка ИТС оборудования Производства полипропилена.</t>
  </si>
  <si>
    <t>1.Выполнить 100% актуализацию ИТС по насосному оборудованию по Производству Полипропилена согласно шаблона.
2.Разработать мероприятия по изменению западающих ИТС к целевому состоянию.
Источник информации - Заключение Главного механика.</t>
  </si>
  <si>
    <t>Индекс аварийности (ИА1) в зоне ответственности по Производству ПП в ЗО</t>
  </si>
  <si>
    <t>Своевременное и качественное рассмотрение и согласование новых проектов, инвестпроектов  по производству Полипропилена - в зоне ответственности. Пересмотр АТЗ с учётом новой методологии и на основании пересмотренной критичности. Зона ответственности - оборудование ППП, механика. Ожидаемый результат на конец отчетного периода - Непосредственное участие и курирование проектов по производству Полипропилена - в зоне ответственности,  достижение 90% вех в плановый срок.</t>
  </si>
  <si>
    <t>Разработка, актуализация стратегий ТОиР на ЕО ППП, Механика, включая ASM на ЗРА</t>
  </si>
  <si>
    <t>Качество проведенных расследований событий с УМД (RCA) по ППП в ЗО механика</t>
  </si>
  <si>
    <t>Обеспечение культуры безопасности в ФЭБ.</t>
  </si>
  <si>
    <t>1. Нулевой индекс травматизма в  зоне ответственности ЭБ.
2. 100% вовлеченность коллектива ОЭБ в Чемпионат по безопасности по ОТиПБ и Экологии.</t>
  </si>
  <si>
    <t>Формирование контрольной среды по БО "ОТиПБ. Промышленная безопасность"</t>
  </si>
  <si>
    <t>1. Выявление и предупреждение опасных условий труда в период проведения ОР-2026, в рамках проведение ЛО/МО производственных объектов.
2. Проведение СТ по проверке качества проведения МО (не менее 3-х).
3. Проведение СТ по проверке полноты и достаточности проведения подготовительных мероприятий перед выполнением РПО (не менее 4-х).
4. Митигация риска возможных ЧС техногенного характера. Отработка правильных действий сменного персонала в случаях нарушения технологического режима, стабильной работы оборудования, утечек вредных/опасных веществ и тд. (по ПЛАС).</t>
  </si>
  <si>
    <t>Подготовка 2-го номера. Повышение проф. уровня сотрудников ОЭБ.</t>
  </si>
  <si>
    <t>1. Повышение проф. уровня сотрудников ОЭБ, в особенности вновь принятых (Кирюшкин, Юдин), а также ЧОП.
2. Развитие управленческих компетенций (постановка задач, делегирование и контроль) потенциальных кандидатов на должность начальника ОЭБ (Кирюшкин, Юдин).
3. Обучение л/с методикам применения ИИ в решении повседневных задач ЭБ.
4. Внедрение инструментов ИИ в линейную деятельность подразделения (автоматизация процесса организации пропускного режима).</t>
  </si>
  <si>
    <t>Мониторинг ПДЗ.</t>
  </si>
  <si>
    <t>1. Постоянный мониторинг ПДЗ, участие в работе ПДК.
2. Не допущение образования новых дебиторов в зоне ответственности ДЗО.
3. Своевременное информирование ЭБ КЦ о рисках в связи с санкциями.
4. Митигация риска образования ППДЗ ООО "НТ-Пром" (60 млн руб.).
5. Митигация рисков образования ПДЗ/ППДЗ в результате не проведения/несвоевременного /некачественного проведения ВК МТР.</t>
  </si>
  <si>
    <t>1. Недопущение фактов разглашения КТ/КИ.
2. Приведение в соответствие требованиям  законодательства РФ процесса эксплуатации объектов КИИ и их защиты.
3.Контроль приведения в соответствие требованиям ЛНА уровня физической защищенности значимых и наиболее критически важных объектов ИТ-инфраструктуры и АСУ ТП согласно ДК (в т.г. не менее 4).
4. Проведение СТ по проверке БО «Порядок обращения с конфиденциальной информацией» (попытка несанкционированного получения конфиденциальной информации о мобилизованных сотрудниках предприятия, путем направления фейкового запроса) на предмет выявления и митигации возможных рисков, связанных с ее неправомерной передачей/разглашением. Разработка корректирующих и предупреждающих мероприятий по митигации выявленных рисков.</t>
  </si>
  <si>
    <t>Противодействие МДиХ.</t>
  </si>
  <si>
    <t>1. Недопущение фактов МДиХ с реализованным ущербом.
2. Проверка первичной информации по факту возможного КИ со стороны сотрудника СУОФ, выразившегося в осуществлении предпринимательской деятельности.
3. Проверка СП о возможных признаках КИ со стороны сотрудника СУОФ, выразившихся в попытке лоббирования интересов Подрядчика, с целью получения имущественной выгоды.
4. Проверка по факту образования потерь в размере 3 млн руб. в результате простоя арендованной мобильной азотной станции для нужд ПУиСП на предмет установления обстоятельств, способствовавших возникновению данной ситуации, а также лиц, действия/бездействие которых могли быть к ней причастны. Разработка корректирующих мероприятий.
5. Выборочный контроль приемки работ/ТМЦ (не менее 5-ти), участие в проведении процедуры ВК.
6. Сопровождение хода проведения ОР-2026 на предмет выявления и предупреждения фактов МДиХ, срыва сроков и качества работ со стороны подрядчиков, предусмотренных условиями Договора.
7. Сопровождение сделки по отчуждению активов томской площадки ООО "БИАКСПЛЕН" на предмет выявления и предотвращения возможных фактов МДиХ.</t>
  </si>
  <si>
    <t>Выявление уязвимостей/рисков в БП, создающих предпосылки к МДиХ, и их митигация.</t>
  </si>
  <si>
    <t>1. Проведение оценки целесообразности и технической возможности применения на других ДЗО результатов реализации инициативы по организации надлежащей системы учета бензинового сырья, поступающего на Предприятие ж/д транспортом, направленной на митигацию рисков МДиХ.
2. СТ по проверке БО "Учет вспомогательных материалов (поддонов)", находящегося в зоне ответственности лог. оператора ООО "Форклифт" на предмет выявления возможных уязвимостей/НД со стороны персонала последнего, создающих предпосылки к возникновению рисков МДиХ. Разработка корректирующих и предупреждающих мероприятий по митигации выявленных рисков.
3. Анализ динамики расходных норм по сырью и энергоресурсам за 2 пг. 2026 года в зоне ответственности ЭП на предмет выявления возможных отклонений, создающих предпосылки к образованию потерь, и установления их корневых причин. Разработка корректирующих мероприятий совместно со специалистами заинтересованных подразделений.
4. Провести проверку обоснованности перевода ИТ-техники Предприятия, в категорию "НВИ" и ее последующей реализации, на предмет выявления возможных уязвимостей в данном БП, а также злоупотреблений со стороны должностных лиц.</t>
  </si>
  <si>
    <t>Обеспечение АТЗ</t>
  </si>
  <si>
    <t>1. Недопущение фактов несанкционированного проникновения на территорию Предприятия и совершения АНВ.
2. Повышения проф. уровня сотрудников охраны путем проведения УТЗ (не менее 5-ти), развивающих сессий с сотрудниками охраны, проверок ИТСО.
3. Проведение СТ (не менее 9-ми) по проверке действий сменного/дневного персонала основных производств Предприятия, а также подрядных организаций при обнаружении подозрительного предмета на указанных производственных объектах, из них 3 - на ж\д транспорте. Разработка корректирующих мероприятий (в случае необходимости).
4. Выявление среди работников предприятия и КА лиц из "группы риска".
5. Разработка / актуализация регламентирующих документов по АТЗ - ЭБ / ЧОП (в случае необходимости).</t>
  </si>
  <si>
    <t>сигнализации - не более 15545 шт.
НТР - не более  15,339  шт.
НАК - не более 866 шт.</t>
  </si>
  <si>
    <t>Достижение целей по ключевым показателям эффективности
ВПР, не менее 67,48 %
ИТЭ, не менее 98.38 %
ИЭ, не более 140,48 %
ИТЭзхп, не менее 98.05 %</t>
  </si>
  <si>
    <t>1. Проверка качества заполнения формуляров, паспортов и ремонтных журналов . Ежедневный ритуал с 18:00 до 19:00.
2. Своевременное выявление дефектов (отклонений) требующих дополнительных ресурсов. Отдельная группа в месенджере с СУОФ.
     0 скрытых и несвоевременно выявленных/упущенных дефектов.
3. Обеспечение  мобилизации персонала в период ОР2026. Не менее 98%.
4. Контроль за соблюдением ПВТР, распределение звеньев на плановые перерывы для обеда и ужина с учётом ИК по ИС.
     0 отклонений при ЛО.
5. Выполнение всех операций из стратегии/техкарты. 0 невыполненных или несогласованных о переносе с СУН операций.
6. Подготовлены мастерские к проведению ОР 2026(определены зоны для размещения оборудования , подготовлены рабочие места).
7. Персонал  укомплектован СИЗ ,исправным сертифицированным инструментом, диагностическим оборудованием, МТР.
8.  Командированный персонал, персонал ГПХ допущен к работе. (Проверены допуски/ проведены инструктажи/ укомплектован СИЗ, инструментом)
9. Нет отрицательного влияния на сроки проведения ОР. В течение 20 дней после ОР нет отказов от некачественных ремонтов в ЗО.</t>
  </si>
  <si>
    <t>1. Проведение проверок знания по ТК персоналу РТО согласно графика, индекс компетентности персонала участка 85%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Кадровая защищённость по ключевым позициям (гр. 11-13) - 85%
4. Организовать процесс адаптации МС с соблюдением 4 шагов согласно алгоритма адаптации,  Текучесть по инициативе  МС не более 20%
5. Уровень вовлеченности в подразделении (факторы: непосредственный руководитель, ОС, карьерные возможности) - 80-88%</t>
  </si>
  <si>
    <t>1. Проведение ПАБ и выявление ОД/ОУ. Не менее 15 баллов в Чемпионате.
2. Вовлечение персонала рабочих профессий в мотивоционную программу
 "Чемпионат по безопасности по ОТ, ПБ и Э" 100%, записи в журнал Иди и смотри.
3. Проведениии собраний по ОТиПБ по утвержденному алгоритму на участке с составлением протокола (4 в КТО, 2 в НТО, 2 в ЭТО)
4.  0 травм с потерей трудоспособности в ЗО.
5. Вовлеченность мастеров по ремонту в проведение ПАБ 100%
6. Отсутствуют просроченные id - допуска в матрице положенности по участку</t>
  </si>
  <si>
    <t>1. Организация ремонта согласно технической документации и паспорта на оборудования, не более 1 повторного ремонта.
2. ЧВР (ФРД) смены/бригады 60-65%
3. Заполненные Чек-листы по сборке ФС на технологических трубопроводах I, II, III категорий  внесены в информационную систему SAP с обязательным приложением оформленного чек-листа при закрытии заказ-наряда.
4. Ноль просроченных мероприятий согласно сроков выполнения мероприятий расследований RCA
5. Ноль замечаний по не заполнению формуляров</t>
  </si>
  <si>
    <t>1. Фактическая загрузка персонала не менее 95 %,
2. Выполнение дневного плана работ в среднем за месяц не менее 90 %
3. Доля отсутствующего персонала в тек. деятельности - не выше 13% В период ОКР - не выше 10%.
4. Точность предоставления  данных по мощности участка на еженедельной основе не менее 97%.
5. Выполнение недельного плана 95%
6. Выработка РП РТО Уч.ТОиР НТО (производительность труда) (Соотношение плановой трудоемкости подтвержденных заказов (ремонтных работ, выполненных силами РП РТО ) к фактической доступности рабочего ремонтного персонала РП РТО Уч.ТОиР НТО не менее 90%
5. Обеспечить своевременное оповещение графиковщика о задержке или срыве работ, а также ежедневно сразу после окончания работ.</t>
  </si>
  <si>
    <t>Проведение контактов по безопасности, в т.ч. "СТОП-час"</t>
  </si>
  <si>
    <t>не менее 3 штуки</t>
  </si>
  <si>
    <t>Полное и своевременное отражение ПФ в УС SAP</t>
  </si>
  <si>
    <t>ПФ, принятый на целевой склад хранения в рамках проекта "Тотальный учет", поставлен на количественный учет в УС SAP в соответствии с данными перечня СУОФ.</t>
  </si>
  <si>
    <t>Направление ПБД в адрес поставщиков не позднее 15 раб.дн. от даты получения.</t>
  </si>
  <si>
    <t>Достижение целевых показателей по результативности в чемпионате по УМШ.</t>
  </si>
  <si>
    <t>не менее 1 штуки</t>
  </si>
  <si>
    <t>Своевременность отражения поступления МТР в системе SAP в срок не более 3 р.д.</t>
  </si>
  <si>
    <t>не более 3 раб. дни</t>
  </si>
  <si>
    <t>Достижение целевых показателей по результативности в чемпионате по безопасности.</t>
  </si>
  <si>
    <t>Отсутствие нарушений фин. дисциплины со стороны СХ на конец фин. периода.</t>
  </si>
  <si>
    <t>не более 0 штуки</t>
  </si>
  <si>
    <t>Обеспечение Паспортами/Сертификатами качества по поставкам хим. сырья</t>
  </si>
  <si>
    <t>не более 2 дни</t>
  </si>
  <si>
    <t>Внесение сроков хранения ТМЦ в партию при оприход-ии химии, РТИ, паронита и т.п.</t>
  </si>
  <si>
    <t>1. Проведение ПАБ и выявление ОД/ОУ.
2. Вовлечение персонала в мотивоционную программу "Чемпионат по безопасности по ОТ, ПБ и Э" 100%.
3. 100% выполнения мероприятий при производстве работ по Наряду допуску.
4. Отсутствуют просроченные id - допуска в матрице положенности в смене</t>
  </si>
  <si>
    <t>1. Отсутствие повторных ремонтов в зоне ответственности.
2. Внесение записей в паспорт оборудования после проведения ремонтов / оформление исполнительной документации.
 3. Контроль качества заполнения формуляров подчиненным персоналом с подведением итогов на еженедельной основе.
4. Отсутствие аварий, инцидентов, ПОП.</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</si>
  <si>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изготовлению/Группа по сварке</t>
  </si>
  <si>
    <t>100%</t>
  </si>
  <si>
    <t>Главный сварщик</t>
  </si>
  <si>
    <t>5С, повышение эф-ти рабочих мест</t>
  </si>
  <si>
    <t>Отсутствие обоснованных претензий по разработанным технологиям ремонта.</t>
  </si>
  <si>
    <t>Ведущий специалист по мобилизационной работе</t>
  </si>
  <si>
    <t>Общество с ограниченной ответственностью "Томскнефтехим"/Направление Директора по безопасности/Направление по мобилизационной работе</t>
  </si>
  <si>
    <t>участие в проверке секр.делопроизводства за 1 пг 2026</t>
  </si>
  <si>
    <t>проверка проведена комиссионно в соответствии с требованиями нормативных документов, результаты проверки оформлены актом установленной формы не позже 28.08.2026</t>
  </si>
  <si>
    <t>проведение ПАБ</t>
  </si>
  <si>
    <t>исполнение задач и поручений руководителя качественно и в установленные сроки</t>
  </si>
  <si>
    <t>задачи и поручения Директора по безопасности в 3 квартале 2026 года выполнены качественно, своевременно и в полном объеме</t>
  </si>
  <si>
    <t>контроль исполнения бюджета в 3 кв, ведение договорной работы ЭБ</t>
  </si>
  <si>
    <t>исполнение БП 2026 без существенных отклонений, ведение договорной работы направления Директора по безопасности (переговоры с КА, учет и проведение в SAP сопутствующих документов, контроль задолженностей и т.д.); участие в планировании БП 2027, заведение данных в SAP</t>
  </si>
  <si>
    <t>организация и контроль выполнения орг.указаний Минпромторга России в 3 кв. 2026</t>
  </si>
  <si>
    <t>мероприятия по мобилизационной подготовке организованы и выполнены в установленные сроки, доклады о выполнении направлены в ФГУП ВНИИ Центр; информация о выполнении внесена на портале ЦМПП в установленном порядке; организовано и проведено заседание ПТК по контролю моб.подготовки</t>
  </si>
  <si>
    <t>1. Фактическая загрузка персонала не менее 95% в ЗО.
2. Выполнение дневного плана работ - 95-100%.
3.  Точность предоставления  данных по мощности участка на еженедельной основе не менее 97%.</t>
  </si>
  <si>
    <t>1. Организация изготовления согласно технической документации. Не более 1 замечания от ОТК официально подтвержденные.
2. ЧВР (ФРД) смены/бригады 80-83%
3. Закрытие заказов в САП на ежедневной основе 95 % от выполненных работ</t>
  </si>
  <si>
    <t>Развитие компетенций персонала РП</t>
  </si>
  <si>
    <t>Ожидаемый результат
1) Отслеживание планового и фактического ИК по РП (ежемесячно).
2) Мониторинг ИК по сменам на еженедельной основе с занесением данных в ДБ МОК.
3) Контроль проведения обучений и аттестаций по ИС согласно разработанному чек-листу.
4) Организация своевременного обучения наставников РП (новых наставников, а также переобучение действующих наставников по истечению 3-х лет).</t>
  </si>
  <si>
    <t>ДБ по MRS</t>
  </si>
  <si>
    <t>Ведение/наполнение ДБ по MRS (актуализация информации по бэклогу, недельному планированию, фактическому закрытию заказов), разбор на еженедельной основе совместного с начальниками РП и начальниками участков.</t>
  </si>
  <si>
    <t>Вторые номера РП. ИПР. Расчет кадровой защищенности.</t>
  </si>
  <si>
    <t>На еженедельной основе ведение совещаний с начальниками РП и начальниками участков по вторым номерам (актуализация ФИО вторых номеров ИТР и рабочих, составление ИПР в новой форме - по корпоративному шаблону, мониторинг динамики подготовки и развития вторых номеров). Расчет кадровой защищенности ИТР и рабочих по количеству готовых вторых номеров.</t>
  </si>
  <si>
    <t>Мониторинг показателей эффективности РП</t>
  </si>
  <si>
    <t>Выполнение расчета по "Выработке РП" и "Фактической стоимости чел/часа" ежемесячно с занесением данных на ресурс Confluence (2.4 Процессы КПЭ) для постоянного мониторинга эффективности выполнения работ ТОиР.</t>
  </si>
  <si>
    <t>1. 9 записей ПАБ
2. Вовлеченность в чемпионат по безопасности персонала РП (внесение записей в журнал Иди и смотри по ОТ, ПБ, Э)   - 100%
3. Участие в совещаниях по ОТ в подразделении</t>
  </si>
  <si>
    <t>Приживаемость Производственной системы Не менее 90 %</t>
  </si>
  <si>
    <t xml:space="preserve"> Вовлечение в экологическую программу ТНХ не менее 3 шт.</t>
  </si>
  <si>
    <t>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189258,0 т СО2</t>
  </si>
  <si>
    <t>Обучение персонала по курсу "Спец подготовку "</t>
  </si>
  <si>
    <t>Провести обучение персонала по курсу спец подготовки " Противопожарная защита "</t>
  </si>
  <si>
    <t>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РТО (производительность труда) (Соотношение плановой трудоемкости подтвержденных заказов (ремонтных работ, выполненных силами РП РТО ) к фактической доступности рабочего ремонтного персонала РП РТО не менее 90%
5. Обеспечить своевременное оповещение графиковщика о задержке или срыве работ, а также ежедневно сразу после окончания работ.</t>
  </si>
  <si>
    <t>1. Выявлять и расследовать микротравмы по РП РТО
2. 10 записей ПАБ
3. Вовлеченность в чемпионат по безопасности персонала РП РТО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РТО не более 1%
6. Проведение  не менее одного совещания по ОТ в месяц в подразделении</t>
  </si>
  <si>
    <t>Повышение эффективности РП РТО</t>
  </si>
  <si>
    <t>УМД в ЗО РП РТО = 0</t>
  </si>
  <si>
    <t>Своевременность контрктации не менее 80% по итогам каждого квартала - в зоне отв</t>
  </si>
  <si>
    <t>Менеджер обеспечения компетентности</t>
  </si>
  <si>
    <t>соблюдение графиков ПАК и Спецподготовки</t>
  </si>
  <si>
    <t>соблюдение графиков не менее 95%</t>
  </si>
  <si>
    <t>Срок допуска к самостоятельной работе</t>
  </si>
  <si>
    <t>не более 90 дни</t>
  </si>
  <si>
    <t>аттестация членов ПАК в ГАК</t>
  </si>
  <si>
    <t>доработка ИИ инструмента тестирования по областям знаний для ИТР</t>
  </si>
  <si>
    <t>применение ИИ инструмента для тестирования по областям знаний  ИТР</t>
  </si>
  <si>
    <t>Актуализация базы заданий ЕКЭ ИТР</t>
  </si>
  <si>
    <t>Обновленные и согласованные вопросы по вертикалям производство и технология по специфики производств</t>
  </si>
  <si>
    <t>Формирование базы тестовых заданий ЕКЭ рабочие</t>
  </si>
  <si>
    <t>1) Сформировано и актуализировано не менее 80 % заданий</t>
  </si>
  <si>
    <t>ЦИ АТЗ "Обеспечение антитеррористической защищенности предприятия"</t>
  </si>
  <si>
    <t>1. Контроль за реализацией запланированных мероприятий.
2. Еженедельно формировать статус по ЦИ АТЗ (в т.ч. с фактическим освоением бюджета) и по средам (ежедекадно) направлять статус – совместно со статусами БП и АИ АТЗ в ИТЗ.</t>
  </si>
  <si>
    <t>Не допущение нарушений в области ОТ и ПБ</t>
  </si>
  <si>
    <t>1. LTIF  в зоне ответственности ЭБ - 0;
2. Со стороны подрядных организаций (в зоне ответственности ЭБ) не допустить нарушения КПБ;
3. Качественная организация и проведением РПО, не допустить нарушения требований по ОТиПБ со стороны подрядчика;
4.Провести ПАБ не менее 6шт.</t>
  </si>
  <si>
    <t>Обеспечение бесперебойной работы ИТСО</t>
  </si>
  <si>
    <t>Ожидаемый результат
1. Качественное ведение журнала (Журнал учета регламентных работ и контроля технического состояния ИТСО на объекте);
2. Обеспечение качественного и своевременного технического обслуживания ИТСО, своевременное устранение неисправностей в том числе систем пассивной защиты;
3. Не допустить более 25 раз в сутки необоснованных ложных срабатываний.</t>
  </si>
  <si>
    <t>Качественная реализация CAPEX проектов в рамках БП 2026</t>
  </si>
  <si>
    <t>ИТСО основная площадка:
1.Обеспечить своевременную контрактацию ТМЦ со стороны исполнителя работ (подрядчик);
2.Обеспечить качественное и своевременное выполнение СМР и ПНР в соответствии с графиком реализации проектов;
3.Не допустить перенос сроков по завершению проектов указных в договоре;
4.Не допустить нарушение финансовой дисциплины.
Обеспечение физической защищенности помещений АСУ ТП (корп. 430, 428, 1081):
1.Обеспечить своевременную контрактацию ТМЦ со стороны исполнителя работ (подрядчик);
2.Обеспечить качественное и своевременное выполнение СМР и ПНР в соответствии с графиком реализации проектов;
3.Не допустить перенос сроков по завершению проектов указных в договоре;
4.Не допустить нарушение финансовой дисциплины.</t>
  </si>
  <si>
    <t>Формирование карточек для ГБР ЧОП</t>
  </si>
  <si>
    <t>не менее 20 шт</t>
  </si>
  <si>
    <t>Ввод объектов в эксплуатацию реализованных проектов в зоне ответственности ЭБ</t>
  </si>
  <si>
    <t>Выполнить ввод объектов в эксплуатацию по завершенным проектам:
ЦИ АТЗ
1. Доп.меры по обесп.антитерр.защ.(АТЗ)_1эт (101H0-00528-001)
2. Защитные экраны и др.мер(БПн) Шмидт О.Ю. (101H0-00528-002)
3. АРМ для ЗС ГО Герб Р.С. (101H0-00528-006)
4. СТВН для безопасности_ФОТ Нижевич Р.А. (101H0-00528-007)
5. ПУиСП Резервуары Е60/1, Е60/3,4 Е100 (101H0-00528-008)
6. Доп.меры по обес.антит.защ(ИТСО)_2эт (101H0-00766-001)
7. Затраты проектного офиса ЦИ АТЗ (101H0-00767-001)
БП ЭБ
8. Закупка и оснащение КПП доп. средствами (  101A0-00006-018)
9. СКУД ТНХ (101A0-00006-030)</t>
  </si>
  <si>
    <t>Обеспечение стабильной работоспособности РЭБ.</t>
  </si>
  <si>
    <t>1. Не реже одного раза в неделю проверять общую работоспособность системы;
2. Не реже одного раза в месяц проводить по элементную проверку;
3. По результатам проверок составлять акты.</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</si>
  <si>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ПУиСП/Производство полиэтилена/Поле</t>
  </si>
  <si>
    <t>Минимизация ошибок</t>
  </si>
  <si>
    <t>Минимизация ошибок в конструкторской документации через 3D-проверку</t>
  </si>
  <si>
    <t>Сокращение затрат</t>
  </si>
  <si>
    <t>Сокращение затрат на материалы на 10%</t>
  </si>
  <si>
    <t>Исследование возможностей применения новых материалов в 3D-печати</t>
  </si>
  <si>
    <t>внедрены новая парка полимера</t>
  </si>
  <si>
    <t>Создание базы</t>
  </si>
  <si>
    <t>Создание базы стандартных 3D-компонентов и библиотек для ускорения проектирования</t>
  </si>
  <si>
    <t>1. Отсутствие претензий к качеству разработанной конструкторской документации.
2. Добавление чертежей в электронный архив не позднее 1 дня после подписания.</t>
  </si>
  <si>
    <t>Все работы ПОФ митигируют максимальные риски согласно методологии РОП</t>
  </si>
  <si>
    <t>При планировании ППОФ 2026г затраты на ремонт и эксплуатацию. Оценивается по зонам ответственности.</t>
  </si>
  <si>
    <t>"Прохождение обучение в соответствии с планом
Изучение материалов НОМ/ТОМ для вновь принятых сотрудников"</t>
  </si>
  <si>
    <t>Изучение смежного функционала в рамках функционала Ведущего специалиста по отчет</t>
  </si>
  <si>
    <t>Сотрудник ознакомлен со смежным функционалом в рамках должностной инструкции и готов к частичному выполнению задач по направлению</t>
  </si>
  <si>
    <t>Ежемесячная подготовка анализа по экономии/перерасходу по потребности проектов П</t>
  </si>
  <si>
    <t>Проведение мониторинга экономии/перерасхода по потребности проектов ППОФ 2026г.</t>
  </si>
  <si>
    <t>"1. LTIF = 0
2. Вовлеченность в чемпионат «по Безопасности труда» не менее 90%
3. рейтинг на кв - не менее 15 (ПАБ/ОТ)</t>
  </si>
  <si>
    <t>Своевременное и качественное формирование бизнес-планов РБ ПОФ, ЦИ: - Выполнена: План РБ, ЦИ на 2026г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с задержкой &lt; 7 рабочих дня в соответствии с методологией по качеству планирования (PowerPoint, Excel, ИС) в ЗО - Не выполнена: с задержкой &gt; 7 рабочих дня c отклонениями от методологии по качеству планирования (PowerPoint, Excel, ИС) в ЗО. Своевременное и качественное формирование отчетности РБ ПОФ, ЦИ: - Выполнена: Отчетность РБ ПОФ, ЦИ сформирована в установленный срок согласно графика в соответствии с методологией управления затратами (PowerPoint, Excel) в ЗО. - Выполнена частично: Отчетность РБ ПОФ, ЦИ сформирована с задержкой &lt; 7 рабочих дня в соответствии с методологией управления затратами (PowerPoint, Excel) в ЗО. - Не выполнена: Отчетность РБ ПОФ, ЦИ сформирована с задержкой &gt;7 рабочих дня в соответствии с методологией управления затратами (PowerPoint, Excel) в ЗО</t>
  </si>
  <si>
    <t>Исполнение плана освоения и ввода капитальных вложений по ПОФ</t>
  </si>
  <si>
    <t>Исполнение ремонтного бюджета ПОФ , %</t>
  </si>
  <si>
    <t>Поддержка ежемесячных совещаний по ОТ (Направление инф по Вовлеченности персонала в чемпионатах  ОТиПБ Э, Молнии, Ведение протокола встречи, Оценка по чек листу совещания по ОТиПБ Э)</t>
  </si>
  <si>
    <t>Контроль допусков персонала РПИ МУ</t>
  </si>
  <si>
    <t>Контролировать допуски персонала РПИ МУ.  Предоставлять руководителю выгрузку допусков раз в неделю. С комментариями по каждому красному и желтому статусу.</t>
  </si>
  <si>
    <t>Выполнение в срок в полном объеме поставленных задач от руководителя</t>
  </si>
  <si>
    <t>Оперативное внесение данных из первичных документов в SAP. - Обеспечить внесение факта получения обязательных допусков в SAP НСМ.</t>
  </si>
  <si>
    <t>Повышение эффективности Ремонтное производство по РПИ МУ</t>
  </si>
  <si>
    <t>1. Контролировать, подачу заявок по личному составу.
2. Организовать соблюдение норм переработки и учет рабочего времени персоналом Ремонтное производство по РПИ МУ .
3. Организовать и обеспечить проведение заседаний по проверке Норм и Правил технической эксплуатации электроустановок потребителей у электротехнического персонала РП РПИ
4.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5.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</si>
  <si>
    <t>1. Одна запись по ПБ в квартал
2. 3аписи по экологии 3 шт. в квартал
3. Вовлеченность в чемпионат по безопасности РПИ - 100%
4. Проведение ПАБ 3 шт. в квартал
5. Запись в журнале по ОТ 9шт. в квартал</t>
  </si>
  <si>
    <t>1. ИД по проведенным работам сформирована и передана заказчику работ в течении 5 дней после окончания работ.
2. Контроль и организация своевременного обучения работников РПИ МУ на допуск к самостоятельной работе, работе на высоте , ПТМ, электробезопасности, рабочий люльки, подъемника, машинист крана, стропальщик.</t>
  </si>
  <si>
    <t>Общество с ограниченной ответственностью "Томскнефтехим"/Направление Директора по производству/Производство мономеров/Смена 1/Установка компримирования и разделения пирогаза</t>
  </si>
  <si>
    <t>Общество с ограниченной ответственностью "Томскнефтехим"/Направление Директора по производству/Энергопроизводство/Смена 4</t>
  </si>
  <si>
    <t>не более 0.001 млн.руб</t>
  </si>
  <si>
    <t>1. Выбросы ЗВ в атмосферу не более 0,357 тыс.тн
2. Сбросы ЗВ в стоки не более 0,072 тыс. тн
3. Отходы на размещение не более 0,018 тыс. тн
4. Водопотребление 1260,91 тыс. т м3
5. Выбросы парниковых газов 32927,08 т СО2</t>
  </si>
  <si>
    <t>Обеспечение выполнения мероприятий по ДК ЛИМС, настройка оборудования передающего данные в систему ЛИМС в сторону увеличения.</t>
  </si>
  <si>
    <t>Выстроен процесс по новому алгоритму по паспортизации ПК марка В из резервуара</t>
  </si>
  <si>
    <t>Реализация мероприятий Программы на 2026 г, актуализация  ВУЭ, разработка и выполнение планов по помещениям 5С</t>
  </si>
  <si>
    <t>Организация  универсализации в сменах, достижение в сменах  не ниже 80% , ИК не ниже 95%</t>
  </si>
  <si>
    <t>Управление ремонтом установки УКиПС</t>
  </si>
  <si>
    <t>Выполнение качественного ремонта насосов и компрессоров.</t>
  </si>
  <si>
    <t>1.Выполнение протокольных мероприятий по подготовке к ОР в 2026г в своей зоне ответственности.
2. ТМЦ необходимые для проведения ремонта разнесены до остановочного ремонта, с составлением акта приема-передачи с ВИП установки.</t>
  </si>
  <si>
    <t>5.1. Отсутствуют помещения на производствам с хранящимися ТМЦ, исключение – перечень определенных протоколом в рамках обсуждения на встречах по РК. В к. 120 весь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</si>
  <si>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Не менее 95% соласно критериям оценки качества проведенного ОР:
1. 100% выполнение работ, влияющих на соблюдение межремонтного интервала
9. Выполнение объема работ критического пути на 100%
10. Отсутствие потери ВПР в течение  20 суток после ОР.</t>
  </si>
  <si>
    <t>80% внеплановых работ выполнено за счет ПФ
Вся документация сформирована до пуска производств</t>
  </si>
  <si>
    <t>2. Отсутствует отставание по расследованиям;
3. Отсутствие невыполненных рекомендаций;</t>
  </si>
  <si>
    <t>1.1. 80% ЗН на корректирующие работы формируются из тех. карт;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</si>
  <si>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работам ПО.</t>
  </si>
  <si>
    <t>Управление безопасностью</t>
  </si>
  <si>
    <t>1.Наличие допусков персонала – не менее 99%.
2.0 событий в зоне ответственности с влиянием на Ltif предприятия.
3.Обеспечение 100% натурных проверок РПО с внесением в ЦНД и видеофиксацией целевого инструктажа, проводимых в выходные и праздничные дни.
4.0 пробитых барьеров при проведении стресс-тестов (по вине сотрудников производства)
5.100% проведенных ритуала Час ОТ,ПБиЭ в смене, оценка качества проведения по ЧЛ – не менее 90%
6.100% вовлеченность в инструмент ПАБ со стороны ИТР смены (НС, СИ)
7.100% вовлеченность сменного персонала в ЧПБ, достижение средних баллов в каждой номинации по итогам квартала.
8.0 событий в зоне ответственности с влиянием на ИА-1 (согласно методологии)
9.0 событий с возгораниями
10.100% выполнение еженедельных задач производственного контроля (НС, СИ), с выявлением замечаний не менее 30% от общего количества задач
11. Проведение 100% УТЗ по ПМЛА в смене согласно графики.</t>
  </si>
  <si>
    <t>Обеспечение безопасного проведения ОР 2026</t>
  </si>
  <si>
    <t>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</si>
  <si>
    <t>Обеспечение компетенций персонала</t>
  </si>
  <si>
    <t>1. Индекс компетентности смены не менее 95%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</si>
  <si>
    <t>Выполнение финансовых показателей</t>
  </si>
  <si>
    <t>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</si>
  <si>
    <t>Обеспечение приживаемости процессов ПСС</t>
  </si>
  <si>
    <t>1. % Сотрудников из числа рабочего персонала без целей (ИТР - не согласованных) в ЛК= 0%
2.Оценка по чек-листу 5С закрепленной зоны - Не менее 90%
3. Оценка элементов ВУЭ (Доска эффективности) - Не менее 90%
4. Оценка ритуалов НОМ, Прием-передача смены по чек листу   Не менее 90%
5. Время на работу с командой в календарях руководителей, 30 % (Согласно ТКР).</t>
  </si>
  <si>
    <t>1. УМД = 0 млн.руб
2. Обеспечение проведения МО не менее 95%.
3. Выполнение сменного ВДО-1, с внесением результатов в журнал - не менее 95%.
4. Соблюдение графика перехода по работе динамического оборудования не менее 95%.
5. Качество создание сообщение в SAP - Не менее 90%.
6. Соблюдение качества ремонтной документации (отсутствие подписей в журналах которые находятся в обязательном перечне документации на ЦПУ)</t>
  </si>
  <si>
    <t>1.Текучесть общая &lt;= 10 % в расчете на год по смене.
2.Приживаемость сотрудников до 1 года работы &lt;= 12%.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НС, СИ – не менее 35% (готовность до 1 года)</t>
  </si>
  <si>
    <t>1. Выбросы ЗВ в атмосферу не более 0,053 тыс.тн
2. Сбросы ЗВ в стоки не более 0,021 тыс. тн
3. Отходы на размещение не более 0,03 тыс. тн.
4. Проведение выездных ЭКО мероприятий 1 в квартал.</t>
  </si>
  <si>
    <t>Соблюдение тех. дисциплины - снижение нарушений НТР, НАК, сигнализаций</t>
  </si>
  <si>
    <t>НТР не более 102 шт/кв
НАК не более 22 шт/кв
Сигнализации - Не более 5040шт</t>
  </si>
  <si>
    <t>НТР не более 6543 шт
Сигнализаций не более 10500 шт
НАК не более 52 шт</t>
  </si>
  <si>
    <t>Выполнение целей по качеству:</t>
  </si>
  <si>
    <t>КПОиТП не более 0,50
КЦП не менее 0,97
НСП более 5,97 %</t>
  </si>
  <si>
    <t>Экономический эффект от мероприятий менеджмента, млн.руб.</t>
  </si>
  <si>
    <t>не менее 235000 тыс.руб.</t>
  </si>
  <si>
    <t>Непревышение постоянных затрам, млн.руб. Генерация ММ по снижению пост.затрат на</t>
  </si>
  <si>
    <t>не более 205006 тыс. руб</t>
  </si>
  <si>
    <t>ВПР = 69,81%
ИТЭ =  99,35%
ИЭ =  206,31%
ИТЭзхп = 95,22%</t>
  </si>
  <si>
    <t>УМД, % от EBITDA не более 1% от EBITDA</t>
  </si>
  <si>
    <t>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в ЗО
6. ИА 1,2 = 0
7. Соответствие процесса осуществления ПК метрикам оценки не менее "2,7"</t>
  </si>
  <si>
    <t>Объем производства, тыс.тонн</t>
  </si>
  <si>
    <t>не менее 55.563 тыс. тонн</t>
  </si>
  <si>
    <t>Выполнение целей стратегии УР</t>
  </si>
  <si>
    <t>Выполнение целей стратегии устойчивого развития:
 -Выбросы ЗВ в атмосферу не более 1,347 тыс.тн
- Сбросы ЗВ в стоки не более 0,421 тыс. тн
- Отходы на размещение не более 0,239 тыс. тн.
- Водопотребление не более 1689,2 тыс. м3
- Выбросы парниковых газов 702,730 тыс т СО2
-   Снижение объёмов сточных вод: не открытие байпаса Не более 0 часов</t>
  </si>
  <si>
    <t>Приживаемость ПСС по чек-листу</t>
  </si>
  <si>
    <t xml:space="preserve"> Управление травматизмом (LTIF) и техногенностью ИА1,2</t>
  </si>
  <si>
    <t>1. LTIF = 0
2. Вовлеченность в чемпионат «по Безопасности труда» не менее 90%
3. рейтинг на кв - не менее 15</t>
  </si>
  <si>
    <t>не более 2 раб дней</t>
  </si>
  <si>
    <t>Своевременная подготовка смет (ЛСР) 2026 год в уст сроки</t>
  </si>
  <si>
    <t>Подготовка докум-ции в части ц/о к тендерным процедурам (ТП) и закл договорам</t>
  </si>
  <si>
    <t>не более 2 раб день</t>
  </si>
  <si>
    <t>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работ)</t>
  </si>
  <si>
    <t>УМД по ЧФ</t>
  </si>
  <si>
    <t>КПОиТП не более 0,50
КЦП не менее 0,97
НСП более 5,97% (3236 тонн)</t>
  </si>
  <si>
    <t>Эффективность + не менее 139,7 млн.руб (на оценку 6 160,28 млн.руб, на оценку 7 174,22 млн.руб)
Экономический эффект от мероприятий менеджмента, не менее 235 млн.руб.
Непревышение постоянных затрат,  205,60 млн.руб.</t>
  </si>
  <si>
    <t>1.Полученные допуски - 100%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
8. Вовлеченность в ПАБ,  не менее 4 шт в квартал</t>
  </si>
  <si>
    <t>HR - работа с командой</t>
  </si>
  <si>
    <t>Наставничество -  Аламов А. (инженер сменный)
Наставничество - Иванов А.В. (начальник сменный)
HR Адаптация (Приживаемость сотрудников 1- го года работы) в ЗО не более 10 %
HR Допуск к рабочему месту в течении 90 дней</t>
  </si>
  <si>
    <t>Приживаемость производственной системы</t>
  </si>
  <si>
    <t>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</si>
  <si>
    <t>сигнализации - не более 18600
НТР - не более  665 шт./кв.
НАК - не более 286 шт./кв.</t>
  </si>
  <si>
    <t>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</si>
  <si>
    <t>Достижение целей по ключевым показателям эффективности ВПР,% ИТЭ, % ИЭ,</t>
  </si>
  <si>
    <t>ВПР = 70,28%
ИТЭ =  98,49    %
ИТЭзхп = 95,29     %
ИЭ = 103,09%</t>
  </si>
  <si>
    <t>не менее 29852 т</t>
  </si>
  <si>
    <t>Обеспечить целевой уровень качества продукции</t>
  </si>
  <si>
    <t>не более 3.13 %</t>
  </si>
  <si>
    <t>Общество с ограниченной ответственностью "Томскнефтехим"/Направление Директора по производству/Производство полипропилена/Смена 1</t>
  </si>
  <si>
    <t>Своевременность отработки ПГД, ДД, Доверенности</t>
  </si>
  <si>
    <t>не менее 98 %</t>
  </si>
  <si>
    <t>1. Проведение проверок знания по ТК персоналу УРТТ,ЗРАиИНКО согласно графика, индекс компетентности персонала участка 75%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Кадровая защищённость по ключевым позициям (гр. 11-13) - 85%
4. Организовать процесс адаптации МС с соблюдением 4 шагов согласно алгоритма адаптации,  Текучесть по инициативе  МС не более 20%
5. Уровень вовлеченности в подразделении (факторы: непосредственный руководитель, ОС, карьерные возможности) - 80-88%</t>
  </si>
  <si>
    <t>1. Фактическая загрузка персонала не менее 95 %,
2. Выполнение дневного плана работ в среднем за месяц не менее 90 %
3. Доля отсутствующего персонала в тек. деятельности - не выше 13% В период ОКР - не выше 10%.
4. Точность предоставления  данных по мощности участка на еженедельной основе не менее 97%.
5. Выполнение недельного плана 95%
6. Выработка УРТТ,ЗРАиНКО(производительность труда) (Соотношение плановой трудоемкости подтвержденных заказов (ремонтных работ, выполненных силами УРТТ,ЗРАиНКО ) к фактической доступности рабочего ремонтного персонала РП РТУ не менее 90%
7. Обеспечить своевременное оповещение инженера по ресурсному планированию о задержке или срыве работ, а также ежедневно сразу после окончания работ.</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</si>
  <si>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ПУиСП/Поле</t>
  </si>
  <si>
    <t>1. 20 баллов по чек листу оценки участка
2. Одна идея УМШ по развитию и поддержанию ПСС в квартал</t>
  </si>
  <si>
    <t>1. Не менее 2 замеров ЧВР (ФРД) в месяц с проведением анализа потерь и разработкой мероприятий по их снижению.
2. Точность предоставления  данных по мощности участка на еженедельной основе не менее 97%
3. Выполнение недельного плана работ</t>
  </si>
  <si>
    <t>1. Проведение ПАБ или запись об отклонении в т.ч. вмешательство. Не менее 15 записей в месяц
2. Вовлечение персонала в мотивационную программу "Чемпионат по безопасности по ОТ, ПБ и Э" 100%
3. Ноль травм. LTIF = 0
4. Отсутствие аварий, инцидентов, ПОП по причине некачественного ремонта
5. Проведении собраний по ОТиПБ по утвержденному алгоритму на участке  с составлением протокола (НТО)  не менее 2 в месяц</t>
  </si>
  <si>
    <t>1. Контроль выполнения планов обучения и соблюдения графиков реализации обучающих программ.</t>
  </si>
  <si>
    <t>1. Разработка СОП и актуализация техкарт в соответствии с графиком.
2. Не более 1 повторных ремонтов.
3. Отсутствие аварий, инцидентов, ПОП.
4. 100% СОП разработаны и актуализированы в соответствии с графиком</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</si>
  <si>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ПУиСП/Энергопроизводство/Поле</t>
  </si>
  <si>
    <t>не менее 90%</t>
  </si>
  <si>
    <t>Текучесть персонала в ЗО 3 квартал.</t>
  </si>
  <si>
    <t>не более 12.5 дней</t>
  </si>
  <si>
    <t>Своевременное проведение ритуалов в соответствии с карточками НОМ</t>
  </si>
  <si>
    <t>не более 15 шт. (еженедельное уведомление инженеров по направлению о количестве просроченных сообщениях), включать в недельный план по 3-4 просроченные работы на еженедельном уровне.</t>
  </si>
  <si>
    <t>Беклог</t>
  </si>
  <si>
    <t>Контроль за загрузкой в системе МРС закрепленного подрядчика</t>
  </si>
  <si>
    <t>Графикование через MRS 100% персонала подрядчиков</t>
  </si>
  <si>
    <t>Выполнение работ из запланированных на неделю работ</t>
  </si>
  <si>
    <t>Весение заказов в систему МRS и установка всех статусов</t>
  </si>
  <si>
    <t>Внесение заказов в систему МRS и установка всех статусов для корректного отображения в Д.Б.  В течении четверга текущей недели</t>
  </si>
  <si>
    <t>Составление и согласование графика ППР в Прожект</t>
  </si>
  <si>
    <t>не менее чем за 14 дней до плановой даты остановки производства</t>
  </si>
  <si>
    <t>Проведение ПАБ</t>
  </si>
  <si>
    <t>LTIF подразделения =0
Выявление ОУ/ОД через проведение ПАБ - 3 аудитов
Вовлеченность подразделения в чемпионат по ОТиПБ -100%</t>
  </si>
  <si>
    <t>Реализация программы "Энергонадежность"</t>
  </si>
  <si>
    <t>Запланированные мероприятия программы выполнены</t>
  </si>
  <si>
    <t>По результатам проверок состояния оборудования внесены записи в систему "Иди и Смотри" с уровнем риска не ниже среднего</t>
  </si>
  <si>
    <t>Проведение 100% запланированных в системе "Иди и Смотри" ЛО</t>
  </si>
  <si>
    <t>Проведение 100% запланированных в системе "Иди и Смотри" ЛО Не менее 100 %</t>
  </si>
  <si>
    <t>Покрытие анализами RCA событий в ЗО с УМД выше 1,68 млн.руб</t>
  </si>
  <si>
    <t>Покрытие анализами RCA событий в ЗО с УМД выше 1,68 млн.руб Не менее 100 %</t>
  </si>
  <si>
    <t>Повторные отказы оборудования в ЗО</t>
  </si>
  <si>
    <t>Повторные отказы оборудования в ЗО Не более 0 шт.</t>
  </si>
  <si>
    <t>Индекс аварийности (ИА1) в ЗО Не более 0 шт.</t>
  </si>
  <si>
    <t>1. Вовлечённость в чемпионат по безопасности - 100% 2. Проведение аудита по ПБ с записью в журнал - не менее 1 в квартал 3. Проведение аудита по экологии с записью в журнал - не менее 3 в квартал 4. Проведение аудита по ОТ с записью в журнал - не менее 9 в квартал 5. Проведение ПАБ - не менее 3 в квартал</t>
  </si>
  <si>
    <t>1. Разработка технологий сварки качественно и в срок
2. Авторский надзор за соблюдением выполнения разработанных технологий</t>
  </si>
  <si>
    <t>Инженер по охранно-пожарным системам</t>
  </si>
  <si>
    <t>1. В з.о. СУОФ по отказам оборудования УМД от EBITDA = 0;
2. Отсутствует отставание по расследованиям;
3. Отсутствие невыполненных рекомендаций;</t>
  </si>
  <si>
    <t xml:space="preserve"> Управление ремонтом оборудования</t>
  </si>
  <si>
    <t>1. 80% ЗН на корректирующие работы формируются из тех. карт;
2. 100% Акты переноса ППР согласуются на этапе месячного планирования и загружаются в КИС вместе с месячным планом;
3. Приемка оборудования в/из ремонта, вкл. чистоту раб. места и ЕО на которой проводилось ТОиР;
4.Все паспорта/формуляры после ремонта заполнены, ИД разработана, принята ОТН;</t>
  </si>
  <si>
    <t>Прохождение обучения по программам "СИБУРИНТЕХ"</t>
  </si>
  <si>
    <t>Прохождение запланированных курсов обучения по очной форме и вебинарам</t>
  </si>
  <si>
    <t>Проверка работоспособности АСПЗ на ТНХ</t>
  </si>
  <si>
    <t>Внесение изменений в БДО в связи с изменениями реализации проектов за отчетный период</t>
  </si>
  <si>
    <t>Заключить договор на тех.овидетельствование модулей пожаротушения</t>
  </si>
  <si>
    <t>Выполнение работ в соответствии с  Договором с КА</t>
  </si>
  <si>
    <t>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</si>
  <si>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 xml:space="preserve"> LTIF – 0</t>
  </si>
  <si>
    <t>1.Получены все допуски
2.Внесение не менее 5 записей ПАБ в журнал ОТ;
3.Внесение не менее 5 записей ПАБ в журнал ПБ;
4.Внесение не менее 5 записей ПАБ в журнал Экологии;
5.Регулярное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</si>
  <si>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Участие в реализации НБ и СБ ИП, проектов по ЦИ АСУ ТП в ЗО.</t>
  </si>
  <si>
    <t>Своевременное рассмотрение документов по НБ и СБ ИП, проектов по ЦИ АСУ ТП в ЗО.</t>
  </si>
  <si>
    <t>1. Проведение плановых комплексных проверок основных производств в соответствии с графиком - 100%.
2. Оценки качества проведенных ППР в ЗО.
3. Стабилизация работы пластометра на экструдере Р-133 (анализ работы, выявления факторов влияющих на дрейф, мероприятия по стабилизации работы).</t>
  </si>
  <si>
    <t>ИИ-контроль безопасности РПО  от ежедневного ручного контроля к автоматической проверке</t>
  </si>
  <si>
    <t>Качество рисков в РРП соответствует оценке 98%.</t>
  </si>
  <si>
    <t>Ожидаемый результат
Ожидаемый результат
 Доля рисков с оценкой качества 98% в РРП.
100% -перевыполнено,
98% - выполнено,
 95% - частично выполнено,
 менее 95% - не выполнено.</t>
  </si>
  <si>
    <t xml:space="preserve"> Выполнение целей стратегии устойчивого развития:</t>
  </si>
  <si>
    <t>Экономический эффект от мероприятий менеджмента, не менее 235 млн.руб.
Непревышение постоянных затрат,  205,60 млн.руб.</t>
  </si>
  <si>
    <t>1. Индекс компетентности персонала не менее 65%.
2. Контроль выполнения планов обучения и соблюдения графиков реализации обучающих программ.</t>
  </si>
  <si>
    <t>1. Проведение ПАБ и выявление ОД/ОУ, не менее 15 записей в месяц
2. Вовлечение персонала в мотивоционную программу "Чемпионат по безопасности по ОТ, ПБ и Э" 100%.
3. 100% выполнения мероприятий при производстве работ по Наряду допуску.
4. Отсутствуют просроченные id - допуска в матрице положенности в смене</t>
  </si>
  <si>
    <t>1. Не более 1 повторого ремонта .
2. Внесение записей в паспорт оборудования после проведения ремонтов / оформление исполнительной документации.
3. Контроль качества заполнения формуляров подчиненным персоналом с подведением итогов на еженедельной основе.
4. Отсутствие аварий, инцидентов, ПОП.</t>
  </si>
  <si>
    <t>1. 20 баллов по чек-листу оценки рабочего места.
2. Одна идея УМШ по развитию и поддержанию ПСС в месяц.</t>
  </si>
  <si>
    <t>Применение ИИ для оптимизации рабочих процессов</t>
  </si>
  <si>
    <t>ИИ применяется для обработки реестра спецтехники с целью оптимизации рабочего процесса. Поиск идей для применения ИИ в рутинной работе</t>
  </si>
  <si>
    <t>Рассмотрение возможности применение и тестирование ИИ</t>
  </si>
  <si>
    <t>Доля стирающегося персонала на предприятии</t>
  </si>
  <si>
    <t>Достигнут прирост доли стирающегося персонала + 10% в 2026 году.
Сформирована дорожная карта по повышению услуг стирки/химчистки, увеличению доли стирающегося персонала
Запуск сбора СИЗ в СБК</t>
  </si>
  <si>
    <t>Оценка сервисов СХО на предприятиях СИБУР</t>
  </si>
  <si>
    <t>СБК обеспечение приживаемости, брендирование корпуса
Продолжение работы по улучшению условий труда на предприятии и улучшению Инфраструктуры
Анализ использования бытовок на производствах, закрытие избыточных помещений.
Проведение субботников с целью наведения порядка</t>
  </si>
  <si>
    <t>Реализация Целевой программы улучшений условий труда на предприятиях Компании (столовые, МСО, благоустройство НКНХ, Ударник)</t>
  </si>
  <si>
    <t>Поддержание в соответствии оборудования в ЛИМС</t>
  </si>
  <si>
    <t>Обеспечить прослеживаемость оборудования, находящегося в собственности ТНХ(номер в Перечне из SAP, в формах на СИ, ИО, ВО и на этикетке оборудования)</t>
  </si>
  <si>
    <t>Своевременное (в течение 5 календарных дней) оформление протоколов испытаний заказчику, с отсутствием замечаний по оформлению.</t>
  </si>
  <si>
    <t xml:space="preserve"> Развитие функциональных и технических компетенций</t>
  </si>
  <si>
    <t>Освоение методов по покрытию ОА: ПВ</t>
  </si>
  <si>
    <t>Выполнение ВЛК по методы испытания</t>
  </si>
  <si>
    <t>Не менее одной МИ</t>
  </si>
  <si>
    <t>Реализация плана ПСС в ЦЗЛ на 2026 г</t>
  </si>
  <si>
    <t>Приведение помещений по системе ПСС. Выполнение плана  мероприятий (208/1,302, 303).</t>
  </si>
  <si>
    <t>Подготовка пробоотборной тары к ОР, работоспособного оборудования, поддержка смены в пиковые нагрузки.</t>
  </si>
  <si>
    <t>Выполнение процессов в зоне ответственности: Своевременно вносить информацию по метрологической прослеживаемости оборудования, СИ (поверка, калибровка, аттестация).</t>
  </si>
  <si>
    <t>Развитие системы менеджмента ЦЗЛ (качество и своевременно выдача испытаний)</t>
  </si>
  <si>
    <t>Реализация плана по повышению эффективности СМ на3  кв.2026 г</t>
  </si>
  <si>
    <t>ОТ: не менее 1 ПАБ по ОТ; июль - 2ЛО, август-1ЛО, сентябрь -2ЛО (с подтвержденным средним риском за 3 кв. 2 ЛО)
Экология: не менее 5 ЛО по Экологии, не менее 1 экомероприятия</t>
  </si>
  <si>
    <t>Эксперт по качеству</t>
  </si>
  <si>
    <t>Сформировано предложение по применению ИИ для рутинной задачи</t>
  </si>
  <si>
    <t>Управление качеством (Алгоритм действий персонала)</t>
  </si>
  <si>
    <t>Сформирован алгоритм действий персонала, предупреждающий формирование продукции с отклонениями по показателю Разброс ПТР</t>
  </si>
  <si>
    <t>Управление качеством (матрица по откладыванию НСП)</t>
  </si>
  <si>
    <t>Актуализирована матрица по откладыванию НСП - сформирована в рамках требований СТП СР/P2P/ПР15, согласована в КИС</t>
  </si>
  <si>
    <t>Подготовка в качестве второго номера на поз. "Менеджер по Качеству" в соот с ИПР</t>
  </si>
  <si>
    <t>Получены допуски по ПБ:
Б.8.3 Экспл. ОПО сосуд. под давлен
Б.8.2 Экспл. ОПО труб. пара и воды
Б.1.10 Проек, стр, рек ОПО НГП и НХ
Б.1.9 Стр, рек, ТП, КР, конс ХОПО
Б.1.1 Эксплуатация хим ОПО
Оказание первой помощи пострадавшим</t>
  </si>
  <si>
    <t>Разработка Кейсового обучения по тематикам Качества в формате «А что, если…», с</t>
  </si>
  <si>
    <t>Разработано Кейсовое обучение по тематикам Качества в формате «А что, если…», с последующим использованием Начальниками смен для транслирования в сменах с применением инструмента ИИ</t>
  </si>
  <si>
    <t>Баллы по ОТ (количественная) 6
Баллы по ПАБ (количественная) 3
Баллы по ПБ (количественная) 6
Баллы по Э (количественная) 10
Осуществлена деятельность комиссаром в ОР с 15-19.08.2026</t>
  </si>
  <si>
    <t>Выполнение плана расширения марочного ассортимента - ОПИ на модифицированном кат</t>
  </si>
  <si>
    <t>Выполнение плана расширения марочного ассортимента:
1. Обновлена рецептура марки R 003 EX - КС PPA 2800 - в рамках БП 2027 формирование потребности на закуп.
2. PPR 016 EX, выпуск на МБ-124 с измененной матрицей с гомо на стат. Омологация в разных сегментах
3. PPR 003Cr, получение ЭЗ, омологации у клиентов
4. PP H452 IM, выпуск на КС-45 с измененной рецептурой. Подготовка отчета по итогам омологаций в части аналитического контроля, участие в получении результатов омологаций у клиентов.
5. PPH 041 BF/PPH 031 BF, участие в омологации у БКП-Т, подготовка отчета ОПВ в аналитической части.</t>
  </si>
  <si>
    <t>Управление качеством (Минимизация потерь)</t>
  </si>
  <si>
    <t>Минимизация потерь:
1. Процент несоответствующей продукции (НСП), %, не более 3,45 % (1337 тонн)
Процент несоответствующей продукции (НСП), %, не более 3,13 % (1215 тонн) для оценки "выше ожиданий".
2. Коэффициент повторяемости обращений и тяжести последствий (КПОиТП), не более 1,32
3. Соблюдение сроков расследований по обращениям по ППП</t>
  </si>
  <si>
    <t>Общество с ограниченной ответственностью "Томскнефтехим"/Направление Директора по производству/Энергопроизводство/Смена 2</t>
  </si>
  <si>
    <t>не менее 3.5 млн. руб.</t>
  </si>
  <si>
    <t>не более 111 %</t>
  </si>
  <si>
    <t>1. Выбросы ЗВ в атмосферу - 0,190
2. Сбросы ЗВ в стоки - 0,084
3. Отходы на размещение - 0,050
4. Водопотребление, тыс. м3 - 1212,10
5. Выбросы парниковых газов, тыс. т СО2 - 31,27</t>
  </si>
  <si>
    <t>Общество с ограниченной ответственностью "Томскнефтехим"/Отдел корпоративных коммуникаций</t>
  </si>
  <si>
    <t>Цель – координация работы направления амбассадоров по направлению Лидеры мнений.</t>
  </si>
  <si>
    <t>1. Выстроена координация работы с амбассадорами ТНХ по направлению Лидеры мнений, а именно: проведена минимум 1 встреча в квартал с амбассадорами для понимания смыслов работы, критериев, ведения учета активностей, пр.; собран список амбассадоров по направлению, амбассадоры начали проведение мероприятий по направлению
2. Подведены итоги активностей амбассадоров за 3 кв. 2026 г.
3. Разработан план работы координатора по направлению на 4 кв. 2026 г.
Влияние на БК 2026</t>
  </si>
  <si>
    <t>Обучение и саморазвитие</t>
  </si>
  <si>
    <t>Обучение цифровым навыкам, применение в работе</t>
  </si>
  <si>
    <t>Изменение и повышение эффективности процессов, а также обучение и саморазвитие сотрудников функции</t>
  </si>
  <si>
    <t>Корпоративная культура</t>
  </si>
  <si>
    <t>Проведен 1 региональный форум, оценка  не ниже 9.
Проведена серия встреч на ногах по итогам ОР 2026.
Проведено не менее 1 мероприятия с участием семей сотрудников, оценка не ниже 9.
Реализованы проекты согласно Дорожных карт: проект с начальниками смен, проект «Бабушка, настрой нейросеть»/ «Наш импульс», проект Амбассадоры СИБУРа.</t>
  </si>
  <si>
    <t>Поддержание вовлекающей среды</t>
  </si>
  <si>
    <t>Продвижение бренда работодателя</t>
  </si>
  <si>
    <t>- реализация в информационной повестке генеральных смыслов бренда работодателя СИБУР/Томскнефтехим, в том числе через реализацию совместных мероприятий со студентами ведущих вузов
- проведение 1 паблик-тока в ВУЗах/СУЗах Томска с участием ТОП-менеджера ТНХ</t>
  </si>
  <si>
    <t>Продвижение образа лидерства и устойчивости в Томске и Томской области</t>
  </si>
  <si>
    <t>- реализация стабильного информационного потока, в том числе по ОР, производство, технологии ТНХ - партнерские материалы с региональными СМИ , также присутствие смысловой нагрузки СИБУРа и фокусов в 100% публикаций во внешнем контуре - присутствие позиции компании не менее чем в 70% публикаций, включая первичные в случае наступления негативных событий (ЧС, аварии, негативные публикации и т.п.), соблюдение регламента ЧС. Выполнены КПЭ по ведению социальных сетей предприятия.</t>
  </si>
  <si>
    <t>Продвижение образа лидерства и устойчивости</t>
  </si>
  <si>
    <t>Выполнение графика поверки ДВК, ПДК</t>
  </si>
  <si>
    <t>Выполнено- более 90%
Не выполнено менее 90%</t>
  </si>
  <si>
    <t>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</si>
  <si>
    <t>Восстановление ПФ после ОР</t>
  </si>
  <si>
    <t>Весь вовлеченный ПФ при проведение ОР-2026 востановлен и находится в ПФ.</t>
  </si>
  <si>
    <t>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</si>
  <si>
    <t>80% внеплановых работ выполнено за счет ПФ
Вся документация сформирована до пуска производств
Готовность к пуску производства ПЭ раньше ПМ на 4 суток"</t>
  </si>
  <si>
    <t>Не менее 95% согласно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потери ВПР в течение  20 суток после ОР."</t>
  </si>
  <si>
    <t>Разработан AI агент диагностики режима горения печей пиролиза</t>
  </si>
  <si>
    <t>1. Провести не менее 3-х ПАБ в квартал  ( не менее  1 ПАБ в месяц) с выявлением опасных условий/опасных действий. Предложить мероприятия по недопощению травмирования сотрудников предприятия и подрядных организаций
2. Проведение ЛО не менее 3 баллов по ПБ, не менее 3 баллов по ОТ.</t>
  </si>
  <si>
    <t>Повышение производственной эффективности (тех.дисциплина)</t>
  </si>
  <si>
    <t>Обеспечить выполнение плановых зхначений показателй тех.дисциплины до 30.09.2026
1. Не более: ННТР 101 500 шт
2. ННАК 4 176 шт;
3.Сигнализации 63 000 шт;
4.ПИД 95%</t>
  </si>
  <si>
    <t>Повышение производственной эффективности (ММ)</t>
  </si>
  <si>
    <t>Оценка 5
1. Обеспечить подтвержденный финансовый эффект от внедренных ММ в размере не менее 21 млн руб. до 30.09.2026
2. Сформировать  перечень инициатив на 2027г. с суммарным прогнозным эффектом на EBITDA не менее 40,5 млн руб. до 30.09.2026 (В СОВА на этапе I2P ММ)
3. Обеспечить выполнение норм расхода сырья в период ОР-2026г., не более:
3.1 ПМ = 2743т;
4.  Обеспечить  подтвержденным финансовым эффектом в 2026 от реализации меропритяий  программы "Эффективность+" в ЗО СГТ   до 30.09.2026, млн.руб.:
4.1 ПМ = 142;
Оценка 5
3. Снизить потери сырья относительно заложенных в БП-2026 на ОР за счёт разработанных технических мероприятий :
3.1. ПМ = -190 тонн (бензин);
4. Разработать дополнительные мероприятия с подтвержденным финансовым эффектом в 2026 для  программы "Эффективность+" в ЗО СГТ  до 30.09.2026, млн.руб.
4.1 ПМ = 50;</t>
  </si>
  <si>
    <t>1. Обеспечить выполнение (выдерживание) расходных норм МТР не менее 90-95% до 30.09.2026 за счёт разработки меропритяий по итогам:
1.1 ежесменного ФА отклонений РН (выполняет НС)
1.2 еженедельного ФА отклонений РН (выполняет ВИП+ВИТ)
1.3 ежемесячного ФА отклонений РН (в рамках защиты БК)
2. Снизить неидентифицированные потери узла Пиролиза с 0,5 до 0,2% до 30.09.2026 путём актуализации балансовых схем, выявления неидентифицированных потоков, выявления проблем с качеством данных в ТМБ.
3. Обеспечить выполнение показателя "Потери по ключевым РН сырья в ЗО ФЭП" до 30.09.2026,  не более 76млн.руб (ПМ сырье = 72, ПМ топ.газ = 4) за счёт разработки меропритяий по итогам:
3.1 ежесменного ФА отклонений РН (выполняет НС)
3.2 еженедельного ФА отклонений РН (выполняет ВИП+ВИТ)
3.3 ежемесячного ФА отклонений РН (в рамках защиты БК)</t>
  </si>
  <si>
    <t>ЭКОНС:
1. Работа в ЗЗ за период, не менее 80%
2. Работа в ОГР за период, не менее 95%
3. Работа в ЧЗ за период, менее 1%
4. Создания с нуля панели ЭКОНС отражающую актуальные показатели эффективности - ИТЭ-1,2, ИЭ, ИТЭзхп, МДП, потери</t>
  </si>
  <si>
    <t>Обязательные и дополнительные обучения в Сибуринтехе</t>
  </si>
  <si>
    <t>своевременное прохождение обязательных обучений и дополнительных обучений в Сибуринтех</t>
  </si>
  <si>
    <t>ПАБ с выявлением ОД/ОУ в квартал</t>
  </si>
  <si>
    <t>0 просроченных и/или несвоевременно полученных СИЗ</t>
  </si>
  <si>
    <t>своевременная замена просроченных СИЗ и/получение новых СИЗ</t>
  </si>
  <si>
    <t>Личные допуски</t>
  </si>
  <si>
    <t>не более 30 шт.</t>
  </si>
  <si>
    <t>1. Участие в расследовании микротравм и несчастных случаев (при необходимости), произошедших в РПРТО, внесение результатов расследования в программу.
2. Участие в работе комиссии по аттестации по вопросам безопасности и проверки знаний требований охраны труда рабочих и ИТР РПРТО, ведение протоколов аттестационных комиссий подразделения.
3. Контроль наличия/отсутствия id-допусков персонала подразделения РП РТО.
4. Организация своевременной аттестации (формирование списков, графиков проверки знаний).</t>
  </si>
  <si>
    <t>Вектор развития</t>
  </si>
  <si>
    <t>Реализация ИПР - развитие технологической экспертизы по ППЭ УП и ДПП на ОТУ, КиПС</t>
  </si>
  <si>
    <t>Сформирован материал по проекту ВЗМ базовых марок ТНХ/КОС. Материал загружен на портал "Лучших практик"</t>
  </si>
  <si>
    <t>Управление качеством</t>
  </si>
  <si>
    <t>Выполнение плана расширения марочного ассортимента:
1. Омологирована марка LD 20220 FE для кабелей высокого напряжения до 31.07.2026
2. Проведено ОПИ марки MG 013 R на разбавленных коктейлях инициаторов в сентябре 2026 года
3. Проведено ОПИ по снижению плотности для марки LD 40200 FA в июле 2026 года
На оценку "6":
Компенсирующих мероприятий сформировано на сумму +5% от база (33 млн)</t>
  </si>
  <si>
    <t>Стандартизация и техническое регулирование</t>
  </si>
  <si>
    <t>Реализован план по подготовке сертификации GMP по международной версии стандарта в течение августа 2026 года</t>
  </si>
  <si>
    <t>Пройден аудит клиента Pharmazone (Neutec, Turkey) 23 июля</t>
  </si>
  <si>
    <t>Минимизация потерь:
1. На оценку "5":
Процент несоответствующей продукции (НСП), % тонны, не более 5,97 % (3236 тонн)
На оценку "6":
Процент несоответствующей продукции (НСП), % не более 5,05% (2736 тонн)
ОР минус 546 тонн
2. Коэффициент повторяемости обращений и тяжести последствий (КПОиТП), не более 0,5
3. Соблюдение сроков расследований по обращениям по ППЭ"</t>
  </si>
  <si>
    <t>Баллы по ОТ (количественная) 6
Баллы по ПАБ (количественная) 3
Баллы по ПБ (количественная) 6
Баллы по Э (количественная) 10
Осуществлена деятельность комиссаром в ОР с 10-14.08.2026</t>
  </si>
  <si>
    <t>Бизнес-партнер</t>
  </si>
  <si>
    <t>Общество с ограниченной ответственностью "Томскнефтехим"/Направление Директора по управлению персоналом/Бизнес-партнер: Администрация и Проектные офисы</t>
  </si>
  <si>
    <t>Формирование программы благополучия сотрудников</t>
  </si>
  <si>
    <t>Сформирована программа благополучия сотрудников за 1 пг 2026, подготовлены материалы</t>
  </si>
  <si>
    <t>Управлять кадровой устойчивостью в условиях текущей бизнес-повестки</t>
  </si>
  <si>
    <t>Закрытие квот ПНР АГХК (СГТ+ЦЗЛ)</t>
  </si>
  <si>
    <t>Закрытие квот ПНР АГХК по ЦЗЛ - 4, по СГТ (пиролиз, полимеры) - 2</t>
  </si>
  <si>
    <t>Обеспечить рост производительности труда и вклад в повышение операционной эффективности компании</t>
  </si>
  <si>
    <t>Обеспечение 100% наличия обязательных допусков сотрудников</t>
  </si>
  <si>
    <t>Обеспечение 100% наличия обязательных допусков сотрудников курируемых подразделений в сроки, установленные законодательными и нормативными правовыми актами</t>
  </si>
  <si>
    <t>Управлять развитием компетенций и качества людей и команд в поддержку цели по повышению производительности
труда</t>
  </si>
  <si>
    <t>Производственный травматизм, УМД по ЧФ</t>
  </si>
  <si>
    <t>Производственный травматизм = 0, УМД по ЧФ = 0 по подразделениям в зоне ответственности. За период 3 квартала на системной основе контроль сроков получения допусков, соответствие образования и опыта должностным инструкциям. Согласованы и приняты новые сотрудники, соответствующие требуемой квалификации. Принято участие в ОР</t>
  </si>
  <si>
    <t>Контроль ФОТ по АУП и СГТ (накопительный итог) - не &gt; 376 069 780,18</t>
  </si>
  <si>
    <t>не более 376069780 руб</t>
  </si>
  <si>
    <t>Перезагрузка ПОУ</t>
  </si>
  <si>
    <t>- Определены спонсоры по направлениям
- Статус ПОУ обновляется на ежемесячной основе
- Мероприятия ПОУ влияют на повышение метрик</t>
  </si>
  <si>
    <t>Усилить производительность и качество команды Организационного развития в КЦ и на предприятиях</t>
  </si>
  <si>
    <t>Внедрение и поддержание ритуалов по РНиС</t>
  </si>
  <si>
    <t>Внедрение и поддержание ритуалов по РНиС - лидирование процесса со стороны HR</t>
  </si>
  <si>
    <t>Актуализация численности подразделений в ЗО</t>
  </si>
  <si>
    <t>Численность подразделений в ЗО актуальна, все нецелевые ставки и ставки, определенные к оптимизации, выведены в срок</t>
  </si>
  <si>
    <t>HR-часы/HR-комитеты</t>
  </si>
  <si>
    <t>Реализуется практика проведения HR-часов в СГТ и ЦЗЛ по всем HR-показателям на ежемесячной основе. По результатам сформированы мероприятия, направленные на управление HR-показателями. Как результат -  выполнение HR-показателей</t>
  </si>
  <si>
    <t>Управление приживаемостью и адаптацией персонала</t>
  </si>
  <si>
    <t>Приживаемость персонала &lt;= 10%. Выстроена системная работа в курируемых подразделениях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совместные с руководителями подразделений мероприятия по снижению текучести</t>
  </si>
  <si>
    <t>Общество с ограниченной ответственностью "Томскнефтехим"/Направление Директора по производству/Производство полипропилена/Установка гранулирования полипропилена</t>
  </si>
  <si>
    <t>Кадровая защищенность (формирование потенциального(ых) второго номера на ВИП.</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</si>
  <si>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технологических установок Производств: мономеров, полиэтилена, полипропилена/Участок по ремонту технологических трубопроводов, трубопроводной арматуры и изготовлению нестандартного, котельного оборудования/Цех</t>
  </si>
  <si>
    <t>Общество с ограниченной ответственностью "Томскнефтехим"/Направление Директора по производству/Производство полиэтилена/Установка производства и дополнительной переработки полиэтилена на основе технического углерода, компримирования и подготовки сырья/Ректификация (409)</t>
  </si>
  <si>
    <t>1. Выбросы ЗВ в атмосферу не более 0,225
2. Сбросы ЗВ в стоки не более 0,018
3. Отходы на размещение не более 0,050
4. Водопотребление, не более  21,70
5. Выбросы парниковых газов, не более 34,57</t>
  </si>
  <si>
    <t>УМШ по Экологии от смены не менее 1 шт</t>
  </si>
  <si>
    <t>Выполнение  планов 5С на 3 квартал с предоставлением отчета Было-Стало, проведение мозговых штурмов в смене по повышению эффективности процессов</t>
  </si>
  <si>
    <t>Управление травматизмом (LTIF) и техногенностью ИА1,2.</t>
  </si>
  <si>
    <t>1. LTIF = 0.
2. ИА 1,2 = 0.
3. Обязательные допуски (личные) - 100%;
4. Натурный контроль РПО (ГОР, ОР, ВР, ЗР) – % проверки не мене 95%;
5. Натурный контроль РПО особо опасных  – 100%;
6. Контроль в системе ЦНД РПО (ГОР, ОР, ВР, ЗР) – % проверки не менее 50%;
7. Вовлеченность ИТР в ПАБ - 100%;
8. Срок расследования происшествий не более 21 дня;
9. Кол-во ГОР и ОР в выходные дни не более 10% (отн. выход/будни);
10. 0 пробитых барьеров при проведении стресс-тестов со стороны ОТ,ПБ (по вине сотрудников производства);</t>
  </si>
  <si>
    <t>Снижение количества нарушений ННТР, НАК и сигнализаций</t>
  </si>
  <si>
    <t>НТР не более 638 шт.
НАК не более 120 шт.
Сигнализаций не более 565 шт.</t>
  </si>
  <si>
    <t>Успешное проведение Остановочного ремонта</t>
  </si>
  <si>
    <t>Выполнение 100% работ, согласно графика 4-го уровня.
Отсутствие травматизма и аварийности при проведении работ.
Оценка по чек-листу более 95%.</t>
  </si>
  <si>
    <t>Приживаемость процессов ПСС</t>
  </si>
  <si>
    <t>Непревышение постоянных затрат</t>
  </si>
  <si>
    <t>не более 24.1 млн. руб.</t>
  </si>
  <si>
    <t>1. Выбросы ЗВ в атмосферу - 0,140
2. Сбросы ЗВ в стоки - 0,072
3. Отходы на размещение - 0,050
4. Водопотребление, тыс. м3 - 1382,20
5. Выбросы парниковых газов, тыс. т СО2 - 23,54
Мероприятия:
- Реализация отходов производства.
- Сокращение утечек на производстве.
- Эффективная работа котельного оборудования.
- Контроль за качеством стоков и своевременное реагирование.</t>
  </si>
  <si>
    <t>Эффект от мероприятий менеджмента и Эффективность+</t>
  </si>
  <si>
    <t>Общество с ограниченной ответственностью "Томскнефтехим"/Направление Директора по производству/Производство углеводородов и сырья для пиролиза/Смена 1</t>
  </si>
  <si>
    <t>1. Качество создание сообщение в SAP - Не менее 90%
2. Соблюдение графика перехода по работе динамического оборудования не менее 95%</t>
  </si>
  <si>
    <t>1. 100% выполнение еженедельных задач производственного контроля (СИ), с выявлением замечаний не менее 30% от общего количества задач (Контракт ТНХ 2026</t>
  </si>
  <si>
    <t>1 . 0 событий в зоне ответственности с влиянием на Ltif и ИA 1,2 предприятия.
2. Доля НД непрошедших проверки РПО из-за критических замечаний не более 10%
3. Обеспечение 100% натурных проверок РПО с внесением в ЦНД и видеофиксацией целевого инструктажа, проводимых в выходные и праздничные дни.</t>
  </si>
  <si>
    <t>Исполнительская дисциплина. Качество подготовки отчетных документов.</t>
  </si>
  <si>
    <t>1. Участие в чемпионатах по безопасности и экологии - провести /выявить не менее 6 ПАБов/опасных условий. 2. Провести СТ по проверке процесса организации и проведения работ повышенной опасности на РП в целях формирования контрольной среды. 3. Нулевой индекс травматизма в зоне ответственности курируемых подразделений/направлений деятельности Предприятия.</t>
  </si>
  <si>
    <t>1 . С целью соблюдения требований ЛНА СИБУР в сфере оборота конфиденциальной информации (ПДН,КТ и т.д.) провести два контрольных /проверочных мероприятия в курируемых подразделениях. 2 Недопущение фактов разглашения КТ/КИ в зоне своей ответственности/курируемых направлений.</t>
  </si>
  <si>
    <t>Мониторинг ППДЗ/ПДЗ</t>
  </si>
  <si>
    <t>Недопущение рисков возникновения ППДЗ/ПДЗ по курируемым направлениям, установление корневых причин возникновения. Оказание содействие бизнесу в урегулировании проблемных задолженностей КА перед Предприятием.</t>
  </si>
  <si>
    <t>1. Недопущение фактов совершения ДТА в зоне ответственности курируемых подразделений/направлений деятельности Предприятия.
2. Выявление среди работников предприятия и КА лиц из «группы риска"
3 . Провести 5 УТЗ  и 3 СТ по проверке действий сотрудников ЧОП.</t>
  </si>
  <si>
    <t>Выявление и предотвращение фактов МДиХ</t>
  </si>
  <si>
    <t>1. Проверка сигнальной информации  о возможных признаках КИ со стороны сотрудника СУОФ, выразившихся в попытке лоббирования интересов подрядной организации, с целью получения имущественной выгоды.
2. Сопровождение хода проведения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
3. Выборочное участие в проведении процедуры входного контроля критически важных позиций оборудования и хим. реагентов, в т.ч. закупленных в рамках ОР  - 2026 для, на предмет выявления фактов поставки контрафактной продукции/продукции, не соответствуюшей требованиям ТЗ.
4. В рамках сопровождения СБ ИП "Техническое перевооружение. Установка фильтрации на УКиПС по выпуску товарного ТИБА"  провести проверку соответствия фактических объемов работ по монтажу узла налива ТЭА со стороны подрядной организации ООО «Томинвест", на предмет выявления возможных фактов МДиХ.
5. Выборочная проверка СМР, предусматривающих использование строительных лесов, на предмет выявления МД/НД со стороны КА в части возможного завышения объемов по их сборке.</t>
  </si>
  <si>
    <t>Провести СТ  по проверке качества проведения ВК критически важных позиций МТР, поступающих на ЦС Предприятия, для нужд ПМ.</t>
  </si>
  <si>
    <t>Бизнес-планирование 2027</t>
  </si>
  <si>
    <t>Сформированы данные для БК в рамках Бизнес-планирования на 2027 год</t>
  </si>
  <si>
    <t>Достижение экономического эффекта по программе "Эффективность +" за 9 месяцев 2026 г.:
1.Вывод 1 ед. погрузчика (7 тн.) с 01.04.2026г. из договора аренды погрузчиков с ООО "Форклифт"-Экономический эффект ОФ, тыс.руб-331,54
2.Перенос даты вывода 1 FTE из Складского Хозяйства  с 01.01.2026г. на 01.10.2026г.-Экономический эффект ОФ, тыс.руб-1 262,89
3.Снижение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t>
  </si>
  <si>
    <t>Сдача статистической отчетности</t>
  </si>
  <si>
    <t>Предоставление отчета по Форме 2-Цены приобретения в РОССТАТ  в соответствии с регламентированными сроками сдачи</t>
  </si>
  <si>
    <t>Своевременное внесение первичных документов в систему</t>
  </si>
  <si>
    <t>Документы внесены в систему в соответствии с установленными сроками, контроль и анализ наличия ПДЗ/ПКЗ</t>
  </si>
  <si>
    <t>Ведение реестра идей УМШ</t>
  </si>
  <si>
    <t>Регистрация и оценка идей УМШ, проведение ЭС УМШ</t>
  </si>
  <si>
    <t>Ведение документооборота</t>
  </si>
  <si>
    <t>Оформление договоров мат.ответственности на кладовщиков, должностных инструкций, приказов, распоряжений, листов ознакомления и прочих документов. Работа по списанию/перемещению/вводу в эксплуатацию основных средств</t>
  </si>
  <si>
    <t>Работа с Заказчиками по отклоненным заявкам</t>
  </si>
  <si>
    <t>Качественная подготовка отчета по отклоненным заявкам, осуществление контроля за текущей ситуацией (работа с Заказчиками, рассылки, проведение собраний для решения возникающих проблем)</t>
  </si>
  <si>
    <t>Курирование договоров УМТОП (СХ)</t>
  </si>
  <si>
    <t>Организационная работа с подрядчиками в рамках действующих договоров, оформление Договоров и ДС, оформление доверенностей, заявок на пропуска и ввоз/вывоз ТМЦ и т.п.</t>
  </si>
  <si>
    <t xml:space="preserve"> Анализ, контроль, отчетность по бюджету УМТОП (СХ)</t>
  </si>
  <si>
    <t>Своевременное и качественное ведение бюджета УМТОП (СХ), точная подготовка ежемесячных прогнозов, предоставление детальных комментариев и расшифровок.</t>
  </si>
  <si>
    <t>определение конфигурации экструдера (аналог ZSK177) для замены ZSK160</t>
  </si>
  <si>
    <t>определение конфигурации   и основных параметров экструдера (аналог ZSK177) для замены ZSK160 в рамках участия в  рабочей группе с ИПР и группой импортозамещения (ДК МПТ - Экструдеры)</t>
  </si>
  <si>
    <t>Проекты развития</t>
  </si>
  <si>
    <t>выполнение мероприятий по подготовке ТУ на подключение в рамках проекта Инноприн</t>
  </si>
  <si>
    <t>выданы уточнения по всем вопросам проектировщика по параметрам подключения к энергоресурсам/сетям подключения ТНХ. ТУ подготовлены к подписанию</t>
  </si>
  <si>
    <t>определение бюджета проекта по дозировке НСП на ПЭВД подготовка к НТС</t>
  </si>
  <si>
    <t>ТКП на проектирование получено, бюджет определен, подготовлен к вынесению на НТС ТНХ.</t>
  </si>
  <si>
    <t>инвентаризация сбросов производств по концентрации Меди в стоках</t>
  </si>
  <si>
    <t>выявлены основные причины появления меди с токах ТНХ</t>
  </si>
  <si>
    <t>подготовка к НТС материалов по проекту производства СВМПЭ на ТНХ</t>
  </si>
  <si>
    <t>материалы готовы не позднее 20.08.2026</t>
  </si>
  <si>
    <t>Проведение остановочного ремонта 2026 по ЭП</t>
  </si>
  <si>
    <t>Успешное выполнение работ остановочного ремонта:
1. Выполнение работ согласно графика 4-го уровня - 100 %
2. Выполнение мероприятий по останову/пуску установок ЭП с соблюдением графика ОР
3. Отсутствие нарушений требований безопасности при подготовке и проведении работ (качественное выполнения мероприятий НД)</t>
  </si>
  <si>
    <t>Эффект от реализации мероприятий менеджмента</t>
  </si>
  <si>
    <t>не менее 0.88 млн р.</t>
  </si>
  <si>
    <t>1. Кадровая защищенность (формирование пула вторых номеров на должности ИТР - Старший менеджер производства)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</si>
  <si>
    <t>1. Проведение ПАК персонала согласно утверждённого графика (исполнение плана до 95%)
2. Организация и проведение спецподготовки сменному персоналу в 3 кв.
3. Пересмотр вопросов для ЕКЭ - дополнение к существующим + 30%</t>
  </si>
  <si>
    <t>СУР.Доля рисков с оценкой качества 99% в РРП</t>
  </si>
  <si>
    <t>СУР. Проведение ритуалов РС согласно графика с оценкой качества ритуала</t>
  </si>
  <si>
    <t>Оценка качества ритуалов не ниже 2,8 балла</t>
  </si>
  <si>
    <t>СУР. Отсутствие рисков с просроченным статусом управления</t>
  </si>
  <si>
    <t>Ожидаемый результат
1. Отсутствуют риски в РРП на этапе оценки более 30 дней
2. Отсутствуют просроченные мероприятия по управлению рисками
3. Отсутствуют риски не направленные на верификацию
4. Отсутствуют риски с не утвержденные на ТК более 1 мес.</t>
  </si>
  <si>
    <t>СУР. Доля негативных событий, не выявленных как риск</t>
  </si>
  <si>
    <t>не менее 75 %</t>
  </si>
  <si>
    <t>Беклог по видам групп планирования.
2-4 Недели. Все отклонения зафиксированы в отчете за пред. неделю, делается анализ и разрабатываются корректирующие мероприятия по не допущению повышения беклога выше 4 нед.</t>
  </si>
  <si>
    <t>Проверка смет/калькуляции от Подрядчика на ремонт и доп.работы в рамках ППР, АН</t>
  </si>
  <si>
    <t>не более 3 раб. дня</t>
  </si>
  <si>
    <t>Подготовка смет (ЛСР) на 2026 и 2027 год (ППОФ-2027) в установ-ные сроки</t>
  </si>
  <si>
    <t>ЛСР подготовлены по всем поданным дефектным ведомостям, проектам в установленные сроки</t>
  </si>
  <si>
    <t>Подготовка документов в части ценообразования к тендерным процедурам и договорам</t>
  </si>
  <si>
    <t>Документы в части ценообразования (ц/о): 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</si>
  <si>
    <t>не более 2 раб. дня</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</si>
  <si>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ПУиСП/Производство углеводородов и сырья для пиролиза</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</si>
  <si>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t>
  </si>
  <si>
    <t>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Удовлетворённость &gt;90%, eNPS &gt;47%, mNPS &gt;58%
12. Срок получения допуска к самостоятельной работе не более 90 дней.</t>
  </si>
  <si>
    <t>1. Выполнение планов обучения и соблюдения графиков реализации обучающих программ не менее 95%.
2. ИК - 87,8%,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65%</t>
  </si>
  <si>
    <t>1. Выявлять и расследовать микротравмы по РП КИПиА, АСУТП
2. 10 записей ПАБ
3. Вовлеченность в чемпионат по безопасности персонала РП КИПиА, АСУТП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КИПиА, АСУТП не более 1%
6. Провёл  не менее одного совещания по ОТ в месяц в подразделении</t>
  </si>
  <si>
    <t>1. Не более 2-х повторных ремонта из-за некачественного ремонта (без УМД), не более 100ч/ч
2. 0 просроченных/невыполненных мероприятий по расследованиям REC
3. 0 ремонтов без паспортов на оборудование
4. 0 замечаний по незаполненной ремонтной документации после ремонта
5. Выполнен график поверки/проверки.</t>
  </si>
  <si>
    <t>Повышение эффективности КИПиА, АСУТП</t>
  </si>
  <si>
    <t>1. Состояние рабочих мест (5С) не менее 80% с оценкой выше 20 балов
2.  Сокращение потерь через проведения ФРД, ЧВР поля выше 57%, цеха выше 76%
3. Все мероприятия по минимизации потерь выполнены на 100%</t>
  </si>
  <si>
    <t>УМД в ЗО РП КИПиА, АСУТП = 0</t>
  </si>
  <si>
    <t>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КИПиА, АСУТП (производительность труда) (Соотношение плановой трудоемкости подтвержденных заказов (ремонтных работ, выполненных силами КИПиА, АСУТП ) к фактической доступности рабочего ремонтного персонала РП КИПиА, АСУТП не менее 90%
5. В фонде рабочего времени, который подаётся в СУОФ для графикования, учитываются в том числе ведущие инженера, инженера.</t>
  </si>
  <si>
    <t>Реализация НБ и СБ ИП, проектов по ЦИ АСУ ТП в ЗО.</t>
  </si>
  <si>
    <t>Своевременное и квалифицированное проведение экспертизы  документов по НБ и СБ ИП, проектов по ЦИ АСУ ТП в ЗО.</t>
  </si>
  <si>
    <t>Обеспечение реализации ЦИ по автоматизации узла обессоливания ПМ</t>
  </si>
  <si>
    <t>Своевременный пуск узла обессоливания после проведения ОР2026 с управлением от АСУТП Текон</t>
  </si>
  <si>
    <t>Отсутствие производственного травматизма в подразделении и предприятии</t>
  </si>
  <si>
    <t>1. Отсутствие фактов травматизма. Целевое значение =0
2. Проведение ПАБ на производствах. Не менее 2х за квартал
3.  Рассмотрение  ПОР на выполнение работ подрядчиками в ЗО. 100%</t>
  </si>
  <si>
    <t>Мониторинг технического состояния оборудования в ЗО. Своевременное реагирование</t>
  </si>
  <si>
    <t>1. Проведение плановых ЛО  по производствам. 100% в соответствии с графиком
2. Проверка качества выполненных ремонтов. 100% от графика
3. Ежедневный мониторинг  выявленных дефектов</t>
  </si>
  <si>
    <t>1. Показатель УМД / EBITDA в ЗО не более 0.015%.
2. Расследование событий УМД с разработкой рекомендаций в ЗО - 100%.
3. Анализ выученных уроков по компании (100% в ЗО).
4. Своевременность выполненных рекомендаций в ЗО - 100%</t>
  </si>
  <si>
    <t>Обеспечение своевременного выполнения обязательных работ в ОР2026 в ЗО</t>
  </si>
  <si>
    <t>Своевременное и качественное выполнение  обязательных для обеспечения надежности работ по СИ и СА.</t>
  </si>
  <si>
    <t>Мастер по контрольно-измерительным приборам и автоматике</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</si>
  <si>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по техническому обслуживанию и ремонту КИПиА/Группа по обслуживанию и ремонту приборов физико-химических измерений</t>
  </si>
  <si>
    <t>ОР 2026</t>
  </si>
  <si>
    <t>1. До начала ОР у всего персонала участка 0 просроченных допусков.
2. Подготовлены мастерские КИПиА к проведению ОР 2026(определены зоны для размещения оборудования КИПиА, подготовлены рабочие места для подготовки к калибровке/калибровке приборов КИПиА).
3.Персонал КИПиА укомплектован СИЗ,исправным сертефицированным инструментом, диагностическим оборудованием, МТР.
4. Командированный персонал, персонал ГПХ допущен к работе. (Проверены допуски/ проведены инструктажи/ укомплектован СИЗ, инструментом)
5. Выполнение физического объема работ по ДВ на 100% при условии своевременной поставки МТР, выдачи оборудования в ремонт.
6. 100% выполнение работ, влияющих на соблюдение межремонтного интервала в з.о.
7. Все работы в SAP закрыты, использованные материалы списаны до начала пусковых работ  в з.о.
8. Вся документация (ИД, ЭД) заполнена до пуска оборудования
9. ОР проведён согласно амбициозных сроков (ПМ 25 дней, ПЭВД 21 день) в з.о.
10. Не зафиксировано происшествий по ОТ и ПБ и влияющих на ИА  в з.о.
11. Дополнительный и внеплановый объем выполнен без влияния на сроки ОР в з.о.
11. Выполнение объема работ от замороженного  92% &lt;Х&lt;100 %  в з.о.
12. В течение 20 дней после ОР нет отказов от некачественных ремонтов в ЗО.</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</si>
  <si>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по техническому обслуживанию и ремонту КИПиА</t>
  </si>
  <si>
    <t>Развитие компетенций</t>
  </si>
  <si>
    <t>Успешное прохождение обучения на начальника метрологической лаборатории согласно разработанному ИПР.</t>
  </si>
  <si>
    <t>Содержание рабочих мест (включая склады) по системе 5С, Средний бал по итогу месяца не ниже 21 баллов согласно чек-листа.</t>
  </si>
  <si>
    <t>1. 0 повторных ремонтных воздействий по заявкам SAP
2. Выполнение мероприятий по минимизации потерь для  достижения ЧВР (ФРД) смены/бригады - поле 62%, лаборатория 72%
3.Организация и контроль качества заполнения паспортов на оборудования подчиненным персоналом с подведением итогов на еженедельной основе.
4. 0 отказов оборудования по вине работника
5. Не более 1-го повторного ремонта из-за некачественного ремонта (без УМД)
6. Ежемесячные линейные обходы на проверку замечаний по качеству проведения ТОиР оборудования в ЗО
7. 0 замечаний по незаполненной ремонтной документации после проведения работ
8. Ежемесячный контроль качества и полноты проведения ТО. Предоставление 3 отчета за квартал по ФХИ и ОПС.</t>
  </si>
  <si>
    <t>1. Внесение записи в паспорт оборудования после проведения ремонтов / оформление исполнительной документации 100%
2.Своевременное подтверждение исполнения ТОиР в SAP
(закрытие заказ-нарядов) - 97-100% заказов подтверждены не позже 2 рабочих дней
3. Фактическая загрузка персонала 95%
4. Выполнение дневного плана работ  95%
5. Выполнение графика поверки/калибровки 95%.</t>
  </si>
  <si>
    <t>Допуск к работе персонала.</t>
  </si>
  <si>
    <t>1. Прохождение персоналом ежедневных медосмотров ЭСМО 100%
2. Проверка СИЗ соответствующих норме/погоде.
3. Исправный и соблюдение сроков по проверке инструмента.
4. Срок получения допуска к самостоятельной работе не более 90 дней</t>
  </si>
  <si>
    <t>1. Вовлечение персонала в мотивационную программу "Чемпионат по безопасности по ОТ, ПБ и Э" 100%
2. Ноль травм с потерей трудоспособности. LTIF = 0
3. Отсутствие аварий, инцидентов, ПОП по причине некачественного ремонта
4.Еженедельное проведение ПАБ и выявление ОД/ОУ, не менее 10 записей в месяц
5. Отсутствуют просроченные id-- допуска в матрице положенности</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</si>
  <si>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по техническому обслуживанию и ремонту КИПиА/Группа по техническому обслуживанию и ремонту  КИПиА Производств: полиэтилена, мономеров, углеводородов и сырья для пиролиза</t>
  </si>
  <si>
    <t>1. До начала ОР у всего персонала участка 0 просроченных допусков.
2. Подготовлены мастерские КИПиА к проведению ОР 2026(определены зоны для размещения оборудования КИПиА, подготовлены рабочие места для подготовки к калибровке/калибровке приборов КИПиА).
3.Персонал КИПиА укомплектован СИЗ,исправным сертефицированным инструментом, диагностическим оборудованием, МТР.
4. Командированный персонал, персонал ГПХ допущен к работе. (Проверены допуски/ проведены инструктажи/ укомплектован СИЗ, инструментом)
5. Выполнение физического объема работ по ДВ на 100% при условии своевременной поставки МТР, выдачи оборудования в ремонт.
6. 100% выполнение работ, влияющих на соблюдение межремонтного интервала в з.о.
7. Все работы в SAP закрыты, использованные материалы списаны до начала пусковых работ  в з.о.
8. Вся документация (ИД, ЭД) заполнена до пуска оборудования
9. ОР проведён согласно амбициозных сроков (ПМ 25 дней, ПЭВД 21 день) в з.о.
10. Не зафиксировано происшествий по ОТ и ПБ и влияющих на ИА  в з.о.
11. Дополнительный и внеплановый объем выполнен без влияния на сроки ОР в з.о.
11.Выполнение объема работ от замороженного  92% &lt;Х&lt;100 %  в з.о.</t>
  </si>
  <si>
    <t>1. 0 повторных ремонтных воздействий по заявкам SAP
2. Выполнение мероприятий по минимизации потерь для  достижения ЧВР (ФРД) смены/бригады - поле 62%, лаборатория 72%
3.Организация и контроль качества заполнения паспортов на оборудования подчиненным персоналом с подведением итогов на еженедельной основе.
4. 0 отказов оборудования по вине работника
5. Не более 1-го повторного ремонта из-за некачественного ремонта (без УМД)
6. Ежемесячные линейные обходы на проверку замечаний по качеству проведения ТОиР оборудования в ЗО
7. 0 замечаний по незаполненной ремонтной документации после проведения работ
8. Ежемесячный контроль качества и полноты проведения ТО. Предоставление 3 отчета за квартал по КИПиА ПЭ, ПМ и ПУиСП.</t>
  </si>
  <si>
    <t>Ведущий инженер по контрольно-измерительным приборам и автоматике</t>
  </si>
  <si>
    <t>1. До начала 0 просроченных допусков.
2. Подготовлены мастерские  к проведению ОР 2026(определены зоны для размещения оборудования КИПиА, подготовлены рабочие места для подготовки к поверке/калибровке приборов ФХА).
3. Выполнение физического объема работ по ДВ на 100% в ЗО при условии своевременной поставки МТР, выдачи оборудования в ремонт.
4. 100% выполнение работ, влияющих на соблюдение межремонтного интервала в з.о.
5. Все работы в SAP закрыты, использованные материалы списаны до начала пусковых работ  в з.о.
6. Вся документация (ИД, ЭД) заполнена до пуска оборудования
7. Не зафиксировано происшествий по ОТ и ПБ и влияющих на ИА  в з.о.
8. В течение 20 дней после ОР нет отказов от некачественных ремонтов в ЗО.</t>
  </si>
  <si>
    <t>Содержание рабочих мест по системе 5С, Средний бал по кварталу не ниже 21 баллов согласно чек-листа.</t>
  </si>
  <si>
    <t>1. 0 травм с потерей трудоспособности. LTIF = 0
2. Индекс аварийности (ИА1, ИА2) = 0
3. Отсутствуют просроченные id-- допуска в матрице положенности
4. Проведение ПАБ и выявление ОД/ОУ. Не менее 10 записей в Чемпионате за месяц
5. Отсутствие аварий, инцидентов, ПОП по причине некачественного ремонта</t>
  </si>
  <si>
    <t>1. Маркировка СИ и СА - Приведение в соответствие согласно СТП маркировки оборудования относящееся к СБ и ПАЗ по месту его установки на производстве.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Ежемесячные линейные обходы на проверку замечаний по качеству проведения ТОиР оборудования в ЗО
5. 0 замечаний по незаполненной ремонтной документации после проведения работ
6. Ежемесячный контроль качества и полноты проведения ТО. Предоставить 3 отчета за квартал (ПУиСП).</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</si>
  <si>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  Отсутствие долгов по производству. В случае невозможности подготовить оборудование, сообщить руководителю для организации переноса по срокам.
6. Выполнение графика Поверки/Калибровки 95%
7. Составить актуальный перечень оборудования ФХИ по производствам ПП и ПУиСП
8. Выполнение ведомости дефектов по ОР в ЗО не менее 95%</t>
  </si>
  <si>
    <t>1. До начала ОР у всего персонала участка 0 просроченных допусков.
2. Проведена спецподготовка за 2й квартал оперативно ремонтному персоналу.
3. Подготовлены мастерские КИПиА к проведению ОР 2026(определены зоны для размещения оборудования КИПиА, подготовлены рабочие места для подготовки к калибровке/калибровке приборов КИПиА).
4.Персонал КИПиА укомплектован СИЗ,исправным сертефицированным инструментом, диагностическим оборудованием, МТР.
5. Командированный персонал, персонал ГПХ допущен к работе. (Проверены допуски/ проведены инструктажи/ укомплектован СИЗ, инструментом)
6. Выполнение физического объема работ по ДВ на 100% при условии своевременной поставки МТР, выдачи оборудования в ремонт.
7. 100% выполнение работ, влияющих на соблюдение межремонтного интервала в з.о.
8. Все работы в SAP закрыты, использованные материалы списаны до начала пусковых работ  в з.о.
9. Вся документация (ИД, ЭД) заполнена до пуска оборудования
10.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t>
  </si>
  <si>
    <t>Приживаемость ПСС</t>
  </si>
  <si>
    <t>1. Доля актуализации карт СОП относительно графика 100%
2.  % вторых номеров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Приживаемость сотрудников до 1 года, МС - &lt;10%
10. Вовлечённость в Пульс опрос &gt;95% ; Лояльность &gt;90%, Удовлетворённость &gt;90%, eNPS &gt;47%, mNPS &gt;58%
11. Срок получения допуска к самостоятельной работе не более 90 дней.</t>
  </si>
  <si>
    <t>Повышение эффективности участка КИПиА</t>
  </si>
  <si>
    <t>1. Содержание рабочих мест по 5С, средняя результативность оценки рабочих мест по чек листам не менее 20 баллов.
2.  Сокращение потерь через проведения ФРД, ЧВР поля выше 63%, цеха выше 76%
3. Составлен ПОУ  участку КИПиА, 0 не выполненных мероприятий</t>
  </si>
  <si>
    <t>1. Выполнение планов обучения и соблюдения графиков реализации обучающих программ не менее 95%.
2. ИК: КИПиА ПП (5 шт. ед)100%
             КИПиА ППЭ, ПМ, ПУиСП ЭП (8 шт. ед)93%
             ТОиР ФХИ (3 шт. ед)100%
3. Адаптация вновь устроенного персонала 100% (0 уволенных по собственному желанию)
4. Кадровая защищённость по ключевым позициям (гр. 13-15) - более 65%
5. Соблюдение график отпусков на 2026г. при условии отсутствия персонала не более 10%, в том числе одновременно не более 1 чел в сменах/бригадах.</t>
  </si>
  <si>
    <t>1. Не более 2-х повторных ремонта из-за некачественного ремонта (без УМД)
2. 0 отклонений по графику пересмотра и формирования карт СОП
3. 0 просроченных/невыполненных мероприятий по расследованиям REC
4. 0 ремонтов без паспортов на оборудование
5. 0 замечаний по незаполненной ремонтной документации после ремонта</t>
  </si>
  <si>
    <t>1. 0 травм с потерей трудоспособности по участку КИПиА
2.  Проведение ПАБ и выявление ОД/ОУ -10шт
3. Вовлечение персонала рабочих профессий в мотивационную программу
 "Чемпионат по безопасности по ОТ, ПБ и Э" 100%, записи в журнал Иди и смотри.
4. Вовлеченность ИТР в проведение ПАБ 100%
5. Отсутствуют просроченные id - допуска в матрице положенности по участку не более 1%
6. 0 замечаний по полноте наполнения и качества мероприятий при оформлении Н/Д.
7. Провести 1 раз в месяц совещание по ОТ согласно чек-листа в подразделении с оформлением протокола.</t>
  </si>
  <si>
    <t>1. Фактическая загрузка персонала не менее 95 %
2. Выполнение недельного плана работ не менее 90 %
3. Выполнение дневного плана работ не менее 90 %
4. Точность предоставления  данных по мощности участка на еженедельной основе не менее 97%
5. Выработка РП (производительность труда) (Соотношение плановой трудоемкости подтвержденных заказов (ремонтных работ, выполненных силами РП ) к фактической доступности рабочего ремонтного персонала РП. Не менее 80%
7. Выполнение дорожной карты ИС 2.0 на 100: согласно сроков</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</si>
  <si>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по техническому обслуживанию и ремонту КИПиА/Группа по техническому обслуживанию и ремонту КИПиА Производства полипропилена</t>
  </si>
  <si>
    <t>1. До начала 0 просроченных допусков.
2. Подготовлены мастерские  к проведению ОР 2026(определены зоны для размещения оборудования КИПиА, подготовлены рабочие места для подготовки к поверке/калибровке приборов КИПиА).
3. Выполнение физического объема работ по ДВ на 100% в ЗО при условии своевременной поставки МТР, выдачи оборудования в ремонт.
4. 100% выполнение работ, влияющих на соблюдение межремонтного интервала в з.о.
5. Все работы в SAP закрыты, использованные материалы списаны до начала пусковых работ  в з.о.
6. Вся документация (ИД, ЭД) заполнена до пуска оборудования
7. Не зафиксировано происшествий по ОТ и ПБ и влияющих на ИА  в з.о.
8. В течение 20 дней после ОР нет отказов от некачественных ремонтов в ЗО.</t>
  </si>
  <si>
    <t>1. 0 травм с потерей трудоспособности.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допуска в матрице положенности</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</si>
  <si>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  Отсутствие долгов по производству. В случае невозможности подготовить оборудование, сообщить руководителю для организации переноса по срокам.
6. Выполнение графика Поверки/Калибровки 95%</t>
  </si>
  <si>
    <t>Содержание рабочих мест (включая склады) по системе 5С, Средний бал по кварталу не ниже 21 баллов согласно чек-листа.</t>
  </si>
  <si>
    <t>1. Маркировка СИ и СА - Приведение в соответствие согласно СТП маркировки оборудования относящееся к СБ и ПАЗ по месту его установки на производстве ПП.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0 замечаний по незаполненной документации после выполнения работ по ТОиР
5. Ежемесячный контроль качества и полноты проведения ТО. Предоставить 3 отчета за квартал (ПП)..</t>
  </si>
  <si>
    <t>1. До начала 0 просроченных допусков.
2. Подготовлены мастерские КИПиА по RT к проведению ОР 2026(определены зоны для размещения оборудования КИПиА, подготовлены рабочие места для подготовки к калибровке/калибровке приборов КИПиА).
3. Выполнение физического объема работ по ДВ на 100% в ЗО при условии своевременной поставки МТР, выдачи оборудования в ремонт.
4. 100% выполнение работ, влияющих на соблюдение межремонтного интервала в з.о.
5. Все работы в SAP закрыты, использованные материалы списаны до начала пусковых работ  в з.о.
6. Вся документация (ИД, ЭД) заполнена до пуска оборудования
7. Не зафиксировано происшествий по ОТ и ПБ и влияющих на ИА  в з.о.</t>
  </si>
  <si>
    <t>Содержание рабочих мест по системе 5С (включая склады), Средний бал по кварталу не ниже 21 баллов согласно чек-листа.</t>
  </si>
  <si>
    <t>1. 0 травм с потерей трудоспособности.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допуска в матрице положенности
6. Провести 1 раз в месяц совещание по ОТ согласно чек-листа по КИПиА с оформлением протокола.</t>
  </si>
  <si>
    <t>1. Выполнение недельного плана работ не менее 95 %
2. Выполнение дневного плана работ не менее 95 %
3. Проведение оценки рисков, разработка и выполнение мероприятий по снижению рисков перед началом и во время работы.
4. Контроль выполнения графика ППР в ЗО.
5. Выполнение графика Поверки/Калибровки 95%
6. Выполнение ведомости дефектов по ОР не менее 95%</t>
  </si>
  <si>
    <t>1. Не более 1 повторного ремонта из-за некачественного ремонта (без УМД)
2. Внесение записи в паспорт оборудования после проведения ремонтов 100%. 0 замечаний по ним.
3. 0 отказов оборудования по вине работника</t>
  </si>
  <si>
    <t>Документация</t>
  </si>
  <si>
    <t>1. Проверка наличия и актуальности заполнения паспортов в группе RT.
2. Контроль актуальности записей в обязательных журналах по КИПиА + личные книжки</t>
  </si>
  <si>
    <t>1. Маркировка СИ и СА - Приведение в соответствие согласно СТП маркировки оборудования относящееся к СБ и ПАЗ по месту его установки на производстве.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Ежемесячные линейные обходы на проверку замечаний по качеству проведения ТОиР оборудования в ЗО
5. Ежемесячный контроль качества и полноты проведения ТО. Предоставить 3 отчета за квартал (ПМ).
6. 0 замечаний по незаполненной ремонтной документации после проведения работ</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</si>
  <si>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  Отсутствие долгов по производству. В случае невозможности подготовить оборудование, сообщить руководителю для организации переноса по срокам.
6. Выполнение графика Поверки/Калибровки 95%
7. Составить актуальный перечень оборудования ФХИ по производствам ПМ</t>
  </si>
  <si>
    <t>Приживаемость ПСС не менее 95%</t>
  </si>
  <si>
    <t>1. Доля актуализации карт СОП относительно графика 100%
2.  % руководителей, ИО прошедших управленческие мастерские СРР - &gt;80%
3. % руководителей, вовлеченных в управленческое наставничество, развивающих сотрудников (не менее 2  на каждого руководителя )
4.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5. Приживаемость - Адаптация, развитие, УЭ, Вовлечённость - 100%
6. Оценка качества проведения Час по ОТ ПБ Э - не ниже 90%
7. Приживаемость сотрудников до 1 года, МС - &lt;10%
8. Вовлечённость в Пульс опрос &gt;95% ; Лояльность &gt;90%, Удовлетворённость &gt;90%, eNPS &gt;47%, mNPS &gt;58%
10. Срок получения допуска к самостоятельной работе не более 90 дней.</t>
  </si>
  <si>
    <t>Повышение эффективности МЛ</t>
  </si>
  <si>
    <t>1. Содержание рабочих мест по 5С, средняя результативность оценки рабочих мест по чек листам не менее 20 баллов.
2. Составлен ПОУ, 0 не выполненных мероприятий</t>
  </si>
  <si>
    <t>1. Выполнение планов обучения и соблюдения графиков реализации обучающих программ не менее 95%.
2. Адаптация вновь устроенного персонала 100% (0 уволенных по собственному желанию)
3. Кадровая защищённость по ключевым позициям (гр. 13-15) - более 65%</t>
  </si>
  <si>
    <t>1. 0 травм с потерей трудоспособности по МЛ
2. 10 записей ПАБ
3. Вовлеченность в чемпионат по безопасности МЛ - 100%
4. Вовлеченность ИТР в проведение ПАБ 100%
5. Отсутствуют просроченные id - допуска в матрице положенности по МЛ не более 1%
6. Провести 1 раз в месяц совещание по ОТ в подразделении</t>
  </si>
  <si>
    <t>Успешное проведение ОР 2026</t>
  </si>
  <si>
    <t>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Паспорта)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
11. Выполнение на 100% ДВ ОР 2026 в ЗО МЛ
12. Выполнение графика поверки 100%, калибровки 95% ОР 2026</t>
  </si>
  <si>
    <t>1. Выполнение графиков поверки(калибровки) за квартал не менее 95 %
2. Организация и проведение внутреннего контроля качества выполнения работ за квартал 6 шт.
3. Проведение метрологического надзора за квартал 2 шт.
4. Фактическая загрузка персонала не менее 95 %,
5. Выработка по МЛ (производительность труда) (Соотношение плановой трудоемкости подтвержденных заказов к фактической доступности персонала) не менее 80%
6. Подтверждение компетентности лаборатории по поверке</t>
  </si>
  <si>
    <t>1. 0 повторных ремонтных воздействий по заявкам SAP
2. Выполнение мероприятий по минимизации потерь для  достижения ЧВР (ФРД) смены/бригады - поле 62%, лаборатория 72%
3.Организация и контроль качества заполнения паспортов на оборудования подчиненным персоналом с подведением итогов на еженедельной основе.
4. 0 отказов оборудования по вине работника
5. Не более 1-го повторного ремонта из-за некачественного ремонта (без УМД)
6. Ежемесячные линейные обходы на проверку замечаний по качеству проведения ТОиР оборудования в ЗО
7. 0 замечаний по незаполненной ремонтной документации после проведения работ
8. Ежемесячный контроль качества и полноты проведения ТО. Предоставление 3 отчета за квартал по КИПиА ПП</t>
  </si>
  <si>
    <t>Контроль допусков персонала РП КИПиА АСУТП</t>
  </si>
  <si>
    <t>Контролировать допуски персонала РП КИПиА АСУТП.  Предоставлять руководителю выгрузку допусков раз в неделю. С комментариями по каждому красному и желтому статусу.</t>
  </si>
  <si>
    <t>Повышение эффективности Ремонтное производство по ТОиР КИПиА АСУ ТП</t>
  </si>
  <si>
    <t>1. Контролировать, подачу заявок по личному составу.
2. Организовать соблюдение норм переработки и учет рабочего времени персоналом Ремонтное производство по ТОиР КИПиА АСУ ТП .
3. Организовать и обеспечить проведение заседаний по проверке Норм и Правил технической эксплуатации электроустановок потребителей у электротехнического персонала РП КИПиА АСУТП.
4.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5.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</si>
  <si>
    <t>Отсутствие несчастных случаев связанных с производством в РП КИПиА АСУТП</t>
  </si>
  <si>
    <t>не более 0 0</t>
  </si>
  <si>
    <t>Качество данных в SAP</t>
  </si>
  <si>
    <t>1.  Проведено списанию МТР (за исключением ТМЦ по заказам ТОРО),
2.  Подача потребности в SAP по дооснащению РП КИПиА АСУТП + КЛН</t>
  </si>
  <si>
    <t>1. LTIF = 0
2. Создание  записи ПАБ.
3. Вовлеченность в чемпионат по безопасности.</t>
  </si>
  <si>
    <t>1. Выполнение графиков поверки(калибровки) за год не менее 95 %
2. Организация и выполнение внутреннего контроля качества поверочных и калибровочных работ, согласно утвержденного графика на 2026 год
3. Безошибочное внесение сведений о поверке в Аршин.
4. Проведение метрологической экспертизы.
5. Подтверждение компетентности по поверке СИ.</t>
  </si>
  <si>
    <t>1. Маркировка СИ и СА - Приведение в соответствие согласно СТП маркировки оборудования относящееся к СБ и ПАЗ по месту его установки на производстве ПМ.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0 замечаний по незаполненной документации после выполнения работ по ТОиР
5. Ежемесячный контроль качества и полноты проведения ТО. Предоставить 3 отчета за квартал (ПМ)</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</si>
  <si>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(ПМ ) -  Отсутствие долгов по производству. В случае невозможности подготовить оборудование, сообщить руководителю для организации переноса по срокам.</t>
  </si>
  <si>
    <t>1. Маркировка СИ и СА - Приведение в соответствие согласно СТП маркировки оборудования относящееся к СБ и ПАЗ по месту его установки на производстве ПУиСП (ИХЭ, ССГ) +КЦ.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0 замечаний по незаполненной документации после выполнения работ по ТОиР
5. Ежемесячный контроль качества и полноты проведения ТО. Предоставить 3 отчета за квартал.</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</si>
  <si>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(КЦ и ПУиСП) -  Отсутствие долгов по производствам. В случае невозможности подготовить оборудование, сообщить руководителю для организации переноса по срокам.
6. Выполнение графика Поверки/Калибровки 95%</t>
  </si>
  <si>
    <t>1. 0 травм с потерей трудоспособности.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допуска в матрице положенности
6. 0 замечаний по полноте наполнения и качества мероприятий при оформлении Н/Д.</t>
  </si>
  <si>
    <t>Инженер по автоматизированным системам управления технологическими процессами</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</si>
  <si>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АСУ ТП/Дежурная группа</t>
  </si>
  <si>
    <t>1. 5С, не ниже 20% по чек листу
2. Участие в Часах по ОТ ПБ Э - не ниже 100%
3. Прохождение пульс опроса - 100%</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</si>
  <si>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АСУ ТП</t>
  </si>
  <si>
    <t>Повышение квалификации</t>
  </si>
  <si>
    <t>1. Прохождение в срок вебинаров и обучений (0 не пройденных вебинара/обучений)</t>
  </si>
  <si>
    <t>Выполнение дефектной ведомости ОР 2026</t>
  </si>
  <si>
    <t>Успешное выполнение остановочного ремонта 2026 года в части АСУ ТП
Оценка выполнения в соответствии с чек-листом - не менее 95%</t>
  </si>
  <si>
    <t>Выполнение заявок в SAP</t>
  </si>
  <si>
    <t>1. Качественное выполнение оперативных заказов (Не более 1 повторного заказа по причине не качественного "ремонта").
2. Своевременное выполнение заказов согласно матрице критичности ( 0 просроченных заказов).</t>
  </si>
  <si>
    <t>УМД Отсутствие некорректных/ошибочных действий</t>
  </si>
  <si>
    <t>1. Не более 2-х повторных заказа из-за некачественного ремонта (без УМД)
2. УМД в ЗО участка АСУТП = 0</t>
  </si>
  <si>
    <t>1. 10 записей в месяц в журнал ОТиПБ
2. Вовлеченность в чемпионат по безопасности - 100%
3. Вовлеченность в проведение ПАБ 100% (Не менее 1 ПАБ в месяц)
4. 0 замечаний по полноте наполнения и качества мероприятий при оформлении Н/Д.
5. LTIF (В зоне ответственности) = 0</t>
  </si>
  <si>
    <t>Диагностика действующих систем АСУ ТП</t>
  </si>
  <si>
    <t>1. Ежедневные обходы оборудования АСУ ТП с формированием отчета (0 просроченных отчетов)
2. Еженедельный "усиленный" обход с составлением отчета (Не менее 1 в месяц)
2. Выполнение мероприятий после анализа отчета "Обход АСУ ТП" от ведущих инженеров. (0 просроченных мероприятий)
3. Контроль параметров окружающей среды в помещениях АСУ ТП
4. Своевременная передачи информации об инцидентах по смене и внесение в оперативный журнал. (0 Просроченных записей в журнале)</t>
  </si>
  <si>
    <t>1. До начала ОР отсутствие просроченных допусков.
2. Проведена спецподготовка за 2й квартал оперативно ремонтному персоналу.
3. Выполнение физического объема работ по ДВ на 100% в ЗО при условии своевременной поставки МТР, выдачи оборудования в ремонт.
4. 100% выполнение работ в ЗО, влияющих на соблюдение межремонтного интервала в з.о.
5. Вся документация (ИД, ЭД) заполнена до пуска оборудования
6. Не зафиксировано происшествий по ОТ и ПБ и влияющих на ИА  в з.о.</t>
  </si>
  <si>
    <t>1. ИК: КИПиА ПП (5 шт. ед)100%
             КИПиА ППЭ, ПМ, ПУиСП ЭП (8 шт. ед)%
             ТОиР ФХИ (3 шт. ед)70%
2. Контроль выполнения планов обучения и соблюдения графиков реализации обучающих программ 95-97%
3.  Проведение теоретического и практического обучения согласно тем Матрицы компетенций персоналу РП КИПиА АСУТП ПЭ согласно графика.
4. Доработка рабочих тетрадей по инженерному стандарту (с указанием сравнений того или иного типа оборудования. Их плюсы и минусы.
5. Доработка рабочих тетрадей в рамках ИС по возникшим вопросам в период аттестаций.</t>
  </si>
  <si>
    <t>1. Замеры ЧВР (ФРД) - не менее 2 замеров в месяц,  анализ потерь, разработка мероприятий на их снижение.
2. Выполнение дорожной карты ИС 2.0 на 100: согласно сроков</t>
  </si>
  <si>
    <t>1. Доля актуализации карт СОП относительно графика 100%
2. Контроль качества заполнения паспортов на оборудование мастерами
3. Не более 1 повторного ремонта в ЗО КИПиА
4. Ноль повторных ремонтов по причине повторяющихся ошибочных действий персонала (с учетом ОР).</t>
  </si>
  <si>
    <t>1. Проведение ПАБ и выявление ОД/ОУ. Не менее 10 записей в Чемпионате за месяц
2. Ноль травм с потерей трудоспособности. LTIF = 0
3. Отсутствие аварий, инцидентов, ПОП по причине некачественного ремонта в ЗО
4. Отсутствуют просроченные id - допуска в матрице положенности по участку не более 1%
5. 0 замечаний по полноте наполнения и качества мероприятий при оформлении Н/Д.
6. Провести не менее 3 совещаний по ОТ согласно чек-листа по КИПиА с оформлением протокола.</t>
  </si>
  <si>
    <t>1. Не более 1 повторного ремонта из-за некачественного ремонта (без УМД)
2. Внесение записи в паспорт оборудования после проведения ремонтов 100%. 0 замечаний по ним.
3. 0 отказов оборудования по вине работника
4. Ежемесячный контроль качества и полноты проведения ТО. Предоставить 3 отчета за квартал.</t>
  </si>
  <si>
    <t>1. Выполнение дневного плана не менее 95 %
2. Выполнение недельного плана работ не менее 95 %
3. Маркировка СИ и СА - Приведение в соответствие согласно СТП маркировки оборудования относящееся к СБ и ПАЗ по месту его установки на производстве ПП. Устранение замечаний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  Отсутствие долгов по производству. В случае невозможности подготовить оборудование, сообщить руководителю для организации переноса по срокам.
6. Выполнение графика Поверки/Калибровки 95%</t>
  </si>
  <si>
    <t>1. Проверка наличия и актуальности заполнения паспортов на пр-ве ПП в ЗО.
2. Наличие актуальной документации по оборудованию КИПиА.
3. Наличие подписанных схем в шкафах КИПиА в ЗО.</t>
  </si>
  <si>
    <t>Подготовка пакета документов, для БП 2027, по мероприятиям ЦИ АСУ ТП</t>
  </si>
  <si>
    <t>Согласование подготовленной карточки ЦИ АСУ ТП с согласующими, согласно матрицы согласующих. Включение бюджета ЦИ АСУ ТП в бизнес-план 2027</t>
  </si>
  <si>
    <t>Подготовка пакета документов, для БП 2027, по мероприятиям ЦИ АСПЗ</t>
  </si>
  <si>
    <t>Согласование подготовленной карточки ЦИ АСПЗ с согласующими, согласно матрицы согласующих. Включение бюджета ЦИ АСПЗ в бизнес-план 2027</t>
  </si>
  <si>
    <t>Коэффициент частоты травм с временной потерей трудоспособности не более 0 ед.</t>
  </si>
  <si>
    <t>не более 0 ед.</t>
  </si>
  <si>
    <t>Выполнение объемов проекта АСУ ТП узла обессоливания, привязанных к остановочному ремонту 2026 года без влияния на изменение и увеличение сроков ОР2026 и в количестве - не менее 95%</t>
  </si>
  <si>
    <t xml:space="preserve"> Работа с командой проектного офиса</t>
  </si>
  <si>
    <t>1. Достигнуты запланированные прогрессы проектов за счет оптимизации процессов в команде Проектного офиса
2. Отсутствие снижения уровня вовлеченности и лояльности сотрудников проектного офиса
3. Отсутствие утечки кадров, стабильность коллектива.</t>
  </si>
  <si>
    <t>Нет отрицательного влияния на сроки проведения ОР.
В течение 20 дней после ОР нет отказов от некачественных ремонтов в ЗО.</t>
  </si>
  <si>
    <t>1. До начала ОР у всего персонала участка 0 просроченных допусков.
2. Проведена спецподготовка за 2й квартал оперативно ремонтному персоналу.
3. Подготовлены склады АСУ ТП к проведению ОР 2026 (Подготовлены фильтра, материла  для проведения ТО, материалы для устранения замечаний и выполнения рекомендаций в ОР ).
4.Персонал Участка АСУ ТП укомплектован СИЗ, исправным сертифицированным инструментом, диагностическим оборудованием, МТР.
5. Выполнение физического объема работ по ДВ на 100% при условии своевременной поставки МТР, выдачи оборудования в ремонт.
6. 100% выполнение работ, влияющих на соблюдение межремонтного интервала в з.о.
7. Все работы в SAP закрыты, использованные материалы списаны до начала пусковых работ  в з.о.
8. Вся документация (ИД, ЭД) заполнена до пуска оборудования
9. ОР проведён согласно амбициозных сроков (ПМ 25 дней, ПЭВД 21 день) в з.о.
10. Не зафиксировано происшествий по ОТ и ПБ и влияющих на ИА  в з.о.
11. Дополнительный и внеплановый объем выполнен без влияния на сроки ОР в з.о.
12. Выполнение объема работ от замороженного  92% &lt;Х&lt;100 %  в з.о.
13.  Командированный персонал, персонал ГПХ допущен к работе. (Проверены допуски/ проведены инструктажи/ укомплектован СИЗ, инструментом)</t>
  </si>
  <si>
    <t>1. Доля актуализации карт СОП относительно графика 100%
2.  % вторых номеров прошедших управленческие мастерские СРР - &gt;80%
3.  Ведение досок ВУЭ согласно утверждённому формату - 0 замечаний по ведению досок ВУЭ
4. Проведена оценка всех рабочих мест по приведению к 5С, не ниже 20% по чек листу
5. % руководителей, вовлеченных в управленческое наставничество, развивающих сотрудников (не менее 2  на каждого руководителя )
6.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7. Приживаемость - Адаптация, развитие, УЭ, Вовлечённость - 100%
8. Приживаемость сотрудников до 1 года, МС - &lt;10%
9. Вовлечённость в Пульс опрос &gt;95% ; Лояльность &gt;90%, Удовлетворённость &gt;90%, eNPS &gt;47%, mNPS &gt;58%
10. Срок получения допуска к самостоятельной работе не более 90 дней.</t>
  </si>
  <si>
    <t>1. Выполнение планов обучения и соблюдения графиков реализации обучающих программ не менее 95%.
2. ИК Участка АСУ ТП 95%
3. Адаптация вновь устроенного персонала 100% (0 уволенных по собственному желанию)
4. Кадровая защищённость по ключевым позициям (гр. 13-15) - более 65%
5. Соблюдение график отпусков на 2026г. при условии отсутствия персонала не более 10%, в том числе одновременно не более 1 чел в сменах/бригадах.</t>
  </si>
  <si>
    <t>1. Фактическая загрузка персонала не менее 95 %,
2. Выполнение дневного плана работ в среднем за месяц не менее 90 %
3. Выполнение недельного плана 95%
4. Выработка участка АСУТП (производительность труда) (Соотношение плановой трудоемкости подтвержденных заказов (ремонтных работ, выполненных силами участка АСУТП ) к фактической доступности ремонтного персонала  не менее 90%.
5. Стоимость чел./час не более 2500руб
6. Точность предоставления  данных по мощности участка на еженедельной основе не менее 97%</t>
  </si>
  <si>
    <t>1. 0 травм с потерей трудоспособности по участку АСУ ТП
2.  Проведение ПАБ и выявление ОД/ОУ -10шт
3. Вовлечение персонала рабочих профессий в мотивационную программу
 "Чемпионат по безопасности по ОТ, ПБ и Э" 100%, записи в журнал Иди и смотри.
4. Вовлеченность ИТР в проведение ПАБ 100%
5. Отсутствуют просроченные id - допуска в матрице положенности по участку не более 1%
6. 0 замечаний по полноте наполнения и качества мероприятий при оформлении Н/Д.
7. Провести 1 раз в месяц совещание по ОТ согласно чек-листа в подразделении с оформлением протокола.</t>
  </si>
  <si>
    <t>Обеспечить закрытие всех внеплановых работ силами собственного персонала без при</t>
  </si>
  <si>
    <t>Обеспечено закрытие всех внеплановых работ силами собственного персонала без привлечения внешнего аварийного резерва. Время реакции на аварийные заявки — не более 2 часа</t>
  </si>
  <si>
    <t>не менее 80 80</t>
  </si>
  <si>
    <t>Своевременное и качественное формирование бизнес-планов РБ ПОФ, ЦИ и ЭПНиР ТД</t>
  </si>
  <si>
    <t>Соблюдены временные интервалы процесса в соответствии с установленными требованиями
Своевременное и качественное формирование отчетности РБ ПОФ, ЦИ и ЭПНиР ТД
Реализация мероприятий ЦИ в утвержденные сроки и бюджет
Качество планирования ИП не менее 85  %</t>
  </si>
  <si>
    <t>Кадровая защищенность СУОФ, развитие персонала</t>
  </si>
  <si>
    <t>Обеспечены и подготовлены "вторые номера" на Руководителя отдела со статусом и/или "готов сейчас", "готов в периоде 1-2 года"
'цель качественная:
- выполнена: обеспечен второй номер в статусе "готов сейчас" или "готов в периоде 1-2 года"
- не выполнена: отсутствуют второй номер в статусе "готов сейчас" и "готов в периоде 1-2 года"</t>
  </si>
  <si>
    <t>"Организация складского хранения:
1.нецелевые помещения освобождены и запломбированы
2.наведен порядок в целевых помещениях
3.установлен и соблюдается целевой процесс работы с МТР ""
Соблюдение целевого уровня РК:
Соблюдение общего уровня запасов РК на конец года в ЗО 3 121 млн.руб.: 1 373 млн.руб. СУОФ (МКЗ, МРП СУОФ, ЗИП) / 1 703 млн.руб СУН (АТЗ) / 45 млн. руб. МРП ИП
Оборачиваемость МРП СУОФ текущего года поставки не более 90 дней
Объем «срочных» заявок от общего годового объема не более 20%
Подменный фонд к. 1027 разобран и поставлен на учет в систему до конца 3 кв.
Избыточные запасы после проекта (Перевод в НВИ в течение 3 месяцев с даты закрытия проекта) - 0 руб."</t>
  </si>
  <si>
    <t>Ведущий инженер по автоматизированным системам управления технологическими процессами</t>
  </si>
  <si>
    <t>Участие в проектах по модернизации</t>
  </si>
  <si>
    <t>1. Участие в проектах по модернизации систем АСУТП производств Томскнефтехима.
2. Предоставление данных для проектных организаций. Проверка правильности проектных решений. Выдача замечаний
3. Контроль состояния действующего оборудования после проведения работ.</t>
  </si>
  <si>
    <t>УМД в ЗО участка АСУТП = 0</t>
  </si>
  <si>
    <t>1. Вовлечённость в Пульс опрос 100%
2. Прохождение назначенных обучений СРР в срок.
3. Проведение СРП по чек листу
4. 5С рабочего места не менее 20 балов согласно чек листу.</t>
  </si>
  <si>
    <t>1. 10 записей в журнал по ОТиПБ
2. Вовлеченность в чемпионат по безопасности - 100%
3. Вовлеченность в проведение ПАБ 100% (Не менее 1 ПАБ в месяц)
4. 0 замечаний по полноте наполнения и качества мероприятий при оформлении Н/Д.</t>
  </si>
  <si>
    <t>1. Выполнение ТО согласно картам в полном объеме (100%)
2. Выполнение дневного плана работ в среднем за месяц не менее 95 %
3. Выполнение недельного плана 95%</t>
  </si>
  <si>
    <t>1. Не более 2-х повторных ремонта из-за некачественного ремонта (без УМД)
2. Разработка  и актуализация документации
Проверка схем электропитания в шкафах ПЭ. (Актуализация и размещение 100%).
3. Своевременная подача потребности ПОФ
4. Качественное выполнение ТР (0 замечаний после реализации)</t>
  </si>
  <si>
    <t>1. Проведение плановых комплексных проверок основных производств в соответствии с графиком - 100%.</t>
  </si>
  <si>
    <t>1. Качественное проведение остановочного ремонта в ЗО.
2. Отсутствие задержки пуска основного технологического оборудования в ЗО.</t>
  </si>
  <si>
    <t>1. Формирование рискориентированных стратегий на ремонт оборудования в ЗО - не менее 100 шт.
2. Проведение ОПИ оборудования АСУ ТП (1 ед. , планируется установка комплекта барьеров искрозащиты с терминальной платой).</t>
  </si>
  <si>
    <t>Менеджер по управлению рисками</t>
  </si>
  <si>
    <t>Утверждение стратегий по управлению рисков на ТК</t>
  </si>
  <si>
    <t>Реализовывавшиеся в квартале события были выявлены СУР ранее — не менее 70%</t>
  </si>
  <si>
    <t>не менее 70 %</t>
  </si>
  <si>
    <t>ИА-0</t>
  </si>
  <si>
    <t>отсутствуют события техногенности уровня ИА-1 в зоне ответственности</t>
  </si>
  <si>
    <t>LTIF-0</t>
  </si>
  <si>
    <t>отсутствие событий травматизма в ЗО</t>
  </si>
  <si>
    <t>Формирование ППОФ</t>
  </si>
  <si>
    <t>Подготовить материалы к защите ППОФ по СУР</t>
  </si>
  <si>
    <t>Выполнение плана управления рисками через затратные мероприятия.</t>
  </si>
  <si>
    <t>Развитие инструментов и ритуалов СУР</t>
  </si>
  <si>
    <t>Разработать и включить в дашборд СУН информацию по откланениям в СУР.</t>
  </si>
  <si>
    <t>Развитие СУР</t>
  </si>
  <si>
    <t>Включить в спецподготовку производств блок по СУР и провести по нему обучение, согласно графика.</t>
  </si>
  <si>
    <t>Общество с ограниченной ответственностью "Томскнефтехим"/Направление Директора по производству/Производство полипропилена/Установка катализаторов и подготовки сырья</t>
  </si>
  <si>
    <t>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</si>
  <si>
    <t>не более 0 0 млн. руб.</t>
  </si>
  <si>
    <t>1. Выбросы ЗВ в атмосферу не более 0,090 тыс.тн
2. Сбросы ЗВ в стоки не более 0,018 тыс. тн
3. Отходы на размещение не более 0,061 тыс. тн.</t>
  </si>
  <si>
    <t>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t>
  </si>
  <si>
    <t>Доля выполненных работ (ППР) из запланированных на неделю работ, %</t>
  </si>
  <si>
    <t>не менее 10 %</t>
  </si>
  <si>
    <t>Обеспечить своевременную подготовку НВИ к отгрузке по реализованным договорам</t>
  </si>
  <si>
    <t>Без отклонений</t>
  </si>
  <si>
    <t>Обеспечить своевременность приемки МТР в системе SAP</t>
  </si>
  <si>
    <t>не более 4.5 р.д.</t>
  </si>
  <si>
    <t>Обеспечить своевременность выдачи МТР за заявкам заказчиков</t>
  </si>
  <si>
    <t>Выполнение графика циклической инвентаризации + обеспечение готовности к ИНВ</t>
  </si>
  <si>
    <t>Обеспечить работу с финансовыми КПЭ</t>
  </si>
  <si>
    <t>Проведение ежемесячного анализа ОРЕХ, поиск возможностей оптимизации операционных затрат</t>
  </si>
  <si>
    <t>Вовлечь всех сотрудников ЦСХ в процесс УМШ</t>
  </si>
  <si>
    <t>4. Обеспечить корректное системное заполнение сроков годности по группам МТР</t>
  </si>
  <si>
    <t>Обеспечить рост производительности до целевых значений</t>
  </si>
  <si>
    <t>Проведение системной работы по прогнозированию объема операций, планирование / использование необходимого количества ресурсов</t>
  </si>
  <si>
    <t>Общество с ограниченной ответственностью "Томскнефтехим"/Направление Директора по производству/Энергопроизводство/Смена 3</t>
  </si>
  <si>
    <t>Покрытие, качество и сроки проведённых расследований событий с УМД на ТНХ</t>
  </si>
  <si>
    <t>не менее 0 шт</t>
  </si>
  <si>
    <t>Покрытие RCA всех событий с УМД по валу, % не менее 100 %</t>
  </si>
  <si>
    <t>Минимизация (ИА1)/Актуализация ГК оборудования ПМ</t>
  </si>
  <si>
    <t>Качество создаваемых сообщений в SAP ПМ</t>
  </si>
  <si>
    <t>Качество расследований АКП в ЗО по ЧЛ не менее 90%</t>
  </si>
  <si>
    <t>Агрегировать БДО SAP Методика по обеспечению базовых процессов надёжности1500 Ед</t>
  </si>
  <si>
    <t>не менее 750 Шт</t>
  </si>
  <si>
    <t>Общество с ограниченной ответственностью "Томскнефтехим"/Направление Директора по производству/Производство мономеров/Смена 4/Установка компримирования и разделения пирогаза</t>
  </si>
  <si>
    <t>Оказание экспертной помощи при проведении ПНР на строящихся объектах СИБУРА</t>
  </si>
  <si>
    <t>Оказание помощи с привлечением персонала ЛНКиД на объектах строительства АГХК, ДГП2, а так же при проведении ОР на площадках СИБУРА.</t>
  </si>
  <si>
    <t>Оказание экспертной помощи в развитии персонала АГХК по направлению УЗК.</t>
  </si>
  <si>
    <t>Обучение персонала АГХК методам и навыкам применения метода УЗК. Применение в режиме дефектоскоп, режиме томограф.
Освоение теоретической и практической базы. Работа с НТД.</t>
  </si>
  <si>
    <t>Привлечение к работам по неразрушающим/разрушающим методам контроля в рамках ОР</t>
  </si>
  <si>
    <t>Привлечение к работам по неразрушающем/разрушающим методам контроля в рамках ОР</t>
  </si>
  <si>
    <t>Согласование "Перечень АТЗ"</t>
  </si>
  <si>
    <t>Перечень разработан и согласован</t>
  </si>
  <si>
    <t>Участие в комплексных проверках. Выявление замечаний не менее 5 шт</t>
  </si>
  <si>
    <t>не менее 5 ШТ</t>
  </si>
  <si>
    <t>не менее 6 ШТ</t>
  </si>
  <si>
    <t>Отклонённые заявки по наполнению МТР АТЗ в зоне ответственности</t>
  </si>
  <si>
    <t>не более 10 ШТ</t>
  </si>
  <si>
    <t>Наполнение АТЗ согласно утверждённому перечню</t>
  </si>
  <si>
    <t>Развитие Молодежного движения ТНХ</t>
  </si>
  <si>
    <t>Обновление команды МД
Формирование плана мероприятий
Реализация мероприятий.</t>
  </si>
  <si>
    <t>Развитие бренда работодателя</t>
  </si>
  <si>
    <t>Развитие бренда на уровне региона - городские мероприятия, активности ВУЗ/СУЗ/Школы
Обновление дорожной карты взаимодействия, проведения мероприятий согласно разработанному плану.</t>
  </si>
  <si>
    <t>Адаптация персонала</t>
  </si>
  <si>
    <t>Пребординг в процессе подбора персонала. 100% кандидатов прошли очные собеседования с экскурсиями на производствах перед трудоустройством. Индивидуальная работа с каждым кандидатом по этапам трудоустройства. Организация и проведение ЕДП.</t>
  </si>
  <si>
    <t>SLA в процессе подбора</t>
  </si>
  <si>
    <t>Контроль по подаче заявок на подбор,  с BP выверять актуальность поданных заявок для соблюдения сроков по подбору персонала. Все заявки без просроченных сроков.</t>
  </si>
  <si>
    <t>Укомплектованность команды ФЭП (штат, смена)</t>
  </si>
  <si>
    <t>Общество с ограниченной ответственностью "Томскнефтехим"/Направление Директора по управлению персоналом/Бизнес-партнер: Надежность и ремонты</t>
  </si>
  <si>
    <t>Искусственный интеллект</t>
  </si>
  <si>
    <t>Повышение эффективности через внедрение решений на основе искусственного интеллекта</t>
  </si>
  <si>
    <t>Укомплектованность ФЭП</t>
  </si>
  <si>
    <t>Укомплектованность ФЭП не более 95%</t>
  </si>
  <si>
    <t>Контроль ФОТ по СГИ (без СУН)</t>
  </si>
  <si>
    <t>Выполнение плана по ФОТ СГИ (без СУН) не более 796 млн руб</t>
  </si>
  <si>
    <t>Работа с вовлеченностью</t>
  </si>
  <si>
    <t>Проведены встречи с коллективами по результатам исследования вовлеченности.
Сформировано обновленное ПОУ на основе западающих метрик опроса и обратной связи сотрудников.</t>
  </si>
  <si>
    <t>Проведение HR часов</t>
  </si>
  <si>
    <t>Проведены HR часы в РП, СУОФ - ежемесячно.</t>
  </si>
  <si>
    <t>Обеспечение и контроль приживаемости РНиС</t>
  </si>
  <si>
    <t>Метрики РНиС (с периодичностью графика контроля месяц) соответствуют целевым показателям и находятся в зеленой зоне.</t>
  </si>
  <si>
    <t>- вовлеченность в чемпионат безопасности - 100%;
- ОТ 5 записей ПАБ за квартал;
- ПБ 5 записей ПАБ за квартал;
- Экология 5 записей ПАБ за квартал.</t>
  </si>
  <si>
    <t>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Вес показателя не менее 10% по периметрам К+ПК+СПК в зоне ответственности.
Benchmark – ежегодный устанавливаемое функцией ОТ и ПБ значение LTIF исходя из мировой статистики (на 2026 год составляет 0.24)</t>
  </si>
  <si>
    <t>Выдача выкопировок из генерального плана для проведения земляных работ.</t>
  </si>
  <si>
    <t>Качество выполнения исполнительных съемок подкрановых путей, осадки ЗиС.</t>
  </si>
  <si>
    <t>Геодезический контроль за работами подрядных организаций</t>
  </si>
  <si>
    <t>Внедрение автоматического титратора для определения м.д.воды в нефрасе</t>
  </si>
  <si>
    <t xml:space="preserve"> Развитие функциональных и технических компетенций, формирование кадрового</t>
  </si>
  <si>
    <t>Универсализация сменного персонала по Графику. Обучение старших химиков сменных построению КМ на ИК-спектрометре (порошок ПП), настройка конфигураций для гранул ПП на анализаторе OCS.</t>
  </si>
  <si>
    <t>Модернизация и повышение точности методик</t>
  </si>
  <si>
    <t>1. Актуализация коэффициентов для расчета массовой доли гранул на Анализаторе гранул OCS.
2. Описание процесса определения коэффициента для проведения расчета гранулометрии</t>
  </si>
  <si>
    <t>Сравнение ГАК и ТР ППП, актуализация НД</t>
  </si>
  <si>
    <t>Выполнение запланированных мероприятий 3 кв.2026, пересмотр СОП 92.123 и 92.81</t>
  </si>
  <si>
    <t>Выполнение процессов в зоне ответственности:
1. Своевременно вносить информацию по метрологической прослеживаемости оборудования, СИ (поверка, калибровка, аттестация)
2. Настройка интеграции оборудования в ЛИМС: оперативная подача заявок, подготовка обоснования
3. Занесение процедур ВЛК</t>
  </si>
  <si>
    <t>Развитие системы менеджмента ЦЗЛ(качество и своевременност проводимых испытаний)</t>
  </si>
  <si>
    <t>Выполнить график внутренних проверок (во вложении): 3 кв. - 3, закрыть долг - 3 проверки</t>
  </si>
  <si>
    <t>Модернизация и повышение точности лабораторных методик</t>
  </si>
  <si>
    <t>Проведение сличительных испытаний с ПОЛИЛАБ по ударной вязкости по Изоду , подготовка образцов и проведение испытаний</t>
  </si>
  <si>
    <t>Организация работы перчаточного бокса (определение места размещения, подключение, составление памятки по работе)</t>
  </si>
  <si>
    <t>1. Проведение верификации S03.00 M1A
2. Проведение верификации S03.00 M1В</t>
  </si>
  <si>
    <t xml:space="preserve"> Модернизация и повышение точности лабораторных методик</t>
  </si>
  <si>
    <t>Верификация МИ №095-2015 в рамкам ТУ 20.14.51-116-70353562-2026.</t>
  </si>
  <si>
    <t>Проект ТИБА</t>
  </si>
  <si>
    <t>Организация рабочего места по ТИБА, составление отчета по проведению ПНР хроматографа</t>
  </si>
  <si>
    <t>Выполнение запланированных мероприятий 3 кв.2026, перевод СОП 92.118 в памятку</t>
  </si>
  <si>
    <t>Выполнение процессов в зоне ответственности:
1. Выполнение графика ВКК
2. Выполнение пунктов дорожной карты по развитию ЛИМС на 2026 в зоне своей ответственности,   заведение 1 процедуры ВКК в ЛИМС -МИ № 128-2011</t>
  </si>
  <si>
    <t>Выполнение графика внутренних проверок (во вложении): 3 кв - 3, закрыть долги - 3</t>
  </si>
  <si>
    <t>Управление ремонтом установки УГПП</t>
  </si>
  <si>
    <t>Проведение работ в рамках программы стабилизации экструзионного оборудования не менее 90%.</t>
  </si>
  <si>
    <t>Стабилизация работы экструзионного оборудования</t>
  </si>
  <si>
    <t>1. Выполнение протокольных мероприятий по подготовке к ОР в 2026г в своей зоне ответственности.
2. ТМЦ необходимые для проведения ремонта разнесены до остановочного ремонта, с составлением акта приема-передачи с ВИП установки.</t>
  </si>
  <si>
    <t>Не менее 95% соласно критериям оценки качества проведенного ОР:
1. 100% выполнение работ, влияющих на соблюдение межремонтного интервала
9. Выполнение объема работ критического пути на 100%
10. Отсутствие потери ВПР в течение  20 суток после ОР.</t>
  </si>
  <si>
    <t>1.1. 80% ЗН на корректирующие работы формируются из тех. карт;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</si>
  <si>
    <t>1. Все заказы по дефектам актов отбраковки, не требующим техперевооружения сформированы, внесены ТМЦ до начала ОР.
2. Направлены паспорта и акты отбраковки в адрес ПО, для составления технологии сварки до начала ОР.
3. Выявлены акты отбраковки, требующие разработки проекта и переданы производству ПП.</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</si>
  <si>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работам ПО.</t>
  </si>
  <si>
    <t>Общество с ограниченной ответственностью "Томскнефтехим"/Направление Директора по производству/Производство полипропилена/Смена 3</t>
  </si>
  <si>
    <t>Текучесть персонала в ЗО, 3 квартал не более 12.5</t>
  </si>
  <si>
    <t>1. Организация ремонта согласно технической документации и паспорта на оборудования, не более 1 повторного ремонта.
2. ЧВР (ФРД) смены/бригады 60-65%
3. Заполненные Чек-листы по сборке ФС на технологических трубопроводах I, II, III категорий  внесены в информационную систему SAP с обязательным приложением оформленного чек-листа при закрытии заказ-наряда.
4.  Ноль – просроченных мероприятий согласно сроков выполнения мероприятий расследований RCA
5.  Ноль замечаний по не заполнению формуляров</t>
  </si>
  <si>
    <t>1. Фактическая загрузка персонала не менее 95 %,
2. Выполнение дневного плана работ в среднем за месяц не менее 90 %
3. Доля отсутствующего персонала в тек. деятельности - не выше 13% В период ОКР - не выше 10%.
4. Точность предоставления  данных по мощности участка на еженедельной основе не менее 97%.
5. Выполнение недельного плана 95%
6. Выработка РП РТО (производительность труда) (Соотношение плановой трудоемкости подтвержденных заказов (ремонтных работ, выполненных силами РП РТО ) к фактической доступности рабочего ремонтного персонала РП РТО не менее 90%
5. Обеспечить своевременное оповещение графиковщика о задержке или срыве работ, а также ежедневно сразу после окончания работ.</t>
  </si>
  <si>
    <t>не менее 23.6 млн. руб.</t>
  </si>
  <si>
    <t>сигнализации - 16364 шт.
НТР - не более  27096  шт./кв.
НАК - не более 1579 шт./кв.</t>
  </si>
  <si>
    <t>Повышение эффективности работы ЛОС</t>
  </si>
  <si>
    <t>Повышение эффективности отчистки от ЗВ:
-  Уменьшение содержания фенолов на 10%; ( от среднего значения по 4-му кварталу 2025 года не более 2,5 мг/дм3)
-  сульфидов, не более 1,03 мг/дм3 на выходе из установки</t>
  </si>
  <si>
    <t>не менее 113.267 тыс. т.</t>
  </si>
  <si>
    <t>Достижение целей по ключевым показателям эффективности
ВПР = 94.41 %
ИТЭ = 98.67 %
ИЭ = 140.7 %
ИТЭзхп = 96.39 %</t>
  </si>
  <si>
    <t>Сформирован общий перечень несоответствий, выявленных в ходе проверки по ППП, ЭП</t>
  </si>
  <si>
    <t>Программа "Мероприятий программы стабилизации экструзионного оборудования"</t>
  </si>
  <si>
    <t>Выполнение "Мероприятий программы стабилизации экструзионного оборудования" в зоне ответственности</t>
  </si>
  <si>
    <t>Прохождение обучения по курсам: 1. Диалог с искусственным интеллектом (ИИ): от з</t>
  </si>
  <si>
    <t>Пройдены обучения по курсам:
1. Диалог с искусственным интеллектом (ИИ): от запросов к решению;
2. Использование искусственного интелекта (ИИ) для решения рабочих задач;
3. Основы практического использования искусственного интеллекта (ИИ)</t>
  </si>
  <si>
    <t>Внесены в SAP БП РН по ППП и ЭП на 2027 год в соответствии с предоставленным отчётом ВИТ</t>
  </si>
  <si>
    <t xml:space="preserve"> Обеспечение соблюдения требований ОТ, ПБ и ООС</t>
  </si>
  <si>
    <t>Баллы по ОТ 6
Баллы по ПБ 6
Баллы по Э 10
Баллы ПАБ 3
Осуществлена деятельность комиссаром в ОР с 10-14.08.2026</t>
  </si>
  <si>
    <t>Проведены целевые и комплексные проверки согласно графика. Внесение замечаний в систему в установленные сроки
1. ЭП - сентябрь
2. Проверка производств на соответствие Перечня обязательных документов на ЦПУ</t>
  </si>
  <si>
    <t>Внесение в SAP изменений в расходные нормы ППП, ведение спецификаций ППП в SAP</t>
  </si>
  <si>
    <t>все изменения внесены</t>
  </si>
  <si>
    <t xml:space="preserve"> Выполнение графика пересмотра Технологических регламентов 2026</t>
  </si>
  <si>
    <t>"Внесены изменения в ТР в связи с подготовкой к остановочному ремонту:
1. ПТР № 101-01-2016 Проект № 6891 «Техническое перевооружение катализаторных насосов и теплообменников НЕ1а, НЕ2а.»
2. ПТР № 103-2-2020 Проект № 6897 «Техническое перевооружениемонтаж установки фильтрации ТИБА. Узел налива ТЭА в контейнеры."""</t>
  </si>
  <si>
    <t>Успешное проведение остановочного ремонта</t>
  </si>
  <si>
    <t>- Выполнение перечня работ по УВКиОВ, согласно графика 4-го уровня.
- Безопасное проведение работ.</t>
  </si>
  <si>
    <t>не более 638 шт.</t>
  </si>
  <si>
    <t>не более 120 шт.</t>
  </si>
  <si>
    <t>1. Выбросы ЗВ в атмосферу - 0,140
2. Сбросы ЗВ в стоки - 0,072
3. Отходы на размещение - 0,050
4. Водопотребление, тыс. м3 - 1382,20
5. Выбросы парниковых газов, тыс. т СО2 - 23,54
Мероприятия:
- Реализация отходов производства.
- Сокращение утечек на производстве.
- Эффективная работа котельного оборудования.
- Контроль за качеством стоков и своевременное реагирование.</t>
  </si>
  <si>
    <t>Развитие HARD/SOFT компетенций</t>
  </si>
  <si>
    <t>Знание технологических схем производства и оборудования, основных характеристик и норм технологического режима.
Знание и применение в работе стандартов работы руководителя.</t>
  </si>
  <si>
    <t>Безопасное проведение работ (отсутствие нарушений) и выполнение перечня работ согласно графика 4-го уровня на закрепленном участке.</t>
  </si>
  <si>
    <t>Реализация УМШ на ЭП</t>
  </si>
  <si>
    <t>- лично реализовано УМШ при помощи ИИ - 1 шт.
-Качество идей, % (принятые идеи в реализацию/ все рассмотренные) - более 75%.
-Уровень вовлеченности в подачу идей - более 45%</t>
  </si>
  <si>
    <t>Контроль ОТиПБ в ОР при помощи БПЛА</t>
  </si>
  <si>
    <t>1. Проведены облеты дроном по заявкам ОТиПБ
2. Данные выгружены в сетевую папку</t>
  </si>
  <si>
    <t>Контроль 5С и досок ВУЭ на ЭП</t>
  </si>
  <si>
    <t>1) Оценка по чек-листу ВУЭ (суммарно по всем доскам ЭП) - более 90% + работа с персоналом на тему правильного заполнения, понимания и способности объяснить каждый показатель/запись.
2) Оценка по чек-листу 5С (суммарно по всем объектам ЭП) - более 90%.</t>
  </si>
  <si>
    <t>Реализация системы "Онлайн мониторинг" персонала в ОР</t>
  </si>
  <si>
    <t>- Протестированы: трекеры, оповещения.
-Трекеры привязаны к производствам
- Трекеры привязаны к постоянным сотрудникам
- Созданы контрольные зоны
-Создана инструкция
-  Создан макрос для подсчета нахождения в зонах</t>
  </si>
  <si>
    <t>1. LTIF = 0.
2. ИА 1,2 = 0.
3.  Вовлеченность ИТР в ПАБ - 100%;</t>
  </si>
  <si>
    <t>Общество с ограниченной ответственностью "Томскнефтехим"/Трудовое долголетие/Направление Главного инженера</t>
  </si>
  <si>
    <t>Успешное выполнение ремонта турбоагрегатов мономеров в О.Р. 2026 года</t>
  </si>
  <si>
    <t>Отсутствие остановок в течении 20 дней после ОР из-за некачественного ремонта турбоагрегатов.</t>
  </si>
  <si>
    <t>Передача опыта контроля проведения ремонта т.а. пр-ва. Мономеров Алексееву Е.Д.</t>
  </si>
  <si>
    <t>Совместное участие в проведении ремонта турбоагрегатов, постановка задач (необходимых для проведения ремонта турбоагрегатов) ремонтному производству и контроль их выполнения</t>
  </si>
  <si>
    <t>Передача опыта Медведеву А.А. в части проведения КР ТА М-1, 6, 5.</t>
  </si>
  <si>
    <t>участие в О.Р. 2026 - совместный контроль за работой подрядчиков по ремонту турбоагрегатов и заполнением ремонтной документации. Постановка задач (необходимых для проведения ремонта турбоагрегатов) ремонтному производству и контроль их выполнения.</t>
  </si>
  <si>
    <t>Участие в реализация проекта по замене Н-15/1,2</t>
  </si>
  <si>
    <t>Проект реализован в период О.Р. 2026, отсутствие замечаний по качеству выполнения мех. части в процессе проведения монтажа, ПНР и работы насосов.</t>
  </si>
  <si>
    <t>Решение задач в рамках ЭС Турбины</t>
  </si>
  <si>
    <t>1 Техническая экспертиза (рисков, целевых инициатив, предлагаемых тех решений  и т.д.)
2 Помощь предприятиям по запросам
3 Исполнение задач ЦК Механика</t>
  </si>
  <si>
    <t>Передача опыта Р.И. Бикбаув по направлению главного механика</t>
  </si>
  <si>
    <t>Проводятся встречи по месту проведения ремонтных работ и обсуждение проблем в ремонте ключевого оборудования производств Мономеры и ПЭВД, ТОиР направления Механика.</t>
  </si>
  <si>
    <t>Проведение проверок состояния оборудования</t>
  </si>
  <si>
    <t>Проведены комплексные проверки состояния оборудования в соответствии с графиком</t>
  </si>
  <si>
    <t>не более 0.1 %</t>
  </si>
  <si>
    <t>Проведение ОР-2026</t>
  </si>
  <si>
    <t>Проведение ОР-2026 согласно ДК</t>
  </si>
  <si>
    <t>Реализация ЦИ "Энергонадежность"</t>
  </si>
  <si>
    <t>Мероприятия запланированные на 3-й квартал выполнены</t>
  </si>
  <si>
    <t>Ведущий специалист по организации отгрузок и приему сырья</t>
  </si>
  <si>
    <t>Взаимодействие с ПДУ/ПУиСП/НТХК в рамках регламента и договора ТЭ. УССП.</t>
  </si>
  <si>
    <t>Обеспечить эффективное взаимодействие с ПДУ/ПУиСП/НТХК в рамках регламента и договора ТЭ. Контроль работы УССП. Взаимодействие с поставщиками, УЛ. Формирование графика подхода/слива авто цистерн. Актуализация изменений</t>
  </si>
  <si>
    <t>Повышение операционной эффективности.
- управления запасами сырья (емкость+путевые), ведение посуточного факторного анализа слива сырья, причины отклонения от плановых значений (Леонтьева А.А., Диспетчера)
- управления отгрузками продукции ПМ, ведение посуточного факторного анализа (Кавсюк Ю.В.)</t>
  </si>
  <si>
    <t>Отсутствие НС (LTIF = 0), Вовлечение в Чемпионат по безопасности (1ПАБ / мес). О</t>
  </si>
  <si>
    <t xml:space="preserve"> Сырье для произв-ва Мономеров ТНХ</t>
  </si>
  <si>
    <t>ТНХ:  Сырье для произв-ва Мономеров ТНХ
- Обеспечить сырьем под потребность ПМ в т.ч. в режиме 7/0
- Обеспечить сырьем ТНХ в период ОР/ППР
- Обеспечить управление сверхнормативным простоем вц с учетом приоритетов СХ, обеспечить ритмичность планового слива/налива.</t>
  </si>
  <si>
    <t>Реализация проекта: "Управление причинами простоя ВЦ на подъездном пути"</t>
  </si>
  <si>
    <t>95%</t>
  </si>
  <si>
    <t>Обеспечить исполнение кал-го плана отгрузки жидких продуктов пиролиза ПМ 95% в з</t>
  </si>
  <si>
    <t>Обеспечить исполнение кал-го плана отгрузки жидких продуктов пиролиза ПМ 95% в зоне своей ответственности.</t>
  </si>
  <si>
    <t>Общество с ограниченной ответственностью "Томскнефтехим"/Управление логистики/Участок Обеспечение логистических операций и упаковки готовой продукции</t>
  </si>
  <si>
    <t>LTIF=0 в ЗО УЛ
Повышение уровня безопасности труда на складах и водителей автотранспорта, пребывающего на погрузку</t>
  </si>
  <si>
    <t>Своевременное отражение документов в учетной базе предприятия.</t>
  </si>
  <si>
    <t>Отсутствие нарушений фин. дисциплины. Отражение реализаций в базе - 1 сутки с даты исполнения; создание тикета при поступлении сырья - 1 сутки с даты прихода на склад.</t>
  </si>
  <si>
    <t>Контроль за средней утилизацией авто 95% (в тоннах) в ЗО</t>
  </si>
  <si>
    <t>не менее 95% (измеряется в тоннах, целевое значение определяет Функция)</t>
  </si>
  <si>
    <t>Обеспечение плана отгрузки (100%), с допуском (-5%), в зоне ответственности.</t>
  </si>
  <si>
    <t>1. LTIF=0
2.ДТП с автотранспортом с влиянием на индекс травматизма персонала ТНХ и водителей ТЭК=0
3. Проведение работы с лог. оператором по повышению уровня культуры безопасности, организация "Открытого диалога"
4. Реализация мероприятий по молнии НС КОС,ПОЛИЭФ</t>
  </si>
  <si>
    <t>В течении 2 квартала ООО БИКСПЛЕН дезинтегрирован из:
Внутризаводской логистики
Оперирования внешними складами
Доставки готовой продукции</t>
  </si>
  <si>
    <t>Md Audit раз в неделю</t>
  </si>
  <si>
    <t>не менее 12 шт.</t>
  </si>
  <si>
    <t>Повышение эффективности процессов Тары и Упаковки</t>
  </si>
  <si>
    <t>Своевременное отражение документов в учетных системах Предприятия</t>
  </si>
  <si>
    <t>Повышение эффективности автотранспортных перевозок</t>
  </si>
  <si>
    <t>Изучение календарного графика ПМ</t>
  </si>
  <si>
    <t>Ведущий специалист по планированию</t>
  </si>
  <si>
    <t>отгрузка жидких продуктов пиролиза 100(+/-5%)</t>
  </si>
  <si>
    <t>Участие в реализация проекта оборот в/ц / простой в/ц.</t>
  </si>
  <si>
    <t>выполнено</t>
  </si>
  <si>
    <t>Обеспечить работы и своевременное отображение информации по сливу, наливу и отгр</t>
  </si>
  <si>
    <t>"Обеспечить работы и своевременное отображение информации по сливу, наливу и отгрузке в SAP, МES.</t>
  </si>
  <si>
    <t>Обеспечить план поставки сырья на ТНХ.</t>
  </si>
  <si>
    <t>"ТНХ:  Сырье  для произв-ва Мономеров ТНХ
- Обеспечить сырьем под потребность ПМ в т.ч. в режиме 7/0
- Обеспечить сырьем ТНХ в период ОР/ППР
- Обеспечить управление сверхнормативным простоем вц с учетом приоритетов СХ, обеспечить ритмичность планового слива/налива</t>
  </si>
  <si>
    <t>Обеспечить мониторинг вц УВС с недогрузами</t>
  </si>
  <si>
    <t>Обеспечить мониторинг вц УВС  с недогрузами. Взаимодействие с поставщиками, контроль работы ж.д. весов. Снижение коэффициента по недогрузам.</t>
  </si>
  <si>
    <t>Обеспечить контроль поставок вц с УВС с отклонением по качеству</t>
  </si>
  <si>
    <t>Обеспечить контроль поставок вц с УВС с отклонением по качеству. Коммерческая/техническая пригодность вц. Участие в рекламационной работе по сливу/наливу</t>
  </si>
  <si>
    <t>Качество управления запасами сырья на календарном уровне - недопущение избытков</t>
  </si>
  <si>
    <t>недопущение избытков сырья от ППР (+0-25%</t>
  </si>
  <si>
    <t>Отсутствие НС (LTIF = 0) в зоне своей ответственности. Вовлеченность в Чемпионат</t>
  </si>
  <si>
    <t>Приверж-ть в части культурных преобразований по ОТиПБ, вовлечённость в чемпионат по Экологии.        - ПАБ 10/мес              - LTIF = 0 в зоне своей ответственности</t>
  </si>
  <si>
    <t>Увеличение мощности Контейнерного терминала под СВХ, 164 ктк</t>
  </si>
  <si>
    <t>не менее 88 шт</t>
  </si>
  <si>
    <t>Организация отгрузки ГП (ПЭ марки 153) на АГХК</t>
  </si>
  <si>
    <t>- подготовка метателя
- подготовка изменений в MES, SAP и иных системах учета ГП.</t>
  </si>
  <si>
    <t>Повышение утилизации СГП ТНХ</t>
  </si>
  <si>
    <t>Средняя утилизация СГП ТНХ (в связи с ОР в августе):
в июле - не ниже 85%
в сентябре - не ниже 85%</t>
  </si>
  <si>
    <t>Достижение целевой оборачиваемости ТиУ</t>
  </si>
  <si>
    <t>Достижение целевой оборачиваемости ТиУ - хх дней</t>
  </si>
  <si>
    <t>Повышение емкости склада к.111 не менее, чем на 900 тонн</t>
  </si>
  <si>
    <t>не менее 900 тонны</t>
  </si>
  <si>
    <t>Организация процесса фасовки, отгрузки в балк-ктк в системах MES, SAP.</t>
  </si>
  <si>
    <t>Внедрение функционала в MES-Клиент, SAP по фасовке и отгрузке балк-ктк</t>
  </si>
  <si>
    <t>1. Выполнение SLA ТНХ (OTIF ETD не менее 90%, КПОиТП не более 0,3)
2. Выполнение отгрузок ППР в ЗО Логистики не ниже 97%</t>
  </si>
  <si>
    <t>OTIF</t>
  </si>
  <si>
    <t>не менее 89 %</t>
  </si>
  <si>
    <t xml:space="preserve"> Бизнес-планирование 2027</t>
  </si>
  <si>
    <t>Бюджет УЛ на 2027 год сформирован и защищен</t>
  </si>
  <si>
    <t>- подготовка метателя, его включение в полноценную работу
- подготовка изменений в MES, SAP и иных системах учета ГП.</t>
  </si>
  <si>
    <t>OTIF в зоне ответственности УЛ ТНХ</t>
  </si>
  <si>
    <t>Обеспечить исполнение плана отгрузки ТНХ (100%+/-5%)</t>
  </si>
  <si>
    <t>Ведущий инженер по неразрушающему контролю</t>
  </si>
  <si>
    <t>Параметры на Рентгеновский аппарат РПД-250 ИС («Игла»)</t>
  </si>
  <si>
    <t>Подобрать оптимальные параметры для работы с печными сварными стыками.</t>
  </si>
  <si>
    <t>Ведение статистики по УЗК на сварные швы.</t>
  </si>
  <si>
    <t>Ведение журнала по кол-ву контролируемых сварных швов по УЗК для ведение статистики годных и бракованных стыков в каждом месяце.
В конце года будет полная статистика по каждому месяцу отдельно и суммарно с начала года сколько годных/бракованных и общее кол-во св. швов.</t>
  </si>
  <si>
    <t>Допуск ПО по НК в период ОР2026</t>
  </si>
  <si>
    <t>Допускать и выдавать разрешения установленной формы на проведение работ на территории ТНХ в ОР2026
Завести физический и эл. вариант журнала для фиксации выданных допусков той или иной ПО (специалисту).</t>
  </si>
  <si>
    <t>Организация и проведение целевых проверок подрядных организаций</t>
  </si>
  <si>
    <t>Проведены целевые проверки подрядных организаций привлеченных к ОР. Выявлены несоответствия и направлены подрядным организациям на устранение в соответствии с условиями договоров. (Приложение 1) и выученных уроков в ОР  2026г.</t>
  </si>
  <si>
    <t>Прохождение аттестаций в соответствии с дорожной картой ФЭП КЦ.</t>
  </si>
  <si>
    <t>Пройдена аттестации в объеме ДК на 3 квартал.</t>
  </si>
  <si>
    <t xml:space="preserve"> Реализация корпоративной программы ТокБезОпасности 2026г.</t>
  </si>
  <si>
    <t xml:space="preserve"> Организовано выполнение мероприятий. Персонал ЭТНиЭБ ежемесячно принимает участие  обучение оперативного персонала в период спец. подготовки.</t>
  </si>
  <si>
    <t>Организация оценки готовности предприятий. Методологическое сопровождение</t>
  </si>
  <si>
    <t>Проведена экспертиза мероприятий по подготовке к ОЗП. Определены ежегодно повторяющиеся мероприятия для формирования тех. карт для включения в планы ТОРО. Актуализированы проверочные листы по оценке готовности предприятий. Определены периоды проведения комиссионной оценки готовности.</t>
  </si>
  <si>
    <t>Контроль безопасного выполнение остановочного ремонта в зоне ответственности</t>
  </si>
  <si>
    <t>1. Не зафиксировано несчастных случаев  в ЗО
2. Обеспечен контроль безопасного проведения работ, выявляемые замечания своевременно устранены</t>
  </si>
  <si>
    <t>Общество с ограниченной ответственностью "Томскнефтехим"/Направление директора по охране труда и промышленной безопасности/Направление гражданской обороны и чрезвычайных ситуаций</t>
  </si>
  <si>
    <t>Управление удовлетворенностью процессом обеспечения СИЗ</t>
  </si>
  <si>
    <t>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t>
  </si>
  <si>
    <t>Директор по охране труда и промышленной безопасности</t>
  </si>
  <si>
    <t>Общество с ограниченной ответственностью "Томскнефтехим"/Направление директора по охране труда и промышленной безопасности</t>
  </si>
  <si>
    <t>Обеспечение СИЗ</t>
  </si>
  <si>
    <t>Работа с Подрядными организациями</t>
  </si>
  <si>
    <t>Своевременное формирование ежемесячных отчетов;
Наличие необходимого кол-ва специалистов по ОТ и контроль за их присутствием на территории Предприятия;
Корректно выставленные претензии (относительно зарегистрированных происшествий);
Оценка работы Подрядных организаций и специалистов по ОТ.</t>
  </si>
  <si>
    <t>Управление безопасностью подрядных организаций</t>
  </si>
  <si>
    <t>1. Получено 100% допусков
2. Реализованы запланированные обучения/стажировки</t>
  </si>
  <si>
    <t>1. Обеспечено наличие актуальных анкет по всем рабочим местам предприятия.
2. Все высокие и средние риски включены в РРП, разработаны митигирующие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t>
  </si>
  <si>
    <t>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2. Организованы системные проверки ОТиПБ ранжирования РПО в ЦНД и видеофиксации целевых инструктажей в выходные дни (ГОР, ОР)</t>
  </si>
  <si>
    <t>Совершенствование СУ ОТПБ</t>
  </si>
  <si>
    <t>Управление рисками предприятия</t>
  </si>
  <si>
    <t>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</si>
  <si>
    <t>100% затратных предписаний внесены в реестр, обрискованы, осмечены. Определен источник финансирования или долгосрочный план устранения предписаний.</t>
  </si>
  <si>
    <t>ОР 2026 проведен без аварий и несчастных случаев (в курируемом подразделении)</t>
  </si>
  <si>
    <t>Бюджет ПОФ 2027</t>
  </si>
  <si>
    <t>Участие в корректировке ремонтного бюджета ПОФ 2027 совместно со старшим инженером по планированию: нерегламентные работы исключены из ПОФ; при наличии рисковых работ инициирован вынос вопроса о выделении бюджета на технический комитет.</t>
  </si>
  <si>
    <t>LTIF – 0 ПАБ и безопасность</t>
  </si>
  <si>
    <t>Управление ремонтом оборудования и подрядными организациями</t>
  </si>
  <si>
    <t>1. Участие в формировании месячного и недельного графиков ремонтных работ: доля плановых регламентных работ (заказы 1001) — не менее 80%, доля внеплановых работ по дефектам (заказы 1003) - не более 20%.
2. Акты переноса ППР (при невыдаче оборудования и по иным причинам) оформлены совместно со старшим инженером по планированию и проведены через КИС на этапе месячного и недельного/дневного планирования.
3. Контроль работы, приёмка выполненных работ и планирование работ с подрядной организацией ТЭСС.
предоставление информации: отслеживание, внесение корректировок по срокам и перечню работ, совместная работа с РП, подрядной организацией и инженером по планированию.
5. Выполнение оперативных поручений ведущего инженера ТОиР.</t>
  </si>
  <si>
    <t>1. По новым договорным потребностям в зоне ответственности составлены дефектные ведомости и направлены сметчикам на расчёт.
2. Потребность в финансировании согласована со старшим инженером по планированию.
3. Сформированы и направлены заявки на оформление дополнительных соглашений к действующим договорам в установленные сроки.</t>
  </si>
  <si>
    <t>Подготовка к внеплановым ремонтам.</t>
  </si>
  <si>
    <t>2.1. Подготовка электрооборудования к внеплановым остановкам производства.
2.2. Позиции с подменного фонда в готовности, отревизированые.
2.3. Бесперебойное оборудование в готовности.</t>
  </si>
  <si>
    <t>Проведение остановочного ремонта (ОР) 2026</t>
  </si>
  <si>
    <t>Приоритетная цель квартала. Остановочный ремонт (05.08–28.08.2026) по электротехническому оборудованию зоны ответственности проведён качественно и в срок, без переноса пусковых сроков производства.
1.1. Работы выполнены в полном объёме, без отклонений от утверждённого графика.
1.2. Отсутствуют замечания по качеству выполненных работ и по ОТ/ПБ в ходе ОР.
1.3. При наличии возможности — фактическое сокращение длительности работ по критическому пути относительно планового срока.</t>
  </si>
  <si>
    <t>Проведение СМР периода ОР-2026 по объекту АСУ ТП тит.415 Производства мономеров</t>
  </si>
  <si>
    <t>В полном объеме выполнен СМР/ПНР периода ОР-2026 по объекту АСУ ТП тит.415 Производства мономеров</t>
  </si>
  <si>
    <t>Общество с ограниченной ответственностью "Томскнефтехим"/Направление Директора по управлению персоналом/Бизнес-партнер: Надежность и ремонты (Служба управления надежностью)</t>
  </si>
  <si>
    <t>Форум МС</t>
  </si>
  <si>
    <t>Формирование команд, определение тем, закрепление наставников</t>
  </si>
  <si>
    <t xml:space="preserve"> Производственный травматизм, УМД по ЧФ</t>
  </si>
  <si>
    <t>Реализация плана обучения КУ, СИТХ, УУиЛП</t>
  </si>
  <si>
    <t>Развитие бренда на уровне региона - городские мероприятия, активности ВУЗ/СУЗ/Школы
Обновление дорожной карты взаимодействия, проведения мероприятий согласно разработанному плану на 1 квартал.</t>
  </si>
  <si>
    <t>Обновление команды МД
Формирование плана мероприятий
Реализация мероприятий 1 квартала</t>
  </si>
  <si>
    <t>«Обеспечение 100% наличия обязательных допусков сотрудников ТНХ"</t>
  </si>
  <si>
    <t>- цель установлена у  руководителей ;
- организация наличия  100% обязательных допусков подчиненных сотрудников;
- организация работы руководителей при наличии просроченных допусков: снижение оценок сотруднику/отстранение от работы/ увольнение</t>
  </si>
  <si>
    <t>в з.о. СУОФ по отказам оборудования УМД от EBITDA =  0%
Отсутствует отставание по расследованиям</t>
  </si>
  <si>
    <t>Выполнение объемов проекта АСУ ТП узла обессоливания, привязанных к остановочному ремонту 2026 года в количестве - не менее 95%</t>
  </si>
  <si>
    <t>Минимизация (ИА1)/Актуализация ГК оборудования ПП</t>
  </si>
  <si>
    <t>не менее 1000 Ед</t>
  </si>
  <si>
    <t>Качество создаваемых сообщений в SAP ПП</t>
  </si>
  <si>
    <t>Агрегировать БДО SAP Методика по обеспечению базовых процессов надёжн. 1000 Ед</t>
  </si>
  <si>
    <t>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Benchmark – ежегодный устанавливаемое функцией ОТ и ПБ значение LTIF исходя из мировой статистики (на 2026 год составляет 0.24)</t>
  </si>
  <si>
    <t>Исполнение бюджета по проектам ПОФ</t>
  </si>
  <si>
    <t>Суммарный бюджет по завершенным проектам ПОФ в отчитываемый период, шкала оценки следующая: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 (выпущены корректирующие решения по увеличению бюджета проекта)</t>
  </si>
  <si>
    <t>Выполнение ПИР, СМР, ПНР рамочными подрядчиками</t>
  </si>
  <si>
    <t>Исполнения плана освоения и ввода капитальных вложений ППОФ</t>
  </si>
  <si>
    <t>Реализация ключевых проектов</t>
  </si>
  <si>
    <t>Реализация ключевых проектов в 2026г.
1. Проект 6896 Замена дефектных участков трубопроводов. Выполнить СМР в ОР
2. Проект 70005 Стояки налива. Соглосовать РКД от поставщика. Актуализировать проект. Заказать МТР.
3. Проект 70227 Блок-боксы. Выполнить монтаж отопления.
4. Проект 6463 Замена торцевых уплотнений насосов G15. Актуализировать проект в части АСУТП. Заключить ДС на СМР.
5. Проект 6444 Замена торцевых уплотнений насосов G19. Актуализировать проект в части АСУТП. Заключить ДС на СМР.
6. Проект 6886. Замена насос диатермического масла. Получить РКД от поставщика, выполнить ПИР.
7. Проект 70061. Монтаж маслобака на ТА М-5. Внести изменения в проект по замечаниям СУН. Заказать МТР.</t>
  </si>
  <si>
    <t>УМД в ЗО РП РТУ УРПП = 0</t>
  </si>
  <si>
    <t>УМД в зоне ответственности производства 0 млн. руб.</t>
  </si>
  <si>
    <t>1. Получение Эффекта от ММ - не менее 0,14 млн. руб
2. Получение эффекта от выполнения мероприятий программы Эффективность + - Не менее 1,17 млн. руб.
3. Не превышение пост. затрат - не более 23,68 млн. руб.</t>
  </si>
  <si>
    <t>Проведение остановочного ремонта 2026</t>
  </si>
  <si>
    <t>Проведение ОР в срок согласно Сетевого графика 2 уровня.</t>
  </si>
  <si>
    <t>1. Выбросы ЗВ в атмосферу не более 0,053
2. Сбросы ЗВ в стоки не более 0,018
3. Отходы на размещение не более 0,032</t>
  </si>
  <si>
    <t>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4.Кадровая защищенность ключевых позиций ИТР производства – не менее 35% (готовность до 1 года)</t>
  </si>
  <si>
    <t>Обеспечение приживаемости метрик ПСС</t>
  </si>
  <si>
    <t>- Оценка приживаемость системы ПСС на производстве не менее 90%.
-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</si>
  <si>
    <t>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
8. 0 событий в зоне ответственности с влиянием на ИА-1 (согласно методологии)
9.0 событий с возгораниями</t>
  </si>
  <si>
    <t>Энергоменеджер</t>
  </si>
  <si>
    <t>Формирование ЭР БП на 2027 год</t>
  </si>
  <si>
    <t>Согласованные нормы БП-27 с производством и ВИТами в срок.</t>
  </si>
  <si>
    <t>Выполнение показателей устойчивого развития</t>
  </si>
  <si>
    <t>"Выбросы СО2 - не более 272704,6 тн CO2-экв
Потребление свежей воды, не более 1879,2 м3"</t>
  </si>
  <si>
    <t>Минимизация потерь. Энергоёмкость</t>
  </si>
  <si>
    <t>Соотношение потребления основными производствами энергоресурсов на выпуск ГП Не более 11,4 ГДж/т</t>
  </si>
  <si>
    <t>ОР - сокращение потерь сырья/ЭР</t>
  </si>
  <si>
    <t>ПУиСП: при подготовке резервуаров к ЭПБ, снизить потери БГС не менее чем на 30т.</t>
  </si>
  <si>
    <t>Рейтинг по энергоэффективности</t>
  </si>
  <si>
    <t>"1. Суммарный эффект от ММ направленных на энергоэффективность, покрывает недоработку 1,2 квартала . Оценка по показателю 5.
2. Получен доп балл за новые ММ в рейтинге эффективности.
"</t>
  </si>
  <si>
    <t>Эффективность +</t>
  </si>
  <si>
    <t>Мероприятия по программе: "эффективность +"
Необходимо выполнить в ЗО ЭнМ (энергоэффективность). 15,7 млн</t>
  </si>
  <si>
    <t>"Отсутствие случаев травматизма в зоне ответственности СГТ
Личная вовлеченность в ОТиПБ (не менее 3 ПАБ)
Отсутствие замечаний ГТ в качестве проведенных ПАБ"</t>
  </si>
  <si>
    <t>Ведущий инженер-конструктор</t>
  </si>
  <si>
    <t>1. Отсутствие претензий к качеству разработанной конструкторской документации. - 0
2. Добавление чертежей в электронный архив не позднее 1 дня после подписания.
3. Обеспечить 100% соответствие КД требованиям ЕСКД/ISO и ТЗ: «Все чертежи и 3D‑модели, выпущенные в течение квартала, проходят нормоконтроль без замечаний; доля документов, принятых с первого раза, — не менее 95%
4. Доля чертежей, требующих переработки после запуска в производство по технологическим причинам, — не более 5%».
5. Оперативно реагировать на вопросы производства: «Срок ответа на запросы цеха/технолога по КД — не более 1 рабочего дня; 95% вопросов закрываются без выпуска новых извещений».</t>
  </si>
  <si>
    <t>Общество с ограниченной ответственностью "Томскнефтехим"/Направление Директора по производству/Производство углеводородов и сырья для пиролиза/Основное производство</t>
  </si>
  <si>
    <t>1. Провести минимум 6 встреч с каждым ИПП за квартал (с перерывом не более 2 недель между ними) на тему стандарта принятия решений (СРР), приглашение НП/СМП на не менее чем 3 встречи для оценки качества. (Встречи инициирует ВИП).
2. Внедрение и соблюдение типового календаря ИПП, не менее 90%.
3. Провести  3 положительных проверок знаний на тему:
- Знание должностной инструкций с привлечением ВИП-НП - СМП до конца квартала.
- Знание инструмента Мобильные обходы.
- СРР решение проблем.</t>
  </si>
  <si>
    <t>1. Обеспечение выполнения мероприятий в рамках ОР (Проведение ЭПБ - 100% проведено ЭПБ оборудованию согласно плана в период ОР., Устранение замечаний ЭПБ до пуска в эксплуатацию, пуск/останов) по производству.
2. Проведение ОР в срок согласно сетевого графика в з/о.
3. Обеспечение необходимыми распоряжениями - 100% в з/о ВИП-ИПП на пуск/останов/подготовка оборудования.</t>
  </si>
  <si>
    <t>Выполнение функционала в рамках СУР</t>
  </si>
  <si>
    <t>1) отсутствуют риски в РРП на этапе оценки более 30 дней в з/о.
2) отсутствуют просроченные мероприятия по управлению рисками в з/о.
3) отсутствуют риски не направленные на верификацию в з/о.
4) отсутствуют риски не утвержденные на ТК более месяца в з/о.</t>
  </si>
  <si>
    <t>Выполнение финансовых показателей производства</t>
  </si>
  <si>
    <t>1. Получение Эффекта от ММ - не менее 0,14 млн. руб
2. Получение эффекта от выполнения мероприятий программы Эффективность +  Не менее 1,17 млн. руб.
3. Не превышение пост. затрат - не более 23,68 млн. руб. в з/о ВИП .
4. Достижение КПЭ по ЭКОНС не менее 80 %</t>
  </si>
  <si>
    <t>Управление безопасностью производства</t>
  </si>
  <si>
    <t>1. 0 событий в зоне ответственности с влиянием на ИА-1 (согласно методологии)
2. 0 событий с возгораниями
3.100% выполнение еженедельных задач производственного контроля (ВИП - ИПП), с выявлением замечаний не менее 30% от общего количества задач
4.0 событий в зоне ответственности с влиянием на Ltif предприятия (Со стороны ВИП - ИПП).
5. Обеспечение 100% натурных проверок РПО с занесением в ЦНД в з/о ИПП.
6.100% вовлеченность в инструмент ПАБ (ВИП, ИПП).
4.Срок расследования происшествий в ЗО ВИПа – не более 21 дня</t>
  </si>
  <si>
    <t>1. УМД - 0 млн.руб.
2. Качество созданных сообщений в SAP - не мене 90%.
3.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
- доля дефектов выявленных в рамках МО не менее 80%</t>
  </si>
  <si>
    <t>Выполнение плана производства продукции</t>
  </si>
  <si>
    <t>1. Длительность простоев в/ц не более 90 дней.
2. Выполнение плана слива/налива сырья и ГТ не менее 90%.</t>
  </si>
  <si>
    <t>Выполнение показателей ремонтных работ</t>
  </si>
  <si>
    <t>1. Доля выполненных работ из запланированных на месяц работ в ЗО производственного не менее 90%
2. Выдача оборудования в ремонта в з/о (ИПП- ВИП) для выполнения недельного/дневного/месячного плана не менее 95%.
3. Готовность НД со стороны ИПП для выполнения ремонтных работ на производстве до 17-00 не менее 95%.
4. Доля отозванных/отклоненных НД не более 10% от общего количества за квартал.
5. Оценка ритуалов НиР в производстве по ЧЛ (планирование и анализ - нед/мес) в з/о ВИП-ИПП не менее 85%.</t>
  </si>
  <si>
    <t>Снижение нарушений НТР, НАК, сигнализаций на производстве</t>
  </si>
  <si>
    <t>1. ННТР не более - 102 шт за квартал
2. НАК не более -22 шт за квартал
3. Сигнализации - Не более 5040 шт за квартал</t>
  </si>
  <si>
    <t>01.07.2026 - 17.08.2026</t>
  </si>
  <si>
    <t>УМД в зоне ответственности не более 0 млн.руб.</t>
  </si>
  <si>
    <t>Своевременное выполнение обязательных работ в ОР2026 ПУиСП</t>
  </si>
  <si>
    <t>Своевременное и качественное выполнение  обязательных для обеспечения надежности работ по СИ и СА на ПУиСП.</t>
  </si>
  <si>
    <t>Снижение ложных срабатываний СПА относительно аналогичного периода прошлого года</t>
  </si>
  <si>
    <t>не менее 5 проценты %</t>
  </si>
  <si>
    <t>Участие в реализации проектов по ЦИ АСПЗ в ЗО</t>
  </si>
  <si>
    <t>1. Своевременное рассмотрение документов, изменений проектов по ЦИ АСПЗ в ЗО.
2. Своевременное оформление замечаний при приемке АСПЗ в эксплуатацию</t>
  </si>
  <si>
    <t>Расследование событий УМД с разработкой рекомендаций в ЗО (100%)
Анализ выученных уроков по компании (100% в ЗО)
Обеспечение своевременности выполнения рекомендаций RCA ( отсутствие просроченных в ЗО)
Показатель УМД/EBITDA в ЗО( не более 0,015%)</t>
  </si>
  <si>
    <t>Проведение проверок выполнения ТОиР</t>
  </si>
  <si>
    <t>не менее 3 единиц</t>
  </si>
  <si>
    <t xml:space="preserve"> 1.Проведение плановых комплексных проверок основных производств в соответствии с графиком - 100%.
2. Периодическое представление сводной информации по техническому состоянию систем пожарной автоматики.
3. Снижение отключенных ЗКСПС РП к.1014 - 30%
</t>
  </si>
  <si>
    <t>Актуализация стратегий обслуживания СПЗ в ПО Меридиум</t>
  </si>
  <si>
    <t>не менее 50 стратегия</t>
  </si>
  <si>
    <t>Кросcфункциональное взаимодействие с КЦ</t>
  </si>
  <si>
    <t>Отсутствуют замечания по взаимодействию со стороны корпоративного центра по срокам предоставления данных и их качеству.
Оценка цели качественная, будет оцениваться обратной связью по результатам взаимодействия. Сооценщик – Зернин Д.В.</t>
  </si>
  <si>
    <t>Обеспечение требуемого качества и марочного ассортимента</t>
  </si>
  <si>
    <t>Сформирован перечень функционала по блоку Стандартизация и ресурсный план по распределению зон ответственности с указанием требуемых сроков передачи функционала</t>
  </si>
  <si>
    <t>Применение Искусственного интеллекта</t>
  </si>
  <si>
    <t>На оценку "5" Не менее 3 готовых примеров применения ИИ в службе. Не менее 1 личного примера применения ИИ для повышения эффективности.
На оценку "6"
Обеспечить подготовку верифицированных данных для Ритуала ГТ "Анализ соблюдения технологической дисциплины на Предприятии" используя ИИ, не реже 1 раза в месяц до 30.09.2026</t>
  </si>
  <si>
    <t>1. Пройден аудит клиента Pharmazone (Neutec, Turkey) 23 июля
2. Реализован план по подготовке сертификации GMP по международной версии стандарта в течение августа 2026 года</t>
  </si>
  <si>
    <t>Выполнение плана расширения марочного ассортимента:
1. Омологирована марка LD 20220 FE для кабелей высокого напряжения до 31.07.2026
2. Проведено ОПИ марки MG 013 R  в октябре 2026 года
3. Проведено ОПИ по снижению плотности для марки LD 40200 FA в июле 2026 года
4.  Обновлена рецептура марки R 003 EX - КС PPA 2800 - в рамках БП 2027 формирование потребности на закуп.
6. Реализована программа аналитического контроля по подмесу МТБЭ в Пироконденсат
7. Омологация, аналитическое сопровождение ОПИ по подмесу ингибитора в Пироконденсат
8. На оценку "6" Компенсирующих мероприятий сформировано на сумму +10% от база (33 млн)</t>
  </si>
  <si>
    <t>Обеспечена деятельность сотрудников отдела КиС комиссарами в ОР</t>
  </si>
  <si>
    <t>Заключён договор с ФГБОУ ВО "КНИТУ" "Работы по расширению диапазона температуры и влажности при хранении и транспортировании полиэтилена", направлены пробы для проведения исследований в рамках договора</t>
  </si>
  <si>
    <t>Стандартизация и техническое регулирование.</t>
  </si>
  <si>
    <t>Организована работа по соблюдению графиков пересмотра  технологических регламентов.
Внесены изменения в ТР в связи с подготовкой к остановочному ремонту:
ПМ - 3 регламента
ППЭ - 2 регламента
ППП - 2 регламента
Осуществлена нумерация арматур на технологических схемах к ПТР - 10 регламентов</t>
  </si>
  <si>
    <t>Минимизация потерь:
1. УМД по качеству, % от EBITDA, не более 0,3
2. На оценку "5" Процент несоответствующей продукции (НСП)% не более 5,33 % (4501 тонн)
На оценку "6" Процент несоответствующей продукции не более 3,94% (3323 тонн)
ОР минус 706 тонн
3. Коэффициент повторяемости обращений и тяжести последствий (КПОиТП), не более:
ПМ 0,11, ПМ ЖД 0,08
ПЭНП 0,50
ППП 1,32</t>
  </si>
  <si>
    <t>1.0 событий в зоне ответственности с влиянием на Ltif предприятия.
2.100% вовлеченность в инструмент ПАБ
3. 100 % выдача заданий сменному персоналу через распоряжения в МТОиР с подробным описанием действий персонала.</t>
  </si>
  <si>
    <t>УМД в ЗО, млн.руб.</t>
  </si>
  <si>
    <t>1) 0 млн.руб.
2) Качество созданных сообщений в SAP не мене 90%.
3) отсутствие дефектов в МТОиР требующих действий в ЗО</t>
  </si>
  <si>
    <t xml:space="preserve"> - выбросы ЗВ в атмосферу не более 0,038 тыс. тн.
- сбросы ЗВ в стоки не более 0,018 тыс. тн, отсутствие несанкционированных сбросов в грунт, в систему К-2, К-7.
- отходы на размещение не более 0,005 тыс. тн., своевременные заявки на утилизацию/реализацию отходов, 100% отсутствие размещения отходов в не предназначенных для этого местах. Соблюдения ПЭП.
</t>
  </si>
  <si>
    <t>Управление Аварийностью</t>
  </si>
  <si>
    <t>1.0 событий в зоне ответственности с влиянием на ИА-1 (согласно методологии)
2.0 событий с возгораниями
3.100% выполнение еженедельных задач производственного контроля , с выявлением замечаний не менее 30% от общего количества задач
4. 100%  обеспечение проведения ревизии трубопроводов ПУ и СП
5. 100% обеспечения внесения записей в паспорта трубопроводов, резервуаров,сосудов.
6. 100 % выдача заданий сменному персоналу через распоряжения в МТОиР с подробным описанием действий персонала.</t>
  </si>
  <si>
    <t>Подготовка к проведению ОР 2026</t>
  </si>
  <si>
    <t>Обеспечение не менее 95% движения производства по ДК подготовки оборудования  ОР 2026 в ЗО</t>
  </si>
  <si>
    <t>Доля выполненных работ ППР из запланированных работ в ЗО не менее 90 %</t>
  </si>
  <si>
    <t xml:space="preserve"> Доля проведения проверок н/д в з/о</t>
  </si>
  <si>
    <t>100% проведения проверок н/д (ГОР,ОР) по месту
не менее 50% проведения проверок н/д (ГОР, ОР, ВР, ЗР, РР) по содержанию</t>
  </si>
  <si>
    <t>не менее 90 баллов</t>
  </si>
  <si>
    <t>1. Выбросы ЗВ в атмосферу не более 0,053 тыс.тн
2. Сбросы ЗВ в стоки не более 0,018 тыс. тн
3. Отходы на размещение не более 0,032 тыс. тн
4. Организация проведения ЭКО мероприятий не менее 3шт в кавртал.
5. Контроль и снижение раскачек бункера ХЗК согласно разработанного распоряжения №00329 - не менее 15 откачек в месяц.</t>
  </si>
  <si>
    <t>1. Получение Эффекта от ММ - не менее 0,14 млн. руб
2. Получение эффекта от выполнения мероприятий программы Эффективность + - Не менее 1,17 млн. руб.
3. Не превышение пост. затрат - не более 23,68 млн. руб. в з/о СМП.</t>
  </si>
  <si>
    <t>1. Кадровая защищенность (формирование пула вторых номеров на должности ИТР - Старший менеджер производства, НС) - Не менее 80%.
2. Укомплектованность смен согласно дашборда HR &gt;=95%.
3. Приживаемость сотрудников до года &lt;= 12%.
4. Текучесть общая &lt;= 10 % в расчете на год</t>
  </si>
  <si>
    <t>Работа с компетентностью сотрудников производства</t>
  </si>
  <si>
    <t>1. Разработка дополнительно 30% вопросов к ЕКЭ по каждой компетенции (Не позднее 15.09.2026).
2. Пересмотрены и актуализированы вопросы  к ЕКЭ с учетом апелляций.
3. Соблюдения графика проведения спец. подготовки не менее 90%.
4. Проведение аттестаций согласно графика по ПАК не менее 95%
5. Индекс компетентности производства не менее 93%.</t>
  </si>
  <si>
    <t>1) отсутствуют риски в РРП на этапе оценки более 30 дней;
2) отсутствуют просроченные мероприятия по управлению рисками;
3) отсутствуют риски не направленные на верификацию;
4) отсутствуют риски не утвержденные на ТК более месяца.
5) соответствие ритуала Риск сессия согласно чек листа не менее 2.8</t>
  </si>
  <si>
    <t>1.Наличие обязательных допусков сотрудников - не менее 99%, без учета вновь принятых сотрудников (до 3 мес)
2.Натурная проверка РПО (ГОР, ОР, ВР, Земляные) не менее 95%. Проверка в системе (По содержанию) РПО не менее 50%. Проверка РПО особо опасных – 100%
3.0 - событий в зоне ответственности с влиянием на Ltif предприятия, включая ОР.
4.Срок расследования происшествий не более 21 дня
5. 100% проведенных ритуалов по ОТ,ПБ (Развитие СУ ОТ,ПБиЭ), с фактическим качеством оценки (По чек листу - ПСС) не менее 90%.
6. 0 событий в зоне ответственности с влиянием на ИА-1,2 (согласно методологии)
7. 0 событий с возгораниями
8. 100% выполнение еженедельных задач производственного контроля, с выявлением замечаний не менее 30% от общего количества задач
9. Проведение 100% УТЗ по ПМЛА в смене согласно графика.</t>
  </si>
  <si>
    <t>1 .Организация работы комиссаров производства в рамках ОР, проведение натурных проверок комиссарами не менее 90% согласно выгрузки Диспетчера по Гео. меткам. - Совпадение маршрутов обходов не менее 90%
2.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(ССГ, ИХЭ).
3. Проведение ОР в срок согласно сетевого графика в з/о согласно п.2.
4. Организация работы ЭКО Комиссара Зоркальцевой А.А. на период ОР - 0 не выполненных замечаний по итогам работы в ОР.</t>
  </si>
  <si>
    <t>- Оценка приживаемость системы ПСС на производстве не менее 90%.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</si>
  <si>
    <t>Развитие ЦЗЛ: подготовка Андреевой И к отраслевому чемпионату</t>
  </si>
  <si>
    <t>Выполнение Программы подготовки, координация работ</t>
  </si>
  <si>
    <t>Реализация плана Вектор развития в смене, исполнение обязанностей второго номера без замечаний по стандартным процессам  Катушенко Н.А.</t>
  </si>
  <si>
    <t>Обеспечить выполнение аналитического контроля в смене</t>
  </si>
  <si>
    <t>Актуализация СОП 92.142, 92.82, совместно с ответственным  старшим химиком составление и выполнение  планов 5С на 3 квартал с предоставлением отчета Было-Стало, проведение мозговых штурмов в смене.</t>
  </si>
  <si>
    <t>Реализация плана Вектор развития в смене, наставничество и исполнение обязанностей  Андреевой И. и Вайхель Е.В.  старшего химика смены без замечаний по стандартным процессам</t>
  </si>
  <si>
    <t>Поддержание и развитие СМ в ЦЗЛ</t>
  </si>
  <si>
    <t>Выполнение Графика внутренних проверок во вложении), закрыть долг за май</t>
  </si>
  <si>
    <t>Своевременное и качественное формирование бизнес-планов ЭПНиР ТД</t>
  </si>
  <si>
    <t>цель качественная:
- Выполнена: План ЭПНИР ТД на 2027г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План ЭПНИР ТД на 2027г передан на экспертизу/утверждение с задержкой &lt; 7 рабочих дня в соответствии с методологией по качеству планирования  (PowerPoint, Excel, ИС) в ЗО
- Не выполнена: План ЭПНИР ТД на 2027г передан на экспертизу/утверждение с задержкой &gt; 7 рабочих дня c отклонениями от методологии по качеству планирования  (PowerPoint, Excel, ИС) в ЗО</t>
  </si>
  <si>
    <t>Своевременное и качественное формирование отчетности ЭПНиР ТД</t>
  </si>
  <si>
    <t>Формирование отчетности  в соответствии с установленными требованиями и сроками
- Выполнена: Отчетность ЭПНиР ТД сформирована  в установленный срок согласно графика в соответствии с методологией управления затратами (PowerPoint, Excel) в ЗО
- Выполнена частично: Отчетность ЭПНиР ТД сформирована  с задержкой &lt; 7 рабочих дня в соответствии с методологией управления затратами (PowerPoint, Excel) в ЗО
- Не выполнена: Отчетность ЭПНиР ТД сформирована  с задержкой &gt;7 рабочих дня в соответствии с методологией управления затратами  (PowerPoint, Excel) в ЗО</t>
  </si>
  <si>
    <t>Приживаемость НОМ (P2I)</t>
  </si>
  <si>
    <t>не менее 3 ед</t>
  </si>
  <si>
    <t>Повышение профессиональных и поведенческих компетенций</t>
  </si>
  <si>
    <t>Прохождение обучения в соответствии с планом</t>
  </si>
  <si>
    <t>Качество работы в рамках ОМ</t>
  </si>
  <si>
    <t>6- графики и отчетность формируются в соответствии с требованиями ОМ, вовремя и качественно формируются МНЗ в части СМР. Планером вовремя выявляются коллизии в данных, предоставляемых Руководителями проектов и прочими участниками проектов. Оказывается поддержка специалистам других предприятий по ведению графиков и отчетности
5- то же самое, без поддержки специалистам других предприятий по ведению графиков и отчетности
4- то же самое, но с незначит. замечаниями к формированию и ведению графиков, выдаче МНЗ
3- то же самое, но со значит. замечаниями к формированию и ведению графиков, выдаче МНЗ</t>
  </si>
  <si>
    <t>Качество планирования ИП</t>
  </si>
  <si>
    <t>Выполнение дневного плана</t>
  </si>
  <si>
    <t>Выполнение недельного плана</t>
  </si>
  <si>
    <t>не менее 8.41 млн. руб.</t>
  </si>
  <si>
    <t>Достижение целей по ключевым показателям эффективности
ВПР = 67.46 %
ИЭ = 164.39 %</t>
  </si>
  <si>
    <t>сигнализации - 15955 шт.
НТР - не более  21216  шт./кв.
НАК - не более 1222 шт./кв.</t>
  </si>
  <si>
    <t>не менее 81.832 тыс. т.</t>
  </si>
  <si>
    <t>Сокращение потребления топ.газа на печах пиролиза</t>
  </si>
  <si>
    <t>нахождение в зеленной зоне по удельному потреблению топ.газа</t>
  </si>
  <si>
    <t>Инженер-программист</t>
  </si>
  <si>
    <t>Наладка, запуск и сопровождение</t>
  </si>
  <si>
    <t>выполнить обработку первой детали с участием технолога/контролёра, зафиксировать параметры (режимы, инструмент, оснастка) в технологической карте.</t>
  </si>
  <si>
    <t>Обеспечить соответствие УП требованиям КД и ТУ</t>
  </si>
  <si>
    <t>все программы должны гарантировать соблюдение допусков, шероховатости и иных параметров, подтверждённых замерами на первой детали.</t>
  </si>
  <si>
    <t>Отсутствие Обоснованных претензий по браку новых изделий на станках ЧПУ от Начальника механического участка РПИ - 0 шт</t>
  </si>
  <si>
    <t>1.  Записи по ПБ 3 шт за квартал .
2.  Записи по Экологии 3 шт за квартал .
3.  Проведение ПАБ -3 шт за квартал .
4. Запись в журнале по ОТ -30 шт за квартал .
5. Вовлеченность в чемпионат по безопасности. - 100%</t>
  </si>
  <si>
    <t>Разработка стандартных операционных процедур (СОП)</t>
  </si>
  <si>
    <t>Разработать за квартал 3 СОП</t>
  </si>
  <si>
    <t>Организация рабочего места по ТИБА, внесение изменений в текущую МИ по ТИБА</t>
  </si>
  <si>
    <t>С начала каждого месяца проводить:
ОТ: не менее 1 ПАБ по ОТ; не менее 5  ЛО по ОТ (с подтвержденным средним риском 2 ЛО  за 3 кв.)
Экология: не менее 5 ЛО по Экологии, не менее 1 экомероприятия</t>
  </si>
  <si>
    <t>Выполнение процессов в зоне ответственности:
Настройка интеграции оборудования в ЛИМС, Занесение процедур ВК масел</t>
  </si>
  <si>
    <t>Реализация мероприятий Плана 5 С на 3кв.  2026 г, вовлеченность  в УМШ, пересмотр 2 СОП 92.56 и 92.174</t>
  </si>
  <si>
    <t>Выполнение графика внутренних аудитов (во вложении): 3 кв.3, закрыть долг - 5 проверок</t>
  </si>
  <si>
    <t>Общество с ограниченной ответственностью "Томскнефтехим"/Цифровые технологии/Система усовершенствованного управления технологическими процессами</t>
  </si>
  <si>
    <t>Выполнение Техрешений и Задач по развитию СУУТП и МПА</t>
  </si>
  <si>
    <t>Доработка процедур и контроллеров для улучшения ряда метрик: снижение числа сигнализаций, минимизация воздействий оператора, минизмизация рисков для процесса и оборудования.</t>
  </si>
  <si>
    <t>Техническое обслуживание СУУТП в ОР2026</t>
  </si>
  <si>
    <t>Сняты бэкапы серверов ПМ, ППЭ, ППП; установлены необходимые обновления
Произведён осмотр, обслуживание, чистка от пыли серверов и шкафов, протяжка клемм питания. Демонтаж неиспользуемого оборудования и кабельных трасс.
Выполнены программные и технические изменения: синхронизация времени, прогрузка новых логик АСУ ТП в т.ч. под проект ППП.</t>
  </si>
  <si>
    <t>Бюджет на поддержку СУУТП 2027-2029</t>
  </si>
  <si>
    <t>С формирован и оценен объем потребности во внешних услугах для функционирования и развития СУУТП на 2027-2031 год в т.ч. миграция на российское программное обеспечение, лицензии и сервисное обслуживание, выполнение проектных работ и актуализация технической документациии. Оформлены необходимые материалы, и рассчитаны индексы (ROI) для старта ЦИ.</t>
  </si>
  <si>
    <t>Поиск доп.ММ по СУУТП и RTO с реализацией в 3-4 кв.26 г.</t>
  </si>
  <si>
    <t>Поиск доп.ММ по СУУТП и RTO с реализацией в 3-4 кв.26 г.
Продолжение работ по Дорожной карте ФЭП</t>
  </si>
  <si>
    <t>Выполнение программы развития СУУТП ТНХ за 3 кв 2026</t>
  </si>
  <si>
    <t>Пройдены назначенные обучения, выполнены развивающие задачи и задачи на закрепление навыков согласно программы развития и мероприятий матрицы компетенций
https://confluence.sibur.local/pages/viewpage.action?pageId=449941827</t>
  </si>
  <si>
    <t>Экономический эффект по мероприятиям менеджмента</t>
  </si>
  <si>
    <t>не менее 1.192 млн</t>
  </si>
  <si>
    <t>СУУТП, RTO на ППП ТНХ</t>
  </si>
  <si>
    <t>1. Проведено тестирование и запущены в эксплуатацию по л.А и л.В производства ПП ТНХ новые контроллеры СУУТП в условиях термодинамической нестабильности
2. Разработан оффлайн оптимизатор технологических параметров для обновления тех. карт. Рассчитаны оптимальные условия, подготовлена программа пробега
3. Разработаны строгие кинетические модели с точностью по ПТР и атактике 70% R2 по линии А и Б.
4. Согласован ЗнИ на выделение ресурсов в СД, разработан и согласован ЗнИ на формирование и развертывание нового виртуального сервера для модели производства ПП
ТНХ
5. Разработана и выпущена инструкция для технологического персонала по управлению СУУТП
6. Проведены встречи на уровне предприятия: статус проекта за 6 месяцев, статус проекта за 9 месяцев. Участники: ДпП, НП, ГТ
7. Достигнут ЭЭ по проекту в размере 7,2 млн. руб. за Q3 2026</t>
  </si>
  <si>
    <t>Эффективность эксплуатации СУУТП</t>
  </si>
  <si>
    <t>Сформировано предложение по применению ИИ для подготовки отчётов ОПИ</t>
  </si>
  <si>
    <t>Перевод на этап на P2I : 23000287 "Нейтрализация отходов АОС с АГХК на ТНХ"</t>
  </si>
  <si>
    <t>Тех дисциплина</t>
  </si>
  <si>
    <t>1.Не более: ННТР 1 884 шт
2.ННАК 240 шт;
3.Сигнализации 100000 шт
4.ПИД 75%
5. Разработаны корректирующие мероприятия по снижению отклонений ННТР, ННАК, сигнализаций, перевода ПИД к целевому %;</t>
  </si>
  <si>
    <t>Обеспечить показатель валового НСП ПП(все ЗО), не более 1265т./4,18%</t>
  </si>
  <si>
    <t>не более 1265 тн</t>
  </si>
  <si>
    <t>Обеспечить подтвержденным финансовым эффектом в 2026 от реализации мероприятий</t>
  </si>
  <si>
    <t>не менее 16 млн руб</t>
  </si>
  <si>
    <t>Обеспечить налив ТЭА в цистерны для АГХК и KPI</t>
  </si>
  <si>
    <t>произведен налив ТЭА в контейнер 8м3 и танк контейнер</t>
  </si>
  <si>
    <t>Обеспечить проведение ОПИ собств катализатора на лин А</t>
  </si>
  <si>
    <t>Проведено ОРИ, составлен отчет</t>
  </si>
  <si>
    <t xml:space="preserve"> Обеспечить подтвержденный финансовый эффект от внедренных ММ в размере</t>
  </si>
  <si>
    <t>не менее 15 млн руб</t>
  </si>
  <si>
    <t>Исполнение плана КВ</t>
  </si>
  <si>
    <t>Подготовка и своевременная актуализация Плана освоения, Плана финансирования, Плана ввода капитальных вложений по Целевым инициативам</t>
  </si>
  <si>
    <t>Своевременное формирование отчетности в установленные регламентом сроки</t>
  </si>
  <si>
    <t>Составление  дефектных ведомостей в электронном виде, 100% от плана.</t>
  </si>
  <si>
    <t>Исполнение бюджета по ПОФ</t>
  </si>
  <si>
    <t>Реализация проекта по устранению замечаний ЭПБ ПЧ-9 к.1109/3.
Реализация проекта по монтажу фундаментов под насосы Н-2, Н-104/2.
Демонтаж в к.110, к.111.</t>
  </si>
  <si>
    <t>Выполнение ПИР, СМР, ПНР рамочными подрядчиками Не менее 90 %</t>
  </si>
  <si>
    <t xml:space="preserve"> Управление LTIF подрядчиков</t>
  </si>
  <si>
    <t>Ожидаемый результат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</si>
  <si>
    <t>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</si>
  <si>
    <t>Исполнение плана освоения, финансирования и ввода капитальных вложений ИП и ПОФ</t>
  </si>
  <si>
    <t>-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t>
  </si>
  <si>
    <t>1. Кадровая защищенность (формирование пула вторых номеров)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</si>
  <si>
    <t>сигнализации - 16 364шт.
НТР - не более  18 048 шт./кв.
НАК - не более 534 шт./кв.</t>
  </si>
  <si>
    <t>ВПР = 94,41%
ИТЭ = 98,67%
ИЭ = 140,7%
ИТЭзхп = 96,39%</t>
  </si>
  <si>
    <t>1. Выбросы ЗВ в атмосферу не более 0,359 тыс. т
2. Сбросы ЗВ в стоки не более 0,101 тыс. т
3. Отходы на размещение не более 0,036 тыс. т
4. Водопотребление не более 403,5 тыс. м3
5. Выбросы парниковых газов 183,958 тыс. т СО2</t>
  </si>
  <si>
    <t>не менее 113267 тыс. тонн</t>
  </si>
  <si>
    <t>1. Выбросы ЗВ в атмосферу не более 0,224 тыс. тн
2. Сбросы ЗВ в стоки не более 0,018 тыс. тн
3. Отходы на размещение не более 0,028 тыс. тн.</t>
  </si>
  <si>
    <t>не более 1% от EBITDA</t>
  </si>
  <si>
    <t>не более 10% отклоненных.</t>
  </si>
  <si>
    <t>Планирование бюджета на 2027</t>
  </si>
  <si>
    <t>Защищен бюджет перед функцией по статьям в зоне ответственности</t>
  </si>
  <si>
    <t>Бюджет Тех.менеджмент СХО ТНХ</t>
  </si>
  <si>
    <t>не более 5436 тыс. руб.</t>
  </si>
  <si>
    <t>Подготовка к ОЗП 2026/2027</t>
  </si>
  <si>
    <t>Проведены ЛО ЗиС, устранены критичные замечания. Своевременно подано тепло в корпуса.</t>
  </si>
  <si>
    <t>Переезд ИБ из к.1120 в к.1002</t>
  </si>
  <si>
    <t>Сотрудники размещены в к.1002 в каб.228</t>
  </si>
  <si>
    <t>Обеспечен регулярный контроль сроков устранения замечаний.
Кроссфункционально отрабатываются новые замечания в рамках гарантийных обязательств подрядчиков и поставщиков.
Обеспечена нормальная эксплуатация инженерных систем СБК кроссфункционально с подрядчиками СХО и отдела ТОиР.</t>
  </si>
  <si>
    <t>1. Кадровая защищенность: По результатам кадровых комитетов сформирован пул вторых номеров на ИТР-позиции (ИС, НС, ИПП, СМ, НП). Проведены встречи со вторыми номерами, определены дальнейшие треки, сформированы ИПР при необходимости, реализуются в полном объеме.
2. Укомплектованность 95%
  Укомплектованность как по штату так и по сменам в целевых значениях.
3. Стабилизация показателей текучести/приживаемости: По результатам кадровых комитетов сформирован пул вторых номеров на ИТР-позиции (ИС, НС, ИПП, СМ, НП). Проведены встречи со вторыми номерами, определены дальнейшие треки, сформированы ИПР при необходимости, реализуются в полном объеме</t>
  </si>
  <si>
    <t>Проведение ритуалов РС согласно графика (не менее 2) с оценкой качества ритуала</t>
  </si>
  <si>
    <t>проведено 2 риск-сессии со средней оценкой 2,6 баллов</t>
  </si>
  <si>
    <t xml:space="preserve"> УМД в зоне ответственности</t>
  </si>
  <si>
    <t>- УМД в зоне ответственности производства 0 млн. руб.
- Отсутствие УМД от Ebitda по ранее митигированным рискам через ПОФ и орг. мероприятиям в РРП
- Отсутствие УМД по событиям вне РРП
- Срок расследований событий с УМД не более 30 дней
- Покрытие анализами RCA всех событий с УМД выше 1,6 млн.руб.
- Покрытие экспресс анализами всех событий с УМД ниже 1,6 млн.руб.
- Качество проведённых расследований с УМД более 90%.</t>
  </si>
  <si>
    <t>Ведущий инженер по охране труда и промышленной безопасности</t>
  </si>
  <si>
    <t>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2. Кол-во ГОР и ОР в выходные дни снижено до 10% (отн. выход/будни) в среднем по предприятию
 3. Организованы системные проверки ОТиПБ ранжирования РПО в ЦНД и видеофиксации целевых инструктажей в выходные дни (ГОР, ОР)</t>
  </si>
  <si>
    <t>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t>
  </si>
  <si>
    <t>Выполнение пункт предписаний в соответствии с планом мероприятий</t>
  </si>
  <si>
    <t>Выполнение пункт предписаний в соответствии с разработанным планом мероприятий</t>
  </si>
  <si>
    <t>Развитие себя</t>
  </si>
  <si>
    <t>Выполнены мероприятия ИПР в соответствии с графиком.</t>
  </si>
  <si>
    <t>Кадровая защищенность и развитие команды</t>
  </si>
  <si>
    <t>Реализация инструмента по контролю соблюдения технологических нормативов</t>
  </si>
  <si>
    <t>1. Разработанный во 2кв инструмент успешно применяется для контроля достижения ТН на ПМ.
2. Разработаны методики по контролю ТН для ППП и ППЭ.
3. Контроль ТН реализован на ЦП Эконс как минимум на 1 производстве.</t>
  </si>
  <si>
    <t>Повышение эффективности существующих бизнес-процессов Фукции</t>
  </si>
  <si>
    <t>Экологическое просвещение во внутреннем и внешнем контуре</t>
  </si>
  <si>
    <t>Проведен Комитет по Устойчивому развитию</t>
  </si>
  <si>
    <t>Комплексная программа по выпуску осетра с Главрыбводом и Росрыболовством</t>
  </si>
  <si>
    <t>1) Осуществлён выпуск молоди осетра 10 г.</t>
  </si>
  <si>
    <t>Разработка и реализация комплексной программы по компенсационному выпуску в Обь-Иртышский бассейн молоди ценных пород рыб совместно с
 Федеральным агентством по рыболовству и Главрыбводом Не менее 4</t>
  </si>
  <si>
    <t>Реализация ЦИ "Оснащение САК ТНХ"</t>
  </si>
  <si>
    <t>Экспертиза и контроль реализации ЦИ согласно ДК:
1. Выполнены СМР в период ОР.
2. принято  решение по дальнейшей реализации</t>
  </si>
  <si>
    <t>Повышение прозрачности и точности сведений о воздействии на атмосферный воздух и водные объекты Не менее 165</t>
  </si>
  <si>
    <t xml:space="preserve"> Остановочный ремонт с соблюдением всех экологических требований, отсутствие нарушений со стороны подрядных организаций.
Жалоб со стороны ГОС отсутствие, согласованы действия с ГОС</t>
  </si>
  <si>
    <t>Выполнение целей УР (выбросы, сбросы, отходы)</t>
  </si>
  <si>
    <t>Подготовка и выполнение остановочного ремонта согласно заявленным параметрам БП</t>
  </si>
  <si>
    <t>Управление ТОиР</t>
  </si>
  <si>
    <t>Выполнение корректирующих работ в срок - &gt;90%;
Выполнение превентивных работ в срок - &gt;90%;
Выполнение программы тех. независимости в запланированных объемах и сроках  - Все запланированные программы исполнены в срок
На всю отсутствующую документацию по оборудованию, которую выходила в ремонт восстановлена документация</t>
  </si>
  <si>
    <t>Кадровая защищенность ключевых должн. ТОиР &gt; 60%</t>
  </si>
  <si>
    <t>не менее 61  %</t>
  </si>
  <si>
    <t>"Цель качественная: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Получены все необходимые допуски
Выполнены все записи в журнал ИиС, Экология, ПАБы.
Вес показателя не менее 10% по периметрам К+ПК+СПК в зоне ответственности.
Benchmark – ежегодный устанавливаемое функцией ОТ и ПБ значение LTIF исходя из мировой статистики (на 2024 год составляет 0.28)"</t>
  </si>
  <si>
    <t>УМД - 0</t>
  </si>
  <si>
    <t>в з.о. СУОФ по отказам оборудования УМД от EBITDA = 0;
Отсутствует отставание по расследованиям;</t>
  </si>
  <si>
    <t>Сокращение заявок на закуп МТР за счёт вовлечения аналогов из избыточных запасов/ высвобождения АТЗ с помощью ИИ по подбору аналогов.
-Экономический эффект ОФ, 3224,527 тыс. руб.</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</si>
  <si>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компрессорного и технологического оборудования ПМ, ППЭ, ППП, ПУиСП/Поле</t>
  </si>
  <si>
    <t>1. 20 баллов по чек-листу оценки рабочего места.
2. Одна идея УМШ по развитию и поддержанию ПСС в месяц.</t>
  </si>
  <si>
    <t>1. Индекс компетентности персонала не менее 65%.
2. Контроль выполнения планов обучения и соблюдения графиков реализации обучающих программ.</t>
  </si>
  <si>
    <t>1. Проведение ПАБ и выявление ОД/ОУ.
2. Вовлечение персонала в мотивационную программу "Чемпионат по безопасности по ОТ, ПБ и Э" 100%.
3. 100% выполнения мероприятий при производстве работ по Наряду допуску.
4. Отсутствуют просроченные id - допуска в матрице положенности в смене</t>
  </si>
  <si>
    <t>1. Выполнение дневного плана работ.
2. Своевременное и ежесменное подтверждение фактических трудозатрат в SAP.</t>
  </si>
  <si>
    <t>Экономический эффект 3 квартал не менее 14,96 млн руб.
Эффективность + не менее 68,98 млн.руб (на оценку 6 - 79,33 млн.руб, на оценку 7 - 86,23 млн.руб)</t>
  </si>
  <si>
    <t>УМД в зоне ответственности 0 млн.руб</t>
  </si>
  <si>
    <t>1. Заполнить вакансии СИ
2. Кадровая защищённость, определить вторые номера на ключевые позиций (СИ, ИПП)
3. Текучесть общая &lt;= 10 % в расчете на год
4. 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5. Укомплектованность смены с учетом допусков - 95%
6. Срок подготовки нового сотрудника и успешная сдача ЕКЭ не более 90 дней.</t>
  </si>
  <si>
    <t>ВПР = 70,28%
ИТЭ = 98,28
ИТЭзхп = 95,29
ИЭ = 103,09</t>
  </si>
  <si>
    <t>Реализация производственного плана. ТЭА 94,5 тн.</t>
  </si>
  <si>
    <t>не менее 29.852 тыс. тн</t>
  </si>
  <si>
    <t>Минимизация потерь НСП</t>
  </si>
  <si>
    <t>Управление ремонтом -Электрика ПП</t>
  </si>
  <si>
    <t>Разработка перечня подменного фонда и ЗЧ по ЭД и электрооборудования, с указанием мест хранения и позиций</t>
  </si>
  <si>
    <t>Участие в проектах по модернизации и расследованиях</t>
  </si>
  <si>
    <t>Принимать участие в проектах модернизации и принимать участие при необходимости в расследование причин остановов производства, оборудования.</t>
  </si>
  <si>
    <t>1. Замеры ЧВР (ФРД) анализ потерь, разработка мероприятий на их снижение (Не менее 2 замеров в месяц)
2.  Сокращение потерь через проведения ФРД, ЧВР поля выше 63%, цеха выше 76%</t>
  </si>
  <si>
    <t>1. ИК: Дежурная группа = 90%
2. Контроль выполнения планов обучения и соблюдения графиков реализации обучающих программ 95-97%
3.  Проведение теоретического и практического обучения согласно тем Матрицы компетенций персоналу РП КИПиА АСУТП  согласно графика.
4. Доработка рабочих тетрадей по инженерному стандарту (с указанием сравнений того или иного типа оборудования. Их плюсы и минусы).
5. Составление графиков и контроль проведения запланированных аттестаций по ИС
6. Контроль актуальности ИК
7. Контроль работы наставников
8. Разработка и проведение Спецподготовки за 3 квартал</t>
  </si>
  <si>
    <t>1. Соблюдение графика карт СОП  100%
2. Приживаемость сотрудников до 1 года, МС - &lt;10%
3. Вовлечённость в Пульс опрос  =  100%
4. Срок получения допуска к самостоятельной работе не более 90 дней.
5. Прохождение управленческих мастерских СРР согласно графика</t>
  </si>
  <si>
    <t>1. Разработка, проверка разработанных СОПов
2. Контроль качества выполнение заказов</t>
  </si>
  <si>
    <t>Общество с ограниченной ответственностью "Томскнефтехим"/Направление Директора по производству/Производство углеводородов и сырья для пиролиза/Смена 3</t>
  </si>
  <si>
    <t>1. Индекс компетентности смены не менее 89%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</si>
  <si>
    <t>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</si>
  <si>
    <t>Согласование ОЛ и сборочных чертежей для проектирования ПКУ Томск не позднее 30.09.2026г.</t>
  </si>
  <si>
    <t>Разработка РД на устранение предписаний РТН</t>
  </si>
  <si>
    <t>Разработана РД на установку прибора определяющего направление ветра на ТСБ - срок 30.08.2026;
Разработана РД к.1011 сигнализация о неисправной работе вентиляционных систем - срок 30.09.2026г.</t>
  </si>
  <si>
    <t>Выполнение работ по проекту замена т/о А,Б-136</t>
  </si>
  <si>
    <t>Выполнен проекта по замене ТО А, Б – 136 в срок и безопасно, без влияния на общие сроки ОР ПЭВД</t>
  </si>
  <si>
    <t>Охрана труда LTIF в зоне ответственности</t>
  </si>
  <si>
    <t>- вовлеченность в чемпионат безопасности - 100%.
- охрана труда - не менее 3 баллов за квартал.
- экология - не менее 3 баллов за квартал.
-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</si>
  <si>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Контрактная стратегия ПИР</t>
  </si>
  <si>
    <t>Средневзвешенная длительность реализации низкобюджетных проектов по предприятию</t>
  </si>
  <si>
    <t>не более 414 день</t>
  </si>
  <si>
    <t>Средневзвешенная длительность реализации НБ проектов (I2I) Не более 414 дней</t>
  </si>
  <si>
    <t>Изучение технологии смежных производств</t>
  </si>
  <si>
    <t>Изучена технология получения полиэтилена в части (свойства полимера, тех. процессы полимеризации, катализ)
Образ результата - устная проверка с МТиР по знанию технологии</t>
  </si>
  <si>
    <t>Развитие персонала</t>
  </si>
  <si>
    <t>1. Разобрать с Давыдовым А. А.  не менее 1 спринта
2. Повышение эффективности ВИТ за счет отработки навыков приоритезации задач, работа над фокусированием</t>
  </si>
  <si>
    <t>Работа с наставником</t>
  </si>
  <si>
    <t>1. 80 % Выполнение ИПР на 3 квартал</t>
  </si>
  <si>
    <t>Целевой результат 3 квартал на 5
1. Статистика по отклонениям ННТР, ННАК формируется из реестра событий в срок до 10 числа ежемесячно, не менее 100%
2. Анализ причин отклонений показателей ННТР, ННАК от целевых фиксируется на ритуале ВИТ-ВИП еженедельно.
3. Подготовка верифицированных данных для Ритуала ГТ "Анализ соблюдения технологической дисциплины на Предприятии", не реже 1 раза в месяц
4. Качество планирования и реализации ОПИ, не менее 65%
5. Успешность ОПИ, не менее 80%
6. Доля просроченных мероприятий АКП, не более 10% в месяц
7. Покрытие расследованиями отклонений ключевых РН по сырью, не менее 90%
Целевой результат 3 квартал на 6 (включая мероприятия на 5)
3. Обеспечить нормализацию данных по сигнализациям для ФЭП, обеспечить предоставление корректных данных для отчета</t>
  </si>
  <si>
    <t>Внедрение проекта ИИ</t>
  </si>
  <si>
    <t>Проект ИИ по снижению НСП при марочных переходах на ПЭ опробован на одном переходе, составлены новые алгоритмы для других переходов</t>
  </si>
  <si>
    <t>Целевой результат 3 квартал на 5
1. Обеспечить показатель валового НСП ПП+ПЭ (все ЗО), не более 4501 т./5,33% (ПЭ = 3236т./5,97%, ПП = 1265т./4,18%) до 30.09.2026  за счёт разработки и реализации орг. и тех. меропритяий
2. Обеспечить выполнение (выдерживание) расходных норм МТР не менее 90-95% до 30.09.2026 за счёт разработки мероприятий
4. Отсутствие неидентифицированных потерь/дебалансов
5. Обеспечить выполнение показателя "Потери по ключевым РН сырья в ЗО ФЭП" до 30.09.2026,  не более 114 млн.руб (ПЭ этилен = 24, ПП пропилен = 14) за счёт разработки мероприятий
Целевой результат 3 квартал на 6 (включая мероприятия на оценку 5)
1. Обеспечить показатель валового НСП ПП+ПЭ (все ЗО), не более 3323 т./3,94% ( ПЭ =  2736 т./5,05%, ПП = 587 т./1,94% ) до 30.09.2026  за счёт разработки и реализации орг. и тех. меропритяий при проведении остановочных/пусковых операций ПЭ/ПП</t>
  </si>
  <si>
    <t>Целевой результат 3 квартал на оценку 5
1. Обеспечить подтвержденный финансовый эффект от внедренных ММ в размере не менее 249 млн руб.  до 30.09.2026 ( ПЭ=235, ПП=15)
2. Сформировать  перечень инициатив на 2027г. с суммарным прогнозным эффектом на EBITDA не менее 54,8 млн руб.  до 30.09.2026 (В СОВА на этапе I2P ММ:  ПЭ=40,5, ПП=14,3)
3. Обеспечить выполнение норм расхода сырья в период ОР-2026г., не более:
3.3 ПП = 518т.
4.  Обеспечить  подтвержденным финансовым эффектом в 2026 от реализации мероприятий  программы "Эффективность+" в ЗО СГТ   до 30.09.2026, млн.руб.:
4.2 ПЭ = 63;
4.3 ПП = 16;
Целевой результат 3 квартал на 6 (в дополнении к показателям оценки 5)
3. Снизить потери сырья относительно заложенных в БП-2026 на ОР за счёт разработанных технических мероприятий :
3.1. ПМ = -190 тонн (бензин);
3.2. ПП = -40 тонн (пропилен);
4. Разработать дополнительные мероприятия с подтвержденным финансовым эффектом в 2026 для  программы "Эффективность+" в ЗО СГТ  до 30.09.2026, млн.руб.
4.2 ПЭ = 15;
4.3 ПП = 5.</t>
  </si>
  <si>
    <t>Искусственный интелелкт</t>
  </si>
  <si>
    <t>Поддержание укомплектованности ФЭП на уровне 95%</t>
  </si>
  <si>
    <t>Удержание и управление текучестью</t>
  </si>
  <si>
    <t>Текучесть персонала - не более 10%.
Приживаемость персонала - не более 10%.
Выстроена система работа по снижению текучести сотрудников, повышению их удовлетворенности условиями труда и лояльностью к компании. Выстроена система работа с адаптантами.</t>
  </si>
  <si>
    <t>Проведены встречи с коллективами по результатам исследования вовлеченности.
Сформировано обновленное ПОУ на основе западающих метрик опроса и обратной связи сотрудников.</t>
  </si>
  <si>
    <t>Управление ФОТ</t>
  </si>
  <si>
    <t>Выполнен план по ФОТ в ЗО - не более 796 млн. руб.
Ежемесячный анализ ФОТ ТНХ с целью выявления отклонений от запланированных показателей и оперативного принятия решений для их корректировки</t>
  </si>
  <si>
    <t>Проверка РПО в системе ЦНД 100%
Не более 10% отклоненных нарядов допусков.</t>
  </si>
  <si>
    <t>не менее 81832 тыс. тонн</t>
  </si>
  <si>
    <t>Мобильные обходы в ЗО 98%</t>
  </si>
  <si>
    <t>ВПР = 67,46%
ИТЭ = %
ИЭ = 164,39%
ИТЭзхп = %</t>
  </si>
  <si>
    <t>1. Выбросы ЗВ в атмосферу не более 0,255 тыс. т
2. Сбросы ЗВ в стоки не более 0,118 тыс. т
3. Отходы на размещение не более 0,085 тыс. т
4. Водопотребление не более 452,900 тыс. м3
5. Выбросы парниковых газов 135,332 тыс. т СО2</t>
  </si>
  <si>
    <t>Постоянные затраты в зоне ответственности (OPEX+САРЕХ), в т. ч. ПОФ(ЦИ и РБ)</t>
  </si>
  <si>
    <t>1. Проект 90190 ("ТП Система опорожнения трубопроводов 4-ой системы водооборотного цикла) привязка к ОР. Выполнение работ, связанных с ОР.
2.  к.1014 ЦИ РП (Ремонт кровли) контроль за выполнением работ по ремонту кровли, проверка ИД.
3. к.1014 ЦИ МРП (4 пролет) Контроль за выполнением работ, проверка ИД</t>
  </si>
  <si>
    <t>Исполнения плана освоения и ввода капитальных вложений по ПОФ, не менее 97%</t>
  </si>
  <si>
    <t>недопущение событий  с УМД в ЗО ЛНКиД</t>
  </si>
  <si>
    <t>Тех. карта для УЗК с применением антенной решетки</t>
  </si>
  <si>
    <t>Составить тех. карту для ультразвукового метода контроля с применением антенной решетки.</t>
  </si>
  <si>
    <t>Старший менеджер</t>
  </si>
  <si>
    <t>Формирование БП на 2027 год</t>
  </si>
  <si>
    <t>БП на 2027 год сформирован, утверждён</t>
  </si>
  <si>
    <t>Проведение бюджетной оценки по клинингу</t>
  </si>
  <si>
    <t>Выбран подрядчик по клинингу на период 2027-2031</t>
  </si>
  <si>
    <t>Производственный травматизм (LTIF) в зоне ответственности: сотрудники СХО и ПО</t>
  </si>
  <si>
    <t>не более 0 б.</t>
  </si>
  <si>
    <t>Оценка сервисов во ВКУС</t>
  </si>
  <si>
    <t>не менее 5.6 б.</t>
  </si>
  <si>
    <t>Доля оценок по выполненным обращениям</t>
  </si>
  <si>
    <t>SLA</t>
  </si>
  <si>
    <t>Организация эксплуатации СБК в части клининга</t>
  </si>
  <si>
    <t>Организация работы по регулярному и качественному оказанию клининговых услуг в СБК, заключение ДС</t>
  </si>
  <si>
    <t>Организация проведения остановочного ремонта в зоне ответственности СХО</t>
  </si>
  <si>
    <t>Организация уборки, обеспечение МТК</t>
  </si>
  <si>
    <t>Оптимизация убираемых площадей</t>
  </si>
  <si>
    <t>После заселения СБК провести оптимизацию убираемых бытовых помещений на производствах. Заключить ДС.</t>
  </si>
  <si>
    <t>Выполнение бюджета</t>
  </si>
  <si>
    <t>не более 55637 тыс. руб.</t>
  </si>
  <si>
    <t>1. Индекс компетентности дневного персонала не менее 98%
2. Сдача сотрудников в ПАК сотрудников смены в срок согласно графика не менее 90%.
3. Участие в проведении кейсовых обучений не менее 2 р в месяц.
4. Разработка и актуализация сценариев кейсовых обучений не менее 90% актуализированных сценариев.</t>
  </si>
  <si>
    <t>1. % Сотрудников из числа рабочего персонала без целей  в ЛК= 0%
2.Оценка по чек-листу 5С по производству - Не менее 85%
3. Оценка элементов ВУЭ (Доска эффективности) - Не менее 90%
4. Время на работу с командой в календарях руководителей, 30 % (Согласно ТКР) - Применительно к дневному персоналу.
5.Внедрение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</si>
  <si>
    <t>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выполнение п. мероприятий по подготовке ЭПБ в срок)
2. Не превышение пост. затрат - не более 23,68 млн. руб:
- Отсутствие списанного/отбракованного инструмента/материальных ценностей у ИПП по итогам квартала в з/о дневного персонала.
3. Разработка 1 УМШ с ЭЭ за квартал.</t>
  </si>
  <si>
    <t>1.Организация 1 Экомерприятия за рамками производственной территории.
2. Выбросы ЗВ в атмосферу не более 0,053
3. Сбросы ЗВ в стоки не более 0,021
4. Отходы на размещение не более 0,03</t>
  </si>
  <si>
    <t>1. УМД в з/о дневного персонала - 0 млн.руб.
2. Проведение стресс тестов по прохождению МО, не менее 2р в месяц на каждой установке, результаты фиксируются письменно по почте НП/СМП.
3. Соблюдение качества ремонтной документации (отсутствие подписей в журналах которые находятся в обязательном перечне документации на ЦПУ)</t>
  </si>
  <si>
    <t>Изучение смежной установки</t>
  </si>
  <si>
    <t>Изучение и аттестация в комиссии производства по блоку изучения схем:
- Слив, подача бензина сырья на установку ПУН
- Прием, хранение, отгрузка ПК марки В</t>
  </si>
  <si>
    <t>1.Наличие допусков персонала (Сотрудники с дневным графиком работы - Спицын В.А., Мухорьянов Б.В., Рясов Ю.Г.) – не менее 99%.
2. 0 событий в зоне ответственности с влиянием на Ltif предприятия.
3. Обеспечение 100% натурных проверок РПО с внесением в ЦНД и видеофиксацией целевого инструктажа, проводимых в выходные и праздничные дни.
4. 100% вовлеченность в инструмент ПАБ
5. 100% вовлеченность (Сотрудники с дневным графиком работы - Спицын В.А., Мухорьянов Б.В., Рясов Ю.Г.) в ЧПБ, достижение средних баллов в каждой номинации по итогам квартала.
6. 0 пробитых барьеров при проведении стресс-тестов при допуске к РПО (в з/о ), со стороны ОТ,ПБ (по вине сотрудников производства)
7. Проведение стоп часов с ПО, 1 раз в неделю по направлению выполнения работ.
8. Проведение проверки/отбраковки инструмента используемого ОТУ на установках 1р.в месяц с оформлением акта и утилизации.
9.0 событий в зоне ответственности с влиянием на ИА-1 (согласно методологии)
10.0 событий с возгораниями
11.100% выполнение еженедельных задач производственного контроля (НС, СИ), с выявлением замечаний не менее 30% от общего количества задач
12. 100% участие в проведении УТЗ по ПМЛА (С привлечением спец. служб, а так же без привлечения спец. служб, но с выходом на установку) - 2 Тренировки в месяц (План-вне план), с фиксацией в журнале проведения ПМЛА.</t>
  </si>
  <si>
    <t>Управление объемом работ</t>
  </si>
  <si>
    <t xml:space="preserve"> ОР 2026. 100 % выполнение шагов ДК с достижением целевого результата Не менее 95 %</t>
  </si>
  <si>
    <t>Обеспечение исполнения процесса ОР 2026 в своей зоне ответственности</t>
  </si>
  <si>
    <t>LTIF = 0 (в зоне ответственности)</t>
  </si>
  <si>
    <t>1. Еженедельное предоставление данных по потреблённым  энергоресурсам (инструменты выгрузки  MES, ТЭБ).  Привлечение внимания ВИТ/ВИП, начальников производств к превышениям объемов БП2026, договорных лимитов, беседы о недопущении превышений,  фокус на экономию энергоресурсов, информирование по электронной почте.
2. Консультирование энергоменеджера по потреблению и учету энергоресурсов.
3. Участие в Балансовых комиссиях, помощь ВИТ/ВИП в формировании комментариев по отклонениям в энергоресурсах.</t>
  </si>
  <si>
    <t>Вовлеченность в ОТиПБ</t>
  </si>
  <si>
    <t>Вовлеченность в ОТиПБ (1 ПАБ внесен в систему). Соблюдение ОТиПБ, отсутствие травматизма.</t>
  </si>
  <si>
    <t xml:space="preserve"> Участие в эковолонтерских мероприятиях</t>
  </si>
  <si>
    <t>Принято участие в  эковолонтерском мероприятии (не менее 1).</t>
  </si>
  <si>
    <t>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</si>
  <si>
    <t>1. Обеспечено наличие актуальных анкет по всем рабочим местам предприятия.
2. Все высокие и средние риски включены в РРП, разработаны мотивирующие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
4. Проведена самооценка проиживаемости процесса оценки рисков в области ОЗиБТ в соответствии с чек-листом, разработаны мероприятия по выявленным несооветствиям</t>
  </si>
  <si>
    <t>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
4. Не менее 20% сотрудников предприятия прошли опрос удовлетворенности СИЗ за 2 пг 2025 года</t>
  </si>
  <si>
    <t>Обеспечение пожарной безопасности</t>
  </si>
  <si>
    <t>Фактическая средняя укомплектованность дежурных караулов подразделений пожарной охраны не менее 95% от штатной численности согласно договору</t>
  </si>
  <si>
    <t>Кадровая устойчивость</t>
  </si>
  <si>
    <t>а) Обеспечена укомплектованность 95%, в соответствии с утвержденной структурой функции
б) Текучесть не более 10%
в) Положительная динамика по блокам лояльность к рук-лю/компании и вовлеченность
г) Реализованы мероприятия по оптимизации численности персонала после перестройки процессов без негативного влияния на метрики</t>
  </si>
  <si>
    <t>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2. Кол-во ГОР и ОР в выходные дни снижено до 10% (отн. выход/будни) в среднем по предприятию
 3. Организованы системные проверки ОТиПБ ранжирования РПО в ЦНД и видеофиксации целевых инструктажей в выходные дни (ГОР, ОР)</t>
  </si>
  <si>
    <t>Сотрудниками отдела ОТ,ПиПБ получено 100% обязательных допусков</t>
  </si>
  <si>
    <t>Повышение качества расследования происшествий</t>
  </si>
  <si>
    <t>1. Проведена 100% оценка качества расследования крупных и значительных происшествий, в соответствии с разработанным чек-листом. Оценка качества расследования не ниже 4,5
2. В КПЭ руководителей структурных подразделений, кураторов договоров (председателей и членов комиссии ВРП) определено влияние оценки качества расследования происшествий.
3. Поддержание 100% обучения ОТ,ПБ, ВИП, СМП, проведение 100% обучения НСм, ИПП, кураторов договоров (ФЭП, ФСиХО) по проведению внутреннего расследования происшествий.</t>
  </si>
  <si>
    <t>1. Выполнение графиков поверки(калибровки) за квартал не менее 95 %
2. Выполнение внутреннего контроля качества  калибровочных работ: Элементы измерительных систем.
3. Подтверждение компетентности по поверке СИ
4. Безошибочное и своевременное внесение сведений о поверке средств измерений в ФГИС «Аршин»
5. Организация поверки ЖД весов
6. Организация поверки автомобильных весов
7. Организовывать работы по услугам транспортных компаний и транспортировке СИ</t>
  </si>
  <si>
    <t>Участие в проведение ЭПБ в период ОР 2026, 100% согласно дорожной карты.</t>
  </si>
  <si>
    <t>Выполнение объема проведения ЭПБ согласно ДК.</t>
  </si>
  <si>
    <t>Качество создаваемых сообщений в SAP ППЭ</t>
  </si>
  <si>
    <t>Качество расследований АКП в ЗО по отчету ФЭП КЦ не менее 90%</t>
  </si>
  <si>
    <t>1. 10 записей в месяц в журнал ОТиПБ
2. Вовлеченность в чемпионат по безопасности - 100%
3. Вовлеченность в проведение ПАБ 100% (Не менее 1 ПАБ в месяц)
4. 0 замечаний по полноте наполнения и качества мероприятий при оформлении Н/Д.</t>
  </si>
  <si>
    <t>1. Выполнение дневного плана работ в среднем за месяц не менее 95 %
2. Выполнение недельного плана 95%</t>
  </si>
  <si>
    <t>1. Вовлечённость в Пульс опрос 100%
2. Прохождение назначенных обучений  в срок.
3. 5С рабочего места не менее 20 балов согласно чек листу.</t>
  </si>
  <si>
    <t>1. Не более 2-х повторных ремонта из-за некачественного ремонта (без УМД)
2. Разработка  и актуализация документации
Проверка схем электропитания в шкафах ПП. (Актуализация и размещение 100%).
3. Своевременная подача потребности ПОФ
4. Качественное выполнение ТР (0 откатов к предыдущему проекту после внесения ТР)</t>
  </si>
  <si>
    <t>Ожидаемый результат
не менее 90%
исполнение дорожной карты: Тираж Мини - Т
Исполнение мероприятий проекта Сыгранность Мини-Т</t>
  </si>
  <si>
    <t>Ожидаемый результат
- проведение КБ, стоп-часов с КА по месту выполнения работ с отчетом в группы ОТиПБ по производствам – не менее 3 в квартал.
- вовлеченность в чемпионат безопасности - 100%.
- охрана труда - не менее 3 баллов за квартал.
- промышленная безопасность - не менее 3 баллов за квартал.
- экология - не менее 3 баллов за квартал.
- не менее 2-ух встреч в квартал с подрядными организациями.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</si>
  <si>
    <t>Управление кадровым резервом</t>
  </si>
  <si>
    <t>1) Обеспечены и подготовлены "вторые номера" на Руководителя отдела в прогнозе "готов сейчас".  Применение инструментов СРР. Проведение калибровочных встреч с руководителем СУОФ
2) Эксперты отдела соответствуют целевому видению</t>
  </si>
  <si>
    <t>'- Монтаж байпасных линий отсекающих арматур аккумуляторов ТА М-1, М-2, М-5, М-6 по проекту 70123 в ОР-2026.
- реализация СМР мероприятий ЦИ энергонадежность – ОР-2026.
- Замена дефектных участков трубопроводов. ТП по проекту 6896 в ОР -2026
-ТП системы опорожнения трубопроводов 4-й системы водооборотного цикла по проекту 90190 в ОР - 2026</t>
  </si>
  <si>
    <t>сигнализации - 15 955 шт.
НТР - не более  21 216 шт./кв.
НАК - не более 1 222 шт./кв.</t>
  </si>
  <si>
    <t>ВПР = 67.46%
ИТЭ = 98,67%
ИЭ = 164.39%
ИТЭзхп = 96,39%</t>
  </si>
  <si>
    <t>01.07.2026 - 30.07.2026</t>
  </si>
  <si>
    <t>Соблюдение графиков 4-го уровня во время проведения ОР 2026г.</t>
  </si>
  <si>
    <t>1. LTIF = 0
2. Вовлеченность в чемпионат «по Безопасности труда» не менее 90%
3. рейтинг на кв - не менее 15"
4. Вовлеченность в чемпионат ПБ не менее 90%</t>
  </si>
  <si>
    <t>Выполнение плана ревизии ЗРА в ОР</t>
  </si>
  <si>
    <t>Отсутствие негативного влияния на параметры БП ОР 2026</t>
  </si>
  <si>
    <t>Реализация шагов ДК с МПТ</t>
  </si>
  <si>
    <t>- выполнение плановых век по проектам ДК МПТ в установленные сроки
- внедрение эффективных решений для содействия успешной реализации проектов
- выполнение поручений в рамках протоколов заседаний рабочих групп</t>
  </si>
  <si>
    <t>Выполнение плана по производствам в з.о. ПДУ - ПП+ПЭ (3квартал).</t>
  </si>
  <si>
    <t>Повышение операционной эффективности.
- управления запасами сырья (емкость+путевые), ведение посуточного факторного анализа слива сырья, причины отклонения от плановых значений (Леонтьева А.А., Диспетчера)
- управления отгрузками продукции ПМ, ведение посуточного факторного анализа (Кавсюк Ю.В.)
- мониторинг добавок к экструдерам, информирование о значительных событиях (Кузнецов И.В.)</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</si>
  <si>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ТОиР КИПиА, АСУ ТП Производств: мономеров, полиэтилена, полипропилена/Участок по техническому обслуживанию и ремонту КИПиА/Группа по обслуживанию и ремонту охранно-пожарной сигнализации</t>
  </si>
  <si>
    <t>1. До начала ОР 0 просроченных допусков.
2. Выполнение физического объема работ по ДВ на 100% в ЗО (группа RT) при условии своевременной поставки МТР, выдачи оборудования в ремонт.
3. Все работы в SAP закрыты, использованные материалы списаны до начала пусковых работ  в з.о.
4. Вся документация (ИД, ЭД) заполнена до пуска оборудования
5. Не зафиксировано происшествий по ОТ и ПБ и влияющих на ИА  в з.о.
6. В течение 20 дней после ОР нет отказов от некачественных ремонтов в ЗО.
7. Развитие компетенций по части ТОиР КИПиА (датчики давления, уровня, расхода) в период остановочного ремонта.</t>
  </si>
  <si>
    <t>1. Проверка наличия и актуальности заполнения журналов на пр-вах по АПС. Доведение информации до ответственных.
2. Наличие актуальной документации и схем по оборудованию АПС.
3. Внесение актуальной информации в журналы по привязям и лестницам.</t>
  </si>
  <si>
    <t>1. Выполнение недельного плана работ не менее 95 %
2. Выполнение дневного плана работ не менее 95 %
3. Внесение записей в журналы по оборудованию ОПС после выполнения работ 100% .
4. Проведение оценки рисков, разработка и выполнение мероприятий по снижению рисков перед началом и во время работы.
5. Контроль выполнения графика в ЗО (согласно плана) -  Отсутствие долгов в ЗО. В случае долгов ставить в известность руководителя.</t>
  </si>
  <si>
    <t>1. 0 травм с потерей трудоспособности .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 допуска в матрице положенности
6. 0 замечаний по полноте наполнения и качества мероприятий при оформлении Н/Д.</t>
  </si>
  <si>
    <t>1. Бесперебойная работа систем автоматики пожаротушения
2. Маркировка СИ и СА - Приведение в соответствие согласно СТП маркировки оборудования, памяток по месту его установки на производствах. У
3. 0 отказов оборудования по вине работника
4. Не более 1-го повторного ремонта из-за некачественного ремонта (без УМД)
5. Планирование и устранение выявленных замечаний при проверках оборудования ОПС.
6. 0 замечаний по незаполненной документации после проведения ТОиР
7. Ежемесячный контроль качества и полноты проведения ТО ОПС. Предоставить 3 отчета за квартал</t>
  </si>
  <si>
    <t>Выполнение работ по ЭПБ 2026 в ОР согласно графика</t>
  </si>
  <si>
    <t>Индекс аварийности (ИА1)</t>
  </si>
  <si>
    <t>цель 0</t>
  </si>
  <si>
    <t>Проведение периодического осмотра печей пиролиза и котлов согласно графика</t>
  </si>
  <si>
    <t>не менее 7 шт.</t>
  </si>
  <si>
    <t>Проведение ревизии и опрессовки с применением течеискателя на печах пиролиза</t>
  </si>
  <si>
    <t>не менее 11 раз</t>
  </si>
  <si>
    <t>Проведение ежегодного осмотра ТПиГВ согласно утверждённого графика</t>
  </si>
  <si>
    <t>1. Проведение ВИК на наличие дефектов.
2. Проверка ведения документации (паспорта) с отображением актуальной информации в ней.
3. Внесение замечаний в систему "Иди и смотри" с обозначением сроков устранения.</t>
  </si>
  <si>
    <t>Ремонт пожарных клапанов, замена дисковых затворов</t>
  </si>
  <si>
    <t>Снятие замечаний ПЧ-8</t>
  </si>
  <si>
    <t>Монтаж астрономического реле времени, кор. 1064</t>
  </si>
  <si>
    <t>Продление сроков работы потолочных светодиодных светильников</t>
  </si>
  <si>
    <t>Ремонт мобильной рампы</t>
  </si>
  <si>
    <t>Исключение рисков ДТП при ПРР</t>
  </si>
  <si>
    <t>Выполнение 100% работ в рамках стратегического партнерств а с лог. оператором</t>
  </si>
  <si>
    <t>Монтаж ограждений в корпусе 1064</t>
  </si>
  <si>
    <t>"1. 20 баллов по чеклисту оценки рабочего места.
2. Одна идея УМШ по развитию и поддержанию ПСС в месяц."</t>
  </si>
  <si>
    <t>1. Проведение ПАБ и выявление ОД/ОУ.
2. Вовлечение персонала в мотивационную программу ""Чемпионат по безопасности по ОТ, ПБ и Э"" 100%.
3. 100% выполнения мероприятий при производстве работ по Наряду допуску.
4. Отсутствуют просроченные id - допуска в матрице положенности в смене"</t>
  </si>
  <si>
    <t>- Выполнение перечня работ по ко</t>
  </si>
  <si>
    <t>Доля выполненных работ (планово-предупредительного ремонта) из запланированных</t>
  </si>
  <si>
    <t>1. Вовлечённость в Пульс опрос 100%
2. Прохождение назначенных корпоративных обучений в срок.
3. 5С рабочего места не менее 20 балов согласно чек листу.</t>
  </si>
  <si>
    <t>1. Участие в проектах по модернизации систем АСУТП производств Томскнефтехима, в т.ч. в рамках ОР26.
2. Предоставление данных для проектных организаций. Проверка правильности проектных решений. Выдача замечаний
3. Контроль состояния действующего оборудования после проведения работ.</t>
  </si>
  <si>
    <t>Успешное выполнение остановочного ремонта 2026 года в части АСУ ТП. Оценка выполнения в соответствии с чек-листом - не менее 95%.</t>
  </si>
  <si>
    <t>УМД в ЗО ответственности на участке АСУТП = 0</t>
  </si>
  <si>
    <t>1. 10 записей в месяц в журнал по ОТиПБ
2. Вовлеченность в чемпионат по безопасности - 100%
3. Вовлеченность в проведение ПАБ 100% (Не менее 1 ПАБ в месяц)
4. 0 замечаний по полноте наполнения и качества мероприятий при оформлении Н/Д.</t>
  </si>
  <si>
    <t>1. Не более 2-х повторных ремонта из-за некачественного ремонта (без УМД)
2. В рамках подготовки к ОР26: проверка наличия схемно-технической документации в шкафах АСУ ТП ПМ, а также на складе ПМ. Реализация доступности ее поиска в сетевом хранилище/на складе.
3. Качественное выполнение ТР (0 откатов к предыдущему проекту до введения ТР)</t>
  </si>
  <si>
    <t>1. Выполнение дневного плана работ в среднем за месяц не менее 95 %
2. Выполнение недельного плана 95%</t>
  </si>
  <si>
    <t>Получено 100% положенных допусков</t>
  </si>
  <si>
    <t>Осуществление методологической поддержки развития СУ ОТиПБ в РП</t>
  </si>
  <si>
    <t>Оказание методологической поддержки, опциональное участие в ритуалах развития СУ ОТиПБ не менее 1 р. в квартал, методологическое сопровождение процессов ОТиПБ, переданных в линейную деятельность курируемого подразделения.</t>
  </si>
  <si>
    <t>1.  Натурная проверка РПО (ГОР, ОР, ВР, Земляные) – 95%. Проверка в системе РПО – не менее 50%. Проверка РПО особо опасных – 100%
2.         0 событий  с влиянием на Ltif предприятия
3.       Кол-во ГОР и ОР в выходные дни не более 10% (отн. выход/будни) в среднем по предприятию. За исключением аварийных.
 4. Организованы системные проверки ОТиПБ ранжирования РПО в ЦНД и видеофиксации целевых инструктажей в выходные дни (ГОР, ОР)</t>
  </si>
  <si>
    <t>БП-2027</t>
  </si>
  <si>
    <t>Формирование БП-2027 по ОТиПБ. Участие в формирование ПОФ-2027.</t>
  </si>
  <si>
    <t>Фактическая средняя укомплектованность дежурных караулов подразделений пожарной охраны не менее 95% от штатной численности согласно договору</t>
  </si>
  <si>
    <t>ОР 2026 проведен без травм и аварий</t>
  </si>
  <si>
    <t>Общество с ограниченной ответственностью "Томскнефтехим"/Направление Главного инженера/Направление заместителя главного инженера/Ремонтное производство/Ремонтное производство по ремонту технологического оборудования Производств: мономеров, полиэтилена, полипропилена/Участок по ТОиР насосного и технологического оборудования ПМ, ППЭ, ППП, ПУиСП/Производство мономеров/Поле</t>
  </si>
  <si>
    <t>4.1. Определен перечень работ на 3-й кв., согласно графика подготовки к ЭПБ (дорожной карты) в 2026 и перенесённых с 2025г. работ;
4.2. Все работы выполнены в рамках 3-го квартала 2026г;
4.3. Отсутствуют замечания по подготовке к ЭПБ с 2025г., 2026г.;</t>
  </si>
  <si>
    <t>Не менее 95% согласно критериям оценки качества проведенного ОР:
1. 100% выполнение работ, влияющих на соблюдение межремонтного интервала
2. ОР проведён без отклонения от утверждённого графика.
3. Не зафиксировано происшествий по ОТ и ПБ и влияющих на ИА
4. ОР проведен не более сроков согласно БП
5. Выполнение объема работ критического пути на 100%
6. Отсутсвие потери ВПР в течение  20 суток после ОР.</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</si>
  <si>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t>
  </si>
  <si>
    <t>Травматизм, ОТ и ПБ</t>
  </si>
  <si>
    <t>Недопущение травматизма, нарушений КПБ в зоне ответственности ЭБ. LTIF - 0.  Проведение ПАБ. Участие в формировании контрольной среды при проведении РПО посредством проведения 4 СТ., привлечения ЧОП.</t>
  </si>
  <si>
    <t>Организация эффективной системы мониторинга ПДЗ &gt; 2 мес.</t>
  </si>
  <si>
    <t>Постоянный мониторинг ПДЗ, участие в работе ПДК, не допущение образования новых дебиторов в зоне ответственности  ДЗО. Постоянное взаимодействие с ЭБ КЦ в части своевременного реагирования на образование ДЗ по договорам ФОП.</t>
  </si>
  <si>
    <t>Эффективность применения ИТСО</t>
  </si>
  <si>
    <t>Еженедельный мониторинг состояния ИТСО и РЭБ, обеспечение бесперебойной работы ТСО и РЭБ, своевременное устранение выявленных недостатков. Анализ выявленных нарушений с использованием ТСО. Обеспечение качественной и своевременной реализации САРЕХ проектов. Контроль за состоянием пассивной защиты КЭ.</t>
  </si>
  <si>
    <t>Не допущение инцидентов в зоне ответственности ЭБ, анализ состояния технической защиты узлов доступа АСУТП, принятие мер по их укрепленности. Оснащение 3-х помещений ТСО согласно ДК
Контроль за соблюдением требований по защите КИ, Пдн</t>
  </si>
  <si>
    <t>Управление функцией охраны. Антитеррористическая защищенность</t>
  </si>
  <si>
    <t>Контроль за работой  ЧОП с фокусом внимания  в выходные и праздничные дни,  ночное время. Повышение качества проведения досмотровых мероприятий  ж/д и автотранспорта (4 СТ). Выявление уязвимостей в организации охраны, принятие корректирующих мер. Повышение эффективности работы ЧОП путем проведения 5 СТ по АТЗ, инструктажей и 5 УТЗ.  Оснащение ПВН пулеметами, прицелами , приборами ночного видения. Выявление лиц из группы риска, ведение риск-профиля. Своевременная актуализация внутренних ЛНА по АТЗ. Не допущение актов терроризма.</t>
  </si>
  <si>
    <t>Противодействие МД и Х</t>
  </si>
  <si>
    <t>Выявление и предотвращение МДиХ. Анализ БП на предмет возможных уязвимостей, проведение профилактических мероприятий по БП согласно КРМ (17 в т.ч. 3 СТ) ,  анализ возникновения УМД, установление причин, разработка корректирующих мероприятий, контроль за их приживаемостью. Контроль проведения ОР, не допущение материального ущерба в зоне ответственности ЭБ.</t>
  </si>
  <si>
    <t>Поиск потенциалов оптимизации и усовершенствования процессов.</t>
  </si>
  <si>
    <t>Сформировать идеи по применению искусственного интеллекта для решения задач функции Экология Не менее 2 штук</t>
  </si>
  <si>
    <t xml:space="preserve"> Остановочный ремонт с соблюдением всех экологических требований, отсутствие нарушений со стороны подрядных организаций.
Обеспечено минимальное влияние на экологию: программа останова и пуска ПМ - сжигание у/в на уровне 2022 года.
Жалоб со стороны ГОС отсутствие, согласованы действия с ГОС</t>
  </si>
  <si>
    <t>1. Проведен Комитет по Устойчивому развитию
2. Экологический фестиваль в городе</t>
  </si>
  <si>
    <t>Освоен бюджет согласно БП2026. Реализованы мероприятия по оптимизации</t>
  </si>
  <si>
    <t>не более 87.186 млн.руб</t>
  </si>
  <si>
    <t>1. Развитие команды - реализованы ИПР
2.  Проведены обучения по экологии КТ</t>
  </si>
  <si>
    <t>в 3 квартале выполнено:
1. Получены акты об утилизации.
2. Проведен аудит Утилизатора ОД ВТР</t>
  </si>
  <si>
    <t>Выполнение экологических показателей БК предприятия (выбросы, сбросы, отходы)</t>
  </si>
  <si>
    <t>Обеспечение предприятия разрешительной документацией</t>
  </si>
  <si>
    <t>в 3 квартале:
1. Отработаны замечания по заявке
2. Получено СЭС
3. Подана заявка повторно на получение КЭР - 07.08.2026 г.
Разработка проекта СЗЗ:
в 3 квартале выполнено:
1. Проведена оценка риска здоровью населения
2. Оформлены в единый документ оценка рисков, проект СЗЗ и программы проведения лабораторных и инструментальных исследований.</t>
  </si>
  <si>
    <t>Внедрение ЭТрН</t>
  </si>
  <si>
    <t>Переход с бумажной ТрН на ЭТрН, контроль и помощь в  оформление КЭП для сотрудников подрядной организации и регистрация в "Контур Логистик"</t>
  </si>
  <si>
    <t>Интерактивный дашборд по месячному плану погрузки контейнерных поездов</t>
  </si>
  <si>
    <t>С помощью ИИ сформировать план погрузки контейнерных поездов на месяц в формате дашборда, включающий распределение поездов по дням, объёмы погрузки вконтейнерах. Дашборд должен позволять отслеживать отклонения от плана</t>
  </si>
  <si>
    <t>Акты ведутся должным орбразом (все обязательные поля заполнены, приложения сохранены с соответствующих папках )</t>
  </si>
  <si>
    <t>Списанные с ЦС МТР выданы заказчику или проведено сторно списанния</t>
  </si>
  <si>
    <t>Общество с ограниченной ответственностью "Томскнефтехим"/Документационное обеспечение</t>
  </si>
  <si>
    <t>Уход от подрядчика ОСГ (внеофисное хранение)</t>
  </si>
  <si>
    <t>Закрытие отдельных договоров предприятий с ОСГ, при наличии бюджета</t>
  </si>
  <si>
    <t>Комплексная диагностика функционала ДО (с влиянием на бюджет)</t>
  </si>
  <si>
    <t>1.Сформирован отчёт о достигнутом бюджетном эффекте (сравнение плановых и фактических экономических показателей) с подтверждением положительного влияния на БП не менее 10%
2.Проведен аудит печатей предприятия (в т.ч. переданных в сервисы). Все печати зафиксированы в журнале с указанием местоположения
3.Проведена диагностика исходящих документов предприятия. Проведены обучения сотрудникам-делопроизводителям подразделений с напоминанием работы по СТП
4.Составлены и актуализированы конфиденциальные номенклатуры дел
5.Актуализирован журнал лицензий предприятия. Определено место хранения оригиналов лицензий предприятия у ДО</t>
  </si>
  <si>
    <t>Пересмотр всех процессов ДО на предмет упрощения и автоматизация, анализ возможности применения ИИ с целью повышения эффективности.</t>
  </si>
  <si>
    <t>Пересмотр всех процессов ДО на предмет упрощения и автоматизации</t>
  </si>
  <si>
    <t>1.Сформированы унифицированные бизнес-правила обработки входящей/исходящей корреспонденции для всех предприятий и размещены на сетевой папке AI:
•Матрица распределения писем почтовым офисом
•Матрица распределения писем по вертикалям предприятия
•Список личного рассмотрения ГД
•Список триггеров по анализу писем в п/я
•Список отличий/специфика от общей инструкции по обработке вх. корреспонденции</t>
  </si>
  <si>
    <t>Обеспечение качества сервиса</t>
  </si>
  <si>
    <t>1. Обеспечена взаимозаменяемость сотрудников.
2. Отсутствие инцидентов по процессам ДО (в т.ч. повторяющихся).
3. Соответствие уровню целевых показателей сервисной модели не менее 95%. Отклонение заявок во ВКУС - не более 1%
4. Сформированный БП на 2027 год, основанный на подтвержденных потребностях подразделений
5. Заключение пролонгаций с транспортными компаниями:
- По каждому из трёх контрагентов (СДЭК, Почта России, Фрейт Линк) подготовлены, согласованы со всеми внутренними подразделениями и подписаны уполномоченными сторонами дополнительные соглашения о пролонгации
- Пролонгации переведены в статус «Действующий»</t>
  </si>
  <si>
    <t>Направление информации непосредственному заказчику о необходимости проведения ВК в течении 2 раб.дней с даты поступления МТР на склад (при наличии информации о Заказчике МТР)</t>
  </si>
  <si>
    <t>не менее 9 ШТ</t>
  </si>
  <si>
    <t>Достижение целевых показателей по результативности в чемпионате по УМШ не менее</t>
  </si>
  <si>
    <t>не менее 1 ШТ</t>
  </si>
  <si>
    <t>Повышение сроков отработки тикетов в рамках процесса устранения замечаний</t>
  </si>
  <si>
    <t>Вся дополнительная, запрашиваемая информация была предоставлена не позднее 2-ого рабочего дня после получения ОС от заказчиков.</t>
  </si>
  <si>
    <t>Контроль наличия нормативной документации при приемке МТР не менее 100 %</t>
  </si>
  <si>
    <t xml:space="preserve"> Выполнение задач по ознакомлению с документами в системе КИС ЕСМ</t>
  </si>
  <si>
    <t>100% и своевременное ознакомления с задачами за оцениваемый период</t>
  </si>
  <si>
    <t>Своевременность направления заявок в систему тикетов, при наличии замечаний</t>
  </si>
  <si>
    <t>ВК проведен в регламентные сроки. Акт ВК оформлен должным образом</t>
  </si>
  <si>
    <t xml:space="preserve"> Контроль сроков и результата отработки тикетов</t>
  </si>
  <si>
    <t>Тикеты отработаны в указанные сроки и принято конкретное решение</t>
  </si>
  <si>
    <t>1. 100% замечаний на курируемом производстве по качеству СИЗ отработаны и сняты в отчетном периоде.
2. 100% сотрудников на курируемом производстве обеспечены СИЗ в соответствии с планом выдачи СИЗ за отчетный период (без учета больничных и отпусков).
3. Нормы выдачи СИЗ на курируемом производстве разработаны качественно и своевременно. Бюджет СИЗ построен на актуальных нормах выдачи СИЗ</t>
  </si>
  <si>
    <t>По 100% высоким и средним рискам в зоне курируемого производства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</si>
  <si>
    <t>1. Обеспечено наличие актуальных анкет по всем рабочим местам курируемого производства.
2. Все высокие и средние риски включены в РРП, разработаны митигирующие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t>
  </si>
  <si>
    <t>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курируемого производства за отчетный период.
 2. Организованы системные проверки ОТиПБ ранжирования РПО в ЦНД и видеофиксации целевых инструктажей в выходные дни (ГОР, ОР)</t>
  </si>
  <si>
    <t>Сотрудниками службы ОТиПБ  получено 100% допусков</t>
  </si>
  <si>
    <t>1. Изучение оборудования ИХЭ, ССГ - выявление и устранение замечаний в ходе ЛО.
2. Ежемесячная проверка ведения и наличия документации и внесения необходимых записей (ИХЭ, ССГ)
3. Подготовка к остановочному ремонту.  Проведение анализа по оборудованию подлежащему поверке/калибровке (ПУиСП).
4. Успешное прохождение назначенных курсов СРР.
5. Прохождение управленческих мастерских СРР &gt;80% из назначенных за период</t>
  </si>
  <si>
    <t>1. Маркировка СИ и СА - Приведение в соответствие согласно СТП маркировки оборудования относящееся к СБ и ПАЗ по месту его установки на производстве ХСиПУ (ИХЭ, ССГ).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0 замечаний по незаполненной документации после выполнения работ по ТОиР
5. Ежемесячный контроль качества и полноты проведения ТО. Предоставить 3 отчета за квартал (ПМ, ТСБ)</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</si>
  <si>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(ПМ и ПУиСП) -  Отсутствие долгов по производствам. В случае невозможности подготовить оборудование, сообщить руководителю для организации переноса по срокам.
6. Выполнение графика Поверки/Калибровки 95%</t>
  </si>
  <si>
    <t>Главный эксперт по экологии</t>
  </si>
  <si>
    <t>Экспертиза реализуемых и новых проектов на соответствие наилучшим доступным техн</t>
  </si>
  <si>
    <t>Ведется экологическое сопровождение проекта Гаприн в части выбросов, сбросов и отходов.
Подготовлены  функциональные экологические экспертизы новых проектов с учетом НДТ согласно запросов СГТ, проектных команд</t>
  </si>
  <si>
    <t>Повышение эффективности  контрольной среды в части прохождения проверок и подготовки экспертизы реализуемых/новых проектов на соответствие НДТ</t>
  </si>
  <si>
    <t>Экологическое просвещение персонала предприятия и внешних заинтересованных сторо</t>
  </si>
  <si>
    <t>1. Наполнение группы "Экология ТНХ" контентом по УР.
2. Организация и участие в мероприятиях города (Экофестиваль), конференциях, конкурсах.
3. Продолжено обустройство Тропы здоровья (установка кормушки для белок и птиц).
4. Обеспечена устойчивость волонтерского движения "Добро внутри" (Амбассадор по экологии).</t>
  </si>
  <si>
    <t>Реализация ЦИ "Оснащение системами автоматического контроля источников выбросов</t>
  </si>
  <si>
    <t>Оснащение источника выброса согласно ДК на 2026 год</t>
  </si>
  <si>
    <t>Разработка единого подхода к формированию отчетности по форме 4-ОС на предприяти</t>
  </si>
  <si>
    <t>Утверждение приказа о распределении ответственности по предоставлению информации для заполнения статистической формы 4-ОС по затратам на природоохранную деятельность.</t>
  </si>
  <si>
    <t>1. Принято участие в конкурсе "Лучший специалист по ЭБ", войти в 10-ку лучших.
2. Пройти очное обучение по программе "Оценка уровня загрязнения атмосферного воздуха Программа УПРЗА "Эколог"".
3. Провести два курса в качестве корпоративного тренера.
4. Реализация ИПР
5. Участие в разработке методологии курса "Управление отходами не для экологов".</t>
  </si>
  <si>
    <t>Обеспечение предприятия разрешительной документацией - реализация ДК по получени</t>
  </si>
  <si>
    <t>Пересмотр КЭР:
Устранены замечания по заявке КЭР.
Получено пересмотренное КЭР.
Разработка проекта СЗЗ:
Проведена и оформлена оценка здоровью населения.
Документы поданы на санитарно-эпидемиологическую экспертизу во ФБУЗ.</t>
  </si>
  <si>
    <t>1. Выбросы ЗВ в атмосферу - не более 0,879 тыс. т; сбросы ЗВ со сточными водами - не более 0,971 тыс. т; размещение (захоронение) отходов - не более 0,35 тыс .т
2. Остановочный ремонт - 2026. Соблюдение экологических требований: бездымный пуск и останов</t>
  </si>
  <si>
    <t>Общество с ограниченной ответственностью "Томскнефтехим"/Цифровые технологии/Продвинутая аналитика</t>
  </si>
  <si>
    <t>Работа со стейкхолдерами</t>
  </si>
  <si>
    <t>Проведены встречи на уровне предприятия: статус проекта за 6 месяцев, статус проекта за 9 месяцев. Участники: ДпП, НП, ГТ</t>
  </si>
  <si>
    <t>Разработка инструкции для персонала по СУУТП</t>
  </si>
  <si>
    <t xml:space="preserve"> Разработана и выпущена инструкция для технологического персонала по управлению СУУТП</t>
  </si>
  <si>
    <t>Разработка ЗнИ для нового сервера RTO ППП</t>
  </si>
  <si>
    <t>Согласован ЗнИ на выделение ресурсов в СД, разработан и согласован ЗнИ на формирование и развертывание нового виртуального сервера для модели производства ПП ТНХ</t>
  </si>
  <si>
    <t>Разработка кинетических моделей RTO по лА и лБ</t>
  </si>
  <si>
    <t>Строгие кинетические модели доработаны по ПТР и атактике (внедрены регрессии) до точности ≥70% (R2) по линии А и В.</t>
  </si>
  <si>
    <t>Разработка оффлайн оптимизатора RTO</t>
  </si>
  <si>
    <t>Разработан оффлайн оптимизатор технологических параметров для обновления тех. карт. Рассчитаны оптимальные условия, подготовлена программа пробега</t>
  </si>
  <si>
    <t>Приживаемость введенных переменных СУУТП</t>
  </si>
  <si>
    <t>Достижение ЭЭ по проекту</t>
  </si>
  <si>
    <t>не менее 7.2 млн руб.</t>
  </si>
  <si>
    <t>Общество с ограниченной ответственностью "Томскнефтехим"/Направление Директора по производству/Производство мономеров/Смена 3/Установка компримирования и разделения пирогаза</t>
  </si>
  <si>
    <t>Эффективность работы RTO</t>
  </si>
  <si>
    <t>Увеличение времени нахождения ЭКОНС в зеленой зоне</t>
  </si>
  <si>
    <t>не более 16364 шт в квартал</t>
  </si>
  <si>
    <t>Работа СУУТП не менее 95%</t>
  </si>
  <si>
    <t>не более 68400 шт/кв</t>
  </si>
  <si>
    <t>Выдерживание расходных норм реагентов</t>
  </si>
  <si>
    <t>не более 10 % отклонения</t>
  </si>
  <si>
    <t>Время работы на новых экранах</t>
  </si>
  <si>
    <t>Снижение количества нарушений аналитического контроля</t>
  </si>
  <si>
    <t>не более 543 шт/кв.</t>
  </si>
  <si>
    <t>не более 18048 шт/квартал</t>
  </si>
  <si>
    <t>1 Проведена настройка и отладка СУУТП для режимов недостатка термостатирования
2 Достигнут ЭЭ по проекту в размере 9,5 млн. руб. за Q3 2026
3 Разработан оффлайн оптимизатор технологических параметров для обновления тех. карт:
- Разработка регрессий ПТР, атактика для ограничений оптимизации и обновления виртуальных анализаторов по линии А и Б.
- Предоставлена рекомендация производству по технологическому режиму, полученная в ходе оптимизации.
4 Разработаны строгие кинетические модели с точностью по ПТР и атактике 70% R2 по линии А и Б.
5 Разработана и выпущена инструкция для технологического персонала по управлению СУУТП</t>
  </si>
  <si>
    <t>Безопасность в подразделении ЦТ</t>
  </si>
  <si>
    <t>1. Количество травм и микротравм в подразделении = 0
2. Вовлеченность в чемпионат безопасности = 100% ежемесячно
3. Недопущение случаев нарушения правил ОТиПБ среди сотрудников ЦТ</t>
  </si>
  <si>
    <t>Пройдены назначенные обучения, выполнены развивающие задачи и задачи на закрепление навыков
https://confluence.sibur.local/pages/viewpage.action?pageId=449941827</t>
  </si>
  <si>
    <t>Тех. обслуживание серверов СУУТП в ОР2026</t>
  </si>
  <si>
    <t>1) Поддержка ПО серверов СУУТП
         - Создание бэкапов серверов СУУТП
         - Выгрузка актуальных контроллеров СУУТП с дальнейшим размещением на Confluence
         - Обеспечение свободного места на дисках хранения
         - Мониторинг ключевых показателей (загрузка ЦП и оперативной памяти, Ethernet-трафик)
2) Обеспечение информационной безопасности серверов СУУТП
         - Проверка включенности антивирусов на серверах СУУТП
         - Ежемесячное обновление баз антивируса
         - Контроль внешних-носителей информации</t>
  </si>
  <si>
    <t>Управление себестоимостью и снижение операционных затрат</t>
  </si>
  <si>
    <t>Год (ВО12)</t>
  </si>
  <si>
    <t>Реализация проекта ТИБА</t>
  </si>
  <si>
    <t>Внедрение и обеспечение приживаемости ИИ в процессы функции</t>
  </si>
  <si>
    <t>1. В течение первого полугодия не менее 90% сотрудников (в соответствии с планом обучения) успешно прошли обучение по использованию ИИ
2. В течение первого полугодия обеспечена положительная динамика числа сгенерированных идей с использованием ИИ
3. Во втором полугодии обеспечен перевод идей с подтвержденной потенциальной ценностью на стадию полноценного проектного запуска</t>
  </si>
  <si>
    <t>Выполнение программы Эффективность + (EBITDA 5%)</t>
  </si>
  <si>
    <t>Обеспечение выполнения ДК, достижение потенциалов EBITDA +5%</t>
  </si>
  <si>
    <t>Развитие ПСС. Достижение целевых метрик приживаемости</t>
  </si>
  <si>
    <t>Проведение ОР2026</t>
  </si>
  <si>
    <t>Достижение целей БК предприятияя</t>
  </si>
  <si>
    <t>не менее 5040 шт.</t>
  </si>
  <si>
    <t>Общество с ограниченной ответственностью "Томскнефтехим"/Направление Директора по производству/Производство полиэтилена/Установка полимеризации этилена/Направление Инженера по подготовке производства</t>
  </si>
  <si>
    <t>Актуализация перечня ТТ ППЭ УПЭ</t>
  </si>
  <si>
    <t>Утвержденный перечень ТТ ППЭ УПЭ</t>
  </si>
  <si>
    <t>1. Выбросы ЗВ в атмосферу не более 0,225 тыс. тонн
2. Сбросы ЗВ в стоки не более 0,018 тыс. тонн
3. Отходы на размещение не более 0,050 тыс. тонн
4. Водопотребление, не более  21,7 тыс. м3
5. Выбросы парниковых газов, не более 37,57 тыс.тонн</t>
  </si>
  <si>
    <t>не более 0.7 %</t>
  </si>
  <si>
    <t>1. Прохождение в срок вебинаров и обучений (0 не пройденных вебинара/обучений).
2. Повышение квалификации по системам Simens и Yokogawa.
3. Прохождение очного обучение по системе Simens в корпоративном институте.</t>
  </si>
  <si>
    <t>не менее 9 шт</t>
  </si>
  <si>
    <t>Списанные с ЦС МТР выданы заказчику или проведено сторно списания</t>
  </si>
  <si>
    <t>Перечень преобразователей частоты ПЭ.</t>
  </si>
  <si>
    <t>Создать перечень преобразователей частоты на фасовочном оборудовании ПЭ.
Подготовить перечень резервных ПЧ Форклифт+ АТЗ.
Подготовить перечень ПЧ без резерва.</t>
  </si>
  <si>
    <t>1.0 событий в зоне ответственности с влиянием на ИА-1
2.0 событий с возгораниями
3.Внедрение ВДО для предупреждения аварийных ситуаций и принятия своевременных мер по ремонту</t>
  </si>
  <si>
    <t>Развитие профессиональных навыков и компетенций</t>
  </si>
  <si>
    <t>Прохождение курсов и обучений положительно влияющих на профессиональные качества.</t>
  </si>
  <si>
    <t>Допуски</t>
  </si>
  <si>
    <t>Обеспечить действующие допуски 8 из 8</t>
  </si>
  <si>
    <t>-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</si>
  <si>
    <t>Реализация проектов ЦИ ЭН</t>
  </si>
  <si>
    <t>Реализация 9-и проектов ЦИ ЭН</t>
  </si>
  <si>
    <t>По результатам проверки с Чек-листом, совместно с ответственным  старшим химиком составление и выполнение  планов 5С на 1 квартал с предоставлением отчета Было-Стало, проведение мозговых штурмов в смене.</t>
  </si>
  <si>
    <t>Знание и соблюдение РК, целей ЦЗЛ сотрудниками смены. Линеаризация и обеспечение приживаемости вводимых процессов в смене</t>
  </si>
  <si>
    <t>С начала каждого месяца проводить и вовлечь смену:ОТ: не менее 1 ПАБ по ОТ; не менее 5  ЛО по ОТ (с подтвержденным средним риском за 3 кв. 2 ЛО)
Экология: не менее 5 ЛО по Экологии, не менее 1 экомероприятия</t>
  </si>
  <si>
    <t>Подача идей УМШ не менее 1 шт</t>
  </si>
  <si>
    <t>Выполнение Графика внутренних аудитов (во вложении): 3 кв. - 1, закрыть долг - 2</t>
  </si>
  <si>
    <t>Обеспечить выполнение аналитконтроля в смене.</t>
  </si>
  <si>
    <t>100% выполнение ГАК, утвержденных ОПИ, согласованных заявок.</t>
  </si>
  <si>
    <t>Актуальная информация, своевременное заполнение доски.</t>
  </si>
  <si>
    <t>Реализация плана вектора развития в смене, наставничество Никулиной Е.П.</t>
  </si>
  <si>
    <t>Подготовка и реализация плана адаптации Габдрахманова Р.</t>
  </si>
  <si>
    <t>Развитие команд ФЭС</t>
  </si>
  <si>
    <t>Реализация ключевых инициатив ЭиФ - Экономика экспортных продаж</t>
  </si>
  <si>
    <t>Выполнен анализ экономики продаж ПиОС в Китае, сформированы выводы и предложения по повышению эффективности</t>
  </si>
  <si>
    <t>Реализация ключевых инициатив года</t>
  </si>
  <si>
    <t>Развитие ПСС - СУЭ.</t>
  </si>
  <si>
    <t>1. Уровень приживаемости по метрикам направления "Процессы управления" - не менее 95%
2. 5 ключевых метрик СУЭ по предприятию - в зеленой зоне</t>
  </si>
  <si>
    <t>Фактический эффект по мероприятиям программы за 3кв2026:
Выполнено - не менее 239 млн руб; Перевыполнено - не менее 263 млн руб; Частично выполнено - не менее 215 млн руб</t>
  </si>
  <si>
    <t>Выполнение ключевых экономических показателей и бизнес-план 2027</t>
  </si>
  <si>
    <t>Ключевые показатели за 3кв2026:
EBITDA - не менее 1856 млн руб
постоянные затраты - не более 2 197
эффект ММ - не менее 262 млн руб
БП 2027: сформирован в установленные сроки, заданные ориентиры по уровню расходов в БП 2027 выполнены.</t>
  </si>
  <si>
    <t>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потери ВПР в течение 20 суток после ОР.</t>
  </si>
  <si>
    <t>Общество с ограниченной ответственностью "Томскнефтехим"/Медицинская безопасность</t>
  </si>
  <si>
    <t>Функциональность и доступность медицинской помощи</t>
  </si>
  <si>
    <t>1. В Центре Здоровья медицинская помощь предоставляется с заявленной функциональностью и доступностью. Штат медицинских специалистов укомплектован в соответствии с согласованной финансовой моделью</t>
  </si>
  <si>
    <t>Менеджер по охране здоровья</t>
  </si>
  <si>
    <t>Доступность и функциональность медицинской помощи</t>
  </si>
  <si>
    <t>Организация СКЛ за счет средств СФР</t>
  </si>
  <si>
    <t>1. Завершили СКЛ с начала года 36 человека.
2. Счета оплачены, закрывающие документы проведены.</t>
  </si>
  <si>
    <t>Профилактика заболеваний</t>
  </si>
  <si>
    <t>Формирование и развитие эффективной команды</t>
  </si>
  <si>
    <t>1. Проведено обучение сотрудников службы в соответствие с планом корпоративного обучения.
2. Определено не менее  1 инструмента использования ИИ.  Начато пилотирование на корпоративном сервере ИИ.</t>
  </si>
  <si>
    <t>1. На основании рекомендаций в заключительном акте сформирован список кандидатов на СКЛ на 2027 год. Информация о сотрудниках, недопущенных к работе по результатам ПерМО, ВнМО, ОПО, передается руководителям структурных подразделений, в ОТиПБ и HR по факту получения заключения от медицинского провайдера. По результатам заключительного акта актуализирована группа диспансерного наблюдения.
2. Организовано и контролируется прохождение предсменных медицинских осмотров на аппаратных комплексах ЭСМО сменного персонала и работников производств, согласно приказа 123/ТНХ от 14.10.2025. Ежедневное информирование руководителей структурных подразделений об отстраненных работниках по результатам предсменных МО.
3. Обеспечено проведение диспансеризации:
- ГД, ГД-1 - 19 работников;
- АУП  - 100 работников.
4. Проведено 2 Дня здоровья по ТОП-3 групп заболеваний по ВУТ из Профиля здоровья ООО ТНХ.</t>
  </si>
  <si>
    <t>Обеспечение доступности персонала (по медицинским причинам)</t>
  </si>
  <si>
    <t>1. Дни временной утраты трудоспособности (ВУТ) – не более 5,5 на 1 человека нарастающим итогом за 3 квартала.
2. Число работников без больничных листов – не менее 55%.</t>
  </si>
  <si>
    <t>Обеспечение доступности персонала</t>
  </si>
  <si>
    <t>Экстренное медицинское реагирование</t>
  </si>
  <si>
    <t>1. Проведено не менее 1 учения по плану ЭМР.
2. Проведено обучение  сотрудников по допуску 5000032 (Оказание первой помощи пострадавшим) согласно положенности.</t>
  </si>
  <si>
    <t>Отчетность по запасам СУОФ</t>
  </si>
  <si>
    <t>Подготовка отчета по запасам вертикали НиР к квартальному ритуалу. Подготовка перечней по категориям запасов ЗО СУОФ</t>
  </si>
  <si>
    <t>Перекатегоризация МРП/ЗИП/МКЗ в НВИ</t>
  </si>
  <si>
    <t>не менее 190 млн. руб.</t>
  </si>
  <si>
    <t>Избыточность под проектом</t>
  </si>
  <si>
    <t>Аналитика прикрепления ТОРО-заказов к избыточному запасу по позициям РП</t>
  </si>
  <si>
    <t>Использование избытка, отсутствие дубляжа в наличии и закупке</t>
  </si>
  <si>
    <t>Объем избыточной закупки МРП СУОФ</t>
  </si>
  <si>
    <t>МРП без потребности, ЗИП без потребности &gt; 2-х лет</t>
  </si>
  <si>
    <t>Оборачиваемость МРП СУОФ текущего года поставки</t>
  </si>
  <si>
    <t>не более 91 дн.</t>
  </si>
  <si>
    <t>Проработать модернизацию датчиков давления на 3001 корпусе.</t>
  </si>
  <si>
    <t>Внесение изменения в проект, заменить датчики</t>
  </si>
  <si>
    <t>1.Успешное прохождение назначенных курсов СРР.
2. Прохождение управленческих мастерских СРР &gt;80% из назначенных за период</t>
  </si>
  <si>
    <t>1. Маркировка СИ и СА - Приведение в соответствие согласно СТП маркировки оборудования относящееся к СБ и ПАЗ по месту его установки на производстве (ПЭ).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0 замечаний по незаполненной документации после выполнения работ по ТОиР
5. Ежемесячный контроль качества и полноты проведения ТО. Предоставить 3 отчета за квартал (ПЭ, ПМ)</t>
  </si>
  <si>
    <t>Эксперт по механике</t>
  </si>
  <si>
    <t>- получены все допуски
- проведение стоп-часов с КА по месту выполнения работ – не менее 3 в квартал.
- вовлеченность в чемпионат безопасности - 100%.
- охрана труда - не менее 3 баллов за квартал.
- промышленная безопасность - не менее 3 баллов за квартал.
- экология - не менее 3 баллов за квартал.</t>
  </si>
  <si>
    <t>LTIF: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</si>
  <si>
    <t xml:space="preserve"> Исполнения плана освоения, финансирования и ввода кап. вложений не менее 97%</t>
  </si>
  <si>
    <t>Реализация проекта по устранению замечаний ЭПБ к.1083.
Реализация проекта по устранению замечаний ЭПБ к.1534.
Реализация проекта по замене шпал Ж/Д пути № 25.
Устранение замечаний ЭПБ кор. 1042.</t>
  </si>
  <si>
    <t xml:space="preserve"> Выполнение ПИР, СМР, ПНР рамочными подрядчиками не менее 90 %</t>
  </si>
  <si>
    <t>Выполнение прочих задач от руководителя</t>
  </si>
  <si>
    <t>Задачи выполнены в срок с надлежащим качеством</t>
  </si>
  <si>
    <t>Оценка ВКУС</t>
  </si>
  <si>
    <t>не менее 5 балл</t>
  </si>
  <si>
    <t xml:space="preserve"> Производственный травматизм (LTIF)</t>
  </si>
  <si>
    <t>1. LTIF=0, в т.ч. ПО (отсутствие происшествий с сотрудниками СОБ и подрядных организаций в зоне ответственности) / Отсутствуют сокрытые микротравмы, в т.ч. ПО
2. Поддерживается программа культуры безопасности (подрядные организации) и отслеживается статус реализации программы
3. Проведены ежемесячные совещания по ОТиПБ с подрядными организациями
4. Полученные допуска -99%
5.            0 событий в зоне ответственности с влиянием на Ltif предприятия
6            Срок расследования происшествий не более 21 дня
7.            0 случаев травмирования ДТП – Транспортная безопасность</t>
  </si>
  <si>
    <t>Исполнение бюджета</t>
  </si>
  <si>
    <t>не более 38375  тыс. руб.</t>
  </si>
  <si>
    <t>Обеспечение целевых уровней качества услуг питания (SLA)</t>
  </si>
  <si>
    <t>Удержание доли питающихся сотрудников</t>
  </si>
  <si>
    <t>Подготовка к ОР</t>
  </si>
  <si>
    <t>Подготовка и проведение мероприятий в рамках ответственности ОР 2026 г</t>
  </si>
  <si>
    <t>Инженер по исследованию металлов</t>
  </si>
  <si>
    <t>Обучение проведению механических испытаний.</t>
  </si>
  <si>
    <t>Ознакомление с оборудованием и методами проведения механических испытаний в лаборатории.</t>
  </si>
  <si>
    <t>Анализ причин и видов дефектов в исследованиях проведённых в лаборатории.</t>
  </si>
  <si>
    <t>Сортировка исследований по подгруппам для упрощения работы и анализа.</t>
  </si>
  <si>
    <t>Управление запасами МТР ТОиР. Срочные заявки не более 10ти процентов</t>
  </si>
  <si>
    <t>1. МРП без потребности в ИС: Уровень МРП без потребности на 31.12.24, 0 млн руб
2. Материалы сроком хранения в категории ЗИП, более 2-х лет, должны иметь оформленную потребность на вовлечение в ИС SAP либо отсутствовать.</t>
  </si>
  <si>
    <t>Отклонение план-факт трудозатрат, бэклог (набор работ, обеспеченных ресурсами)</t>
  </si>
  <si>
    <t>Исполнение бюджета ТОиР в рамках утвержденного БП</t>
  </si>
  <si>
    <t>Выполнение месячного плана</t>
  </si>
  <si>
    <t>Безопасность без компромиссов. Составление ПАБ</t>
  </si>
  <si>
    <t>1. LTIF =0
2. Получены все допуски;
3. Внесение не менее 15 записей ПАБ в журнал ОТ</t>
  </si>
  <si>
    <t>1. Маркировка СИ и СА - Приведение в соответствие согласно СТП маркировки оборудования относящееся к СБ и ПАЗ по месту его установки на производстве. Устранение замечаний по части аудита (заземление, позиционное обозначение).
2. 0 отказов оборудования по вине работника
3. Не более 1-го повторного ремонта из-за некачественного ремонта (без УМД)
4. Ежемесячные линейные обходы на проверку замечаний по качеству проведения ТОиР оборудования в ЗО
5. 0 замечаний по незаполненной ремонтной документации после проведения работ</t>
  </si>
  <si>
    <t>1. Выполнение недельного плана работ не менее 95 %
2. Выполнение дневного плана работ не менее 95 %
3. Внесение записи в паспорт оборудования после проведения ремонтов 100% .
4. Проведение оценки рисков, разработка и выполнение мероприятий по снижению рисков перед началом и во время работы.
5. Контроль выполнения графика ППР в ЗО -  Отсутствие долгов по производству. В случае невозможности подготовить оборудование, сообщить руководителю для организации переноса по срокам.
6. Выполнение графика Поверки/Калибровки 95%
7. Составить актуальный перечень оборудования ФХИ по производствам ПП и ПУиСП</t>
  </si>
  <si>
    <t>01.07.2026 - 12.08.2026</t>
  </si>
  <si>
    <t>Освоение Primavera</t>
  </si>
  <si>
    <t>Усовершенствование навыков самостоятельной работы в Primavera</t>
  </si>
  <si>
    <t>1. LTIF=0
2. Вовлеченность в чемпиона "по Безопасности труда" не менее 90%
3. Рейтинг а кв - не менее 15 (ПАБ/ОТ) + не менее 1 записи по Экологии + не менее 1 записи по ПБ в неделю</t>
  </si>
  <si>
    <t>Качество взаимодействия внутри Компании</t>
  </si>
  <si>
    <t>Взаимодействие носит конструктивный характер. Подразделение периодически выходит к другим подразделениям с предложениями и инициативами. Данные предоставляются в установленный срок, содержат качественный материал, позволяющий проводить анализ без дополнительных пояснений. Процесс введения новых методик/правил взаимодействия осуществляется оперативно. Оцениваемый руководитель и его подчиненные понимают и поддерживают интересы других подразделений, если они соответствуют корпоративным интересам. Поддерживать и улучшать достигнутый уровень взаимодействия.</t>
  </si>
  <si>
    <t>Качество работы в рамках НОМ</t>
  </si>
  <si>
    <t>6- графики и отчетность формируются в соответствии с требованиями НОМ, вовремя и качественно формируются МНЗ в части СМР. Планером вовремя выявляются коллизии в данных, предоставляемых Руководителями проектов и прочими участниками проектов. Оказывается поддержка специалистам других предприятий по ведению графиков и отчетности
5- то же самое, без поддержки специалистам других предприятий по ведению графиков и отчетности
4- то же самое, но с незначит. замечаниями к формированию и ведению графиков, выдаче МНЗ
3- то же самое, но со значит. замечаниями к формированию и ведению графиков, выдаче МНЗ</t>
  </si>
  <si>
    <t>Работа с потерями</t>
  </si>
  <si>
    <t>1. Доля неидентифицированных потерь (дебалансов) не более 5% по итогам квартала
2. Расшивка проблемы выявления дебаласна между весами накладными  в рамках мат. баланса:
- Провести анализ работы обеих весовых систем, оцифровать масштаб расхождений и выявить корневые причины - Итоговой отчет с содержанием корневых проблем.
-  Провести СРП по решению данной проблемы с включением ПДО, Производства. - Разработаны мероприятия по решению данной проблемы.</t>
  </si>
  <si>
    <t>Управление безопасностью и экологичностью</t>
  </si>
  <si>
    <t>1. 100% вовлеченность в проведение ПАБ по итогам квартала.
2. Отсутствие замечаний в рамках экологического надзора по итогам работы в ОР.
3. Проведение не менее 4 КБ на экологическую тематику на БЭ по итогам квартала.</t>
  </si>
  <si>
    <t>- формирование и предоставление в службу экологии Отчета не позднее 3 числа следующего месяца
- Своевременная подача заявок на вывоз отходов с производственных площадок (На конец квартала, место накопления отходов согласно визуального стандарта)</t>
  </si>
  <si>
    <t>-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
- Количество ручных правок не более 150шт за квартал.</t>
  </si>
  <si>
    <t>Своевременный заказ ХП на производство с центрального склада по заявкам НС
- Факт на складе остатков согласно норм ХП по итогу 3 квартала</t>
  </si>
  <si>
    <t>- Не более 5% неидентифицированных мат.дебалансов в зоне своих обязанностей
- Обеспечение корректных данных в суточной сводке, на конце месяца (Отсутствие дебалансов - По ЧФ)</t>
  </si>
  <si>
    <t>Амбассадоры ИИ</t>
  </si>
  <si>
    <t>1. проведение локальных обучений на производствах для 14+ грейдов с помощью амбассадоров ИИ
2. регулярность проведения встреч команды работы с ИИ (мин 1 р/2 недели на уровне ГД)
3. реализация 3х проектов представленных на РЗП (контроль безопасности РПО, работа с данными МЕС на примере НТР, Сигнализаций и анализ работ по видеопотоку).</t>
  </si>
  <si>
    <t>Настройка ритуалов направления производство и технология</t>
  </si>
  <si>
    <t>Настройка ритуалов ПиТ «Планирование задач, итоги недели», «ВИТ-ВИП» оценка по чек-листу не менее 85%</t>
  </si>
  <si>
    <t>Реализация проекта по контролю/диспетчеризации комиссаров по ОТиПБ</t>
  </si>
  <si>
    <t>1. Обеспечена работоспособность системы в период ОР.
2. Все РПО контролируются с помощью системы трекеров (95+% работ), время контроля РПО комиссарами на основании трекеров - 80%</t>
  </si>
  <si>
    <t>RTO ППП</t>
  </si>
  <si>
    <t>1. Соблюдение сроков проработки/реализации проекта RTO ППП
2. Достижение целевых ЭЭ от проекта не менее чем на 95%"</t>
  </si>
  <si>
    <t>Достижение целевых метрик приживаемости &gt;93%:
1. Вовлеченность в ПАБ &gt;90%
2. Выполнение графика ЛО &gt;85%
3. Доля взятых обязательств по итогам ЛО 30%
4. выполнение на производствах &gt;95%
5. диагностика и настройка качества проведения МО на производствах
6. Выполнение распоряжений: соответствие целевому формату выдачи распоряжений, исполнение распоряжений</t>
  </si>
  <si>
    <t>Своевременное и качественное формирование бизнес-планов РБ ПОФ, ЦИ: - Выполнена: План РБ, ЦИ на 2027г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с задержкой &lt; 7 рабочих дня в соответствии с методологией по качеству планирования (PowerPoint, Excel, ИС) в ЗО - Не выполнена: с задержкой &gt; 7 рабочих дня c отклонениями от методологии по качеству планирования (PowerPoint, Excel, ИС) в ЗО. Своевременное и качественное формирование отчетности РБ ПОФ, ЦИ: - Выполнена: Отчетность РБ ПОФ, ЦИ сформирована в установленный срок согласно графика в соответствии с методологией управления затратами (PowerPoint, Excel) в ЗО. - Выполнена частично: Отчетность РБ ПОФ, ЦИ сформирована с задержкой &lt; 7 рабочих дня в соответствии с методологией управления затратами (PowerPoint, Excel) в ЗО. - Не выполнена: Отчетность РБ ПОФ, ЦИ сформирована с задержкой &gt;7 рабочих дня в соответствии с методологией управления затратами (PowerPoint, Excel) в ЗО</t>
  </si>
  <si>
    <t>Реализация проекта 70123 "Монтаж байпасных линий" на ПМ в ОР.
Ремонт кровель к.1164, к.3001, к.1230. к.1316
Устранение замечаний ЭПБ к.3013, к.3017
Проведение строительного контроля по проекту ЦИ САК.</t>
  </si>
  <si>
    <t>Сокращение сроков расследований</t>
  </si>
  <si>
    <t>Сокращение сроков расследований по ДТП и сработке АПС</t>
  </si>
  <si>
    <t>Обеспечение ТС на УППР2026</t>
  </si>
  <si>
    <t>Предоставление транспортных средств по заявкам на УППР2026 согласно потребности в спецтехнике</t>
  </si>
  <si>
    <t>Повышение уровня эффективности использования ТС</t>
  </si>
  <si>
    <t>Повышение уровня эффективности использования ТС (достижение целевого уровня утилизации ТС, дежурные - 65%, закрепленные – 50%)</t>
  </si>
  <si>
    <t>Средняя оценка: не менее 5 во Вкус.
Доля оцененных обращений  - не менее 50%</t>
  </si>
  <si>
    <t>Организация работы системы "Заказ транспорта"</t>
  </si>
  <si>
    <t>Доля закрытых заявок не менее 98%
Доля отклоненных заявок не более 10%
Доля аварийных заявок не более 5%</t>
  </si>
  <si>
    <t>Исполнение бюджета по транспорту ТНХ</t>
  </si>
  <si>
    <t>не более 201424 тыс.руб</t>
  </si>
  <si>
    <t>Эксперт по предпроектной проработке</t>
  </si>
  <si>
    <t>Сформирован дешборд СГТ в HTML через ИИ</t>
  </si>
  <si>
    <t>Регулярная работа с реестром идей (этапы, наполненность)</t>
  </si>
  <si>
    <t>Актуальные сроки мониторинга, заполненные карточки идей ( решение, описание текущей ситуации)</t>
  </si>
  <si>
    <t>Формирование ОПД НБ ИП в части экономической эффективности</t>
  </si>
  <si>
    <t>Подготовленная ОПД в части экономической эффективности по НБ ИП с готовностью перейти на следующий этап</t>
  </si>
  <si>
    <t>"1. Инициация и вынесение на приоритизацию ИИ окупаемых в экспресс-расчете экономики, не менее 3 в квартал
2. Длительность проработки новых эффективных инвест.идей на этапе I2P, не более 51 кд (даже если они не переходят на P2I из-за внешних ограничений)"</t>
  </si>
  <si>
    <t>Обеспечение эффективного процесса RCA (Анализ корренных причин)</t>
  </si>
  <si>
    <t>Доля просроченных мероприятий (опционально)</t>
  </si>
  <si>
    <t>Эффект от реализации мероприятий менеджмента в 2026, млн руб не менее 279 млн.руб.
Наполнение портфеля ММ с эффектом в следующем году проработанными мероприятиями (с влиянием на EBITDA), не менее 95,4 млн руб. (прирост от 2кв)</t>
  </si>
  <si>
    <t>1. Провести не менее 3-х ПАБ в квартал  ( не менее  1 ПАБ в месяц) с выявлением опасных условий/опасных действий. Предложить мероприятия по недопущению травмирования сотрудников предприятия и подрядных организаций
2. Проведение ЛО не менее 3 баллов по ПБ, не менее 3 баллов по ОТ.</t>
  </si>
  <si>
    <t>Проведение ЕКЭ сотрудникам функции</t>
  </si>
  <si>
    <t>100% сотрудников функции прошли ЕКЭ, сформированы программы развития компетенций по каждому сотрудникоу</t>
  </si>
  <si>
    <t>ПМЛА, перечни ГОР</t>
  </si>
  <si>
    <t>Организован пересмотр перечней ГОР, ПМЛА. Обеспечен контроль внесения изменений в ЦНД</t>
  </si>
  <si>
    <t>Подготовка к ОР - комисаров, ПАСФ</t>
  </si>
  <si>
    <t>1. Обеспечить формирование программы распределения уполномоченных с закреплением за областями
2. Обеспечить обучение комиссаров к ОР
3. Обеспечить необходимое количество ПАСФ/ГСО
4. Обеспечить привлечение комиссаров с производств СИБУР</t>
  </si>
  <si>
    <t>1. 100% затратных предписаний внесены в реестр, обрискованы, осмечены.
2. Определен источник финансирования или долгосрочный план устранения предписаний.
Обеспечить устранение в срок (или перенос) занесенных в реестр предписаний</t>
  </si>
  <si>
    <t>01.07.2026 - 17.07.2026</t>
  </si>
  <si>
    <t>Работа с обращениями от клиентов и реализация мероприятий, улучающих качество ГП</t>
  </si>
  <si>
    <t>1. Прохождение в срок вебинаров и обучений (0 не пройденных вебинара/обучений)
2. Создание схем расключение приборов КИПиА на стенде для контролер Siemens.</t>
  </si>
  <si>
    <t>Качество структуры БДО</t>
  </si>
  <si>
    <t>Соответсвие наработки</t>
  </si>
  <si>
    <t>не менее 100 шт</t>
  </si>
  <si>
    <t>Заполнение признаков ЕО</t>
  </si>
  <si>
    <t>Актуализация БДО, БДН</t>
  </si>
  <si>
    <t>Качество работы пользователей (отчет в BI)</t>
  </si>
  <si>
    <t>70233. Замена ЭП на ПМ</t>
  </si>
  <si>
    <t>Выполнить СМР по замене электроприводов в срок до 25.08.2026</t>
  </si>
  <si>
    <t>- При отсутствии смертельных несчастных случаев (СмНС) и достижения значения LTIF в диапазоне 0÷0,28, цель считается «Выполненной»
- При отсутствии смертельных несчастных случаев (СмНС) и достижения значения LTIF в диапазоне 0,28÷0,42, цель считается «Выполненной частично»
- При отсутствии смертельных несчастных случаев (СмНС) и достижения значения LTIF более 0,42, цель считается «Не выполненной»
- Вовлеченность в чемпионат «по Безопасности труда» не менее 90%</t>
  </si>
  <si>
    <t>Исполнение бюджета по проектам ИП и ПОФ (превышение отсутствует)</t>
  </si>
  <si>
    <t>-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 (выпущены корректирующие решения по увеличению бюджета проекта)</t>
  </si>
  <si>
    <t>ЦИ "САК ЗВ"</t>
  </si>
  <si>
    <t>Разработать РД по проекту в срок до 30.09.2026г.</t>
  </si>
  <si>
    <t>Внедрение ИИ-инструмента в процесс организации пропускного режима</t>
  </si>
  <si>
    <t>Разработана система формирования заявок на оформление пропусков/перемещение ТМЦ, прохождения процедуры согласования и утверждения, регистрации и исполнения ЭБ/ЧОП</t>
  </si>
  <si>
    <t>- Соблюдение сроков выполнения запланированных мероприятий и указаний руководства, а также обеспечение надлежащего качества подготовки отчетных документов.</t>
  </si>
  <si>
    <t>Мониторинг ПДЗ</t>
  </si>
  <si>
    <t>Участие в работе комиссии по работе с дебиторской и кредиторской задолженностью. Контроль структуры ПДЗ/ППДЗ и обстоятельств ее образования. Оказание содействия бизнесу в урегулировании ППДЗ. Не допущено образования новых фактов ПДЗ/ППДЗ в зоне ответственности предприятия.</t>
  </si>
  <si>
    <t>- Проведён СТ по проверке БО «Порядок обращения с конфиденциальной информацией» (попытка несанкционированного получения конфиденциальной информации о мобилизованных сотрудниках предприятия, путем направления фейкового запроса) на предмет выявления и митигации возможных рисков, связанных с ее неправомерной передачей/разглашением. Разработка корректирующих и предупреждающих мероприятий по митигации выявленных рисков.
- недопущение фактов разглашения КТ/КИ в зоне ответственности курируемых подразделений</t>
  </si>
  <si>
    <t>- Проведён СТ по проверке качества МО и РПО;
- Принято участие в Чемпионате по безопасности и экологии (ПАБ – не менее 6 шт., мероприятия по экологии – не менее 2 шт.).
- Нулевой индекс травматизма в зоне ответственности курируемых подразделений/направлений деятельности Предприятия.</t>
  </si>
  <si>
    <t>- Проведена проверка обоснованности перевода ИТ-техники Предприятия, в категорию "НВИ" и ее последующей реализации, на предмет выявления возможных уязвимостей в данном БП, а также злоупотреблений со стороны должностных лиц.
-Проведена выборочная проверка подлинности квалификационных документов о соответствии требованиям ТЗ (удостоверений, сертификатов, трудовых договоров и т.п.), предоставляемых Подрядчиками в рамках участия в закупочных процедурах Предприятия, на предмет выявления возможных фактов МД.</t>
  </si>
  <si>
    <t>Выявление и предотвращение МДиХ.</t>
  </si>
  <si>
    <t>-   Проведены совместные с ЭБ СТГ и ЗСНХ мероприятия, направленные на выявление рисков потенциального хищения БГС при осуществлении внутригрупповых поставок за период с 01.06.2026 г. по 15.09.2026г.
- В целях митигации возможных рисков хищения готовой продукции (полиэтилен, полипропилен, БОПП) проведен выборочный контроль отгрузок в КТК/автотранспорт/ЖД вагоны.
- Проведена внеплановая инвентаризация имущества (сырье, вспомогательные материалы) Томской площадки ООО "БИАКСПЛЕН" на предмет выявления неучтенных излишков/недостач. Реализованы  корректирующие мероприятия.
- Осуществлено сопровождение хода проведения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
- Не допущено фактов МДиХ с реализованным ущербом в зоне ответственности курируемых подразделений/направлений деятельности Предприятия.</t>
  </si>
  <si>
    <t>«Управление функцией охраны. Антитеррористическая защита».</t>
  </si>
  <si>
    <t xml:space="preserve">  -Проведены  СТ по проверке действий персонала ППП и ЧОП "Нефтехим охрана"
при обнаружении подозрительного предмета при проведении МО.
- не допущено АНВ на курируемых объектах предприятия.
- проведена работа, направленная на выявление среди работников предприятия и КА (в рамках курируемых подразделений/направлений деятельности) лиц из «группы риска».
</t>
  </si>
  <si>
    <t>Продвижение бренда компании во внешнем контуре</t>
  </si>
  <si>
    <t>1. В Буфф-саду города установлена креативная табличка на тему русского писателя А.С. Пушкина.
2. Обновлен раздел "История" на сайте компании.
3. Разработан и размещен интерактивный баннер (не менее 1го) в городе на 4х ЛЭД экранах.</t>
  </si>
  <si>
    <t>Поддержание единого визуально-пространственного облика предприятий СИБУРа</t>
  </si>
  <si>
    <t>Обеспечить запуск и внедрение системы постоянного контроль, а так же приведения интерьеров, экстерьеров и визуальных материалов предприятий к единому визуально-пространственному стандарту в соответствии с утверждёнными гайдбуками:
1. Проведен аудит производства Полипропилена.
2. Выставлены замечания по несоответствию брендбуку компании информационных носителей
3. Замечания устранены
4. Контроль фактического состояния объектов производства на предмет актуального брендирования.</t>
  </si>
  <si>
    <t>Добиться чтобы 30% рутинных задач решались с помощью ИИ.</t>
  </si>
  <si>
    <t>1. Проведен 1 региональный форум "Наша Компания". Оценка  мероприятия не ниже 9.
2. Проведено 2е серии встреч на ногах "Лидеры мнений" - по итогам 2 квартала (июль),  - по итогам ОР 2026.
3. Проведена фотосъемка для пополнения фотобанка компании.
4. Обновлен контент (история предприятия) в Wellcome зоне (музейное пространство).
5. Проведено не менее 1 мероприятия с участием семей сотрудников, оценка не ниже 9.</t>
  </si>
  <si>
    <t>Информирование сотрудников для эффективной работы (упр-е каналами коммуникаций)</t>
  </si>
  <si>
    <t>1. Опубликовано 15 постов в КЛИК по ключевым направлениям: ОТиПБ, экология, МС, женщины на производстве, трудовое долголетие, ОР, производство, ИИ и пр.
2. Еженедельно обновлены ЛЭД экраны на проходной, согласно актуальной повестке недели.
3. Опубликовано 5 видеороликов на ИндорТв.</t>
  </si>
  <si>
    <t>Реализация проектов ЦИ ЭН на ПМ</t>
  </si>
  <si>
    <t>Реализации ЦИ САК ЗВ в соответствии с ДК</t>
  </si>
  <si>
    <t>1.Выполнена поставка необходимых материалов к ОР – 25%
2.Выполнен раздел РД в части подключений и работ, выполняемых в ОР – 25%
3.Выбран подрядчик на СМР на стороне ТНХ (кого-то из рамочников) для работ на ОР – 25%
4.Весь комплект РД разработан и передан на согласование в СИБУР - 25%
5.Для перевыполнения цели: Пройдены две итерации рассмотрения РД и выданы замечания со стороны СИБУР</t>
  </si>
  <si>
    <t>LTIF = 0
Проведение совещаний с подрядчиками, проверка наличия допусков, проверка знаний корпоративных требований у ответственных по нарядам
При отсутствии смертельных несчастных случаев (СмНС) и достижения значения LTIF в диапазоне 0÷0,28, цель считается «Выполненной»
- При отсутствии смертельных несчастных случаев (СмНС) и достижения значения LTIF в диапазоне 0,28÷0,42, цель считается «Выполненной частично»
- При отсутствии смертельных несчастных случаев (СмНС) и достижения значения LTIF более 0,42, цель считается «Не выполненной»
- При наличии смертельных несчастных случаев (СмНС) цель считается «Не выполненной»</t>
  </si>
  <si>
    <t xml:space="preserve"> Цифровые инициативы</t>
  </si>
  <si>
    <t>1. Составление  дефектных ведомостей в электронном виде, 100% от общего объема.
2. Работа в SAP</t>
  </si>
  <si>
    <t>Завершение работ по АБК
Вовлечение в проект МРП
Реализация объектов ТП (11)
Реализация объектов ПОФ (44)
Реализация объектов ЦИ (12)</t>
  </si>
  <si>
    <t xml:space="preserve"> Исполнение бюджета по ПОФ</t>
  </si>
  <si>
    <t>Выполнение плана саморазвития на Conflunce</t>
  </si>
  <si>
    <t>Программа развития выполнена &gt; 75%.
Погружен в технологию пиролиза. Паровой баланс.</t>
  </si>
  <si>
    <t>Заведение карточки ММ по мероприятию добавления возвратного акциза в РТО Пиролиз</t>
  </si>
  <si>
    <t>Заведена карточка ММ. Расчет ЭЭ производится раз в месяц.</t>
  </si>
  <si>
    <t>Прогнозирование пробегов печей с учетом закоксованности</t>
  </si>
  <si>
    <t>Рассчитан экономический эффект и составлена программа по реализации.
Эффект согласован с ФЭС, СГТ.</t>
  </si>
  <si>
    <t>Поддержка системы РТО Пиролиза</t>
  </si>
  <si>
    <t>Ожидаемый результат:
1. Достигнуты целевые значения по метрикам РТО.
     -  Время работы под уставками, ≥90%
     -  Свобода оптимизации, ≥90%
     -  Точность модели, ≥90%
     -  Количество расчетов, ≥6 шт/сут
2. Решение проблемы зависания тегов.
     -  Определена проблема зависания тегов при передачи данных MES→АСУТП и АСУТП→MES.
     -  Проведена встреча с архитектором.
     -  Подготовлен план по устранению проблем зависания тегов.
3. Организован процесс выдачи и приема заявок от производства к инженеру РТО.</t>
  </si>
  <si>
    <t>Погружение в методологию формирования и мониторинга показателей MAP</t>
  </si>
  <si>
    <t>К атуализации</t>
  </si>
  <si>
    <t>Передача опыта (Е. О. Дюгай)</t>
  </si>
  <si>
    <t>Погружение Е. О. Дюгай в работу по направлению СГИ</t>
  </si>
  <si>
    <t>Поиск и реализация потенциалов повышения эффективности (ПЭ+ЭнП+СУОФ)</t>
  </si>
  <si>
    <t>не менее 12420 тыс.руб.</t>
  </si>
  <si>
    <t>Погружение в экономику ПП</t>
  </si>
  <si>
    <t>1) Погружение в ММ ППП - закрытие как минимум одно месяца ММ самостоятельно
2) Погружение в Э+ ППП</t>
  </si>
  <si>
    <t>Выполнение базовых метрик экономической эффективности</t>
  </si>
  <si>
    <t>EBITDA не менее 10 511 млн руб
Эффект ММ 2026 не менее 39,9 млн руб (ПЭ+ЭнП)</t>
  </si>
  <si>
    <t>Общество с ограниченной ответственностью "Томскнефтехим"/Направление Директора по управлению персоналом/Бизнес-партнер: Производство и технологии</t>
  </si>
  <si>
    <t>Настройка работы по РВД</t>
  </si>
  <si>
    <t>Обеспечен регулярный мониторинг дашбордов по укомплектованности. Непосредственным руководителям направляется обратная связь о выявленных отклонениях от норматива и необходимости перераспределения персонала между сменами. С начальниками производств на ежемесячной основе проводятся встречи с предоставлением аналитики.</t>
  </si>
  <si>
    <t>Квоты по АГХК</t>
  </si>
  <si>
    <t>1 квота на переезд АГХК
5 квот на ПНР АГХК (сентябрь -октябрь)</t>
  </si>
  <si>
    <t>Укомплектованность ФЭП на уровне 95%</t>
  </si>
  <si>
    <t>Совместная работа с психологом подразделений в ЗО</t>
  </si>
  <si>
    <t>Выстроена совместная работа  с психологом курируемых подразделений:
- ежемесячные встречи с психологом для сверки работы в подразделениях
- психолог вовлечен в процесс адаптации с новичками
- психолог вовлечен в работу по результатам опроса вовлеченности
- отработка сложных кейсов с персоналом
Курирование штата психологов ТНХ</t>
  </si>
  <si>
    <t>Производственный травматизм = 0, УМД по ЧФ = 0 по подразделениям в зоне ответственности</t>
  </si>
  <si>
    <t>Контроль ФОТ по производствам (накопительный итог за полугодие)</t>
  </si>
  <si>
    <t>не более 667374159 руб</t>
  </si>
  <si>
    <t>Выполнения задач в рамках индивидуального развития</t>
  </si>
  <si>
    <t>Задачи выполнены, уровень компетенций на уровне "соответствует ожиданиям"</t>
  </si>
  <si>
    <t>Внедрение и приживание ритуалов по РНиС</t>
  </si>
  <si>
    <t>Обеспечить внедрение и приживание по метрикам РНиС
- организовать проведение управленческих мастерских
- провести супервизии по СУЭ, адаптации, вовлеченности, развитию
- ТКР на уровне целевого значения
- % охвата сотрудников целевым процессом подготовки на первую управленческую роль</t>
  </si>
  <si>
    <t>Обязательные допуска сотрудников курируемых подразделений</t>
  </si>
  <si>
    <t>Стабилизация ППП</t>
  </si>
  <si>
    <t>Стабилизация ППП:
- Мероприятия, направленные на стабилизацию ПП
- Работа психолога с коллективом
- Работа с НС, ИТР составом.
Ожидаемый результат:
- Штат укомплектован в соответствии с установленной потребностью по ИТР составу (ИС, ВИП)
- С сентября по декабрь 2026 равномерное распределение отпусков сотрудников
- Запущена программа психологической поддержки сотрудников, проведено анкетирование для выявления актуальных потребностей и рисков
- проведены управленческие диалоги с НС</t>
  </si>
  <si>
    <t xml:space="preserve"> 1.Проведение плановых комплексных проверок основных производств в соответствии с графиком - 100%.
2. Периодическое представление сводной информации по техническому состоянию систем пожарной автоматики.
</t>
  </si>
  <si>
    <t xml:space="preserve"> Своевременность отработки ПГД, ДД, Доверенности не менее 98 %</t>
  </si>
  <si>
    <t>Повторный анализ процессов в базовом функционале АПР на предмет их возможного</t>
  </si>
  <si>
    <t>1. УМД по качеству, % от EBITDA, не более 0,3
2. Процент несоответствующей продукции (НСП)% не более 5,33 % (4501 тонн)
3. Коэффициент повторяемости обращений и тяжести последствий (КПОиТП), не более:
ПМ 0,11, ПМ ЖД 0,08
ПЭНП 0,50
ППП 1,32
4. Обеспечить выполнение показателя ""Потери по ключевым РН сырья в ЗО ФЭП"" до 30.09.2026,  не более 114 млн.руб (ПМ сырье = 72, ПМ топ.газ = 4, ПЭ этилен = 24, ПП пропилен = 14)"
Дополнительно на оценку выше ожиданий:
1. Процент несоответствующей продукции (НСП), % не более 3,94% (3323 тонн)
2. Сокращение НСП на ОР:
ПЭ - 546 тонн;
ПП - 160 тонн;
2. Снизить потери сырья относительно заложенных в БП-2026 на ОР за счёт разработанных технических мероприятий :
1.1. ПМ = - 660 тонн (бензин);
1.2. ПП = - 40 тонн (пропилен);
1.3. ПЭ = - 10 тонн (этилен);</t>
  </si>
  <si>
    <t>1. Обеспечить подтвержденный финансовый эффект от внедренных ММ в размере не менее 279 млн руб.  до 30.09.2026 (ПМ=20,4, ПЭ=235, ПП=15, ПУиСП+ЭП=1 млн.руб.)
2. Сформировать  перечень инициатив на 2027г. с суммарным прогнозным эффектом на EBITDA не менее 95,4 млн руб.  до 30.09.2026 (В СОВА на этапе I2P ММ: ПМ=40,5, ПЭ=40,5, ПП=14,3, ПУиСП+ЭП=5 млн.руб.)
3. Обеспечить выполнение норм расхода сырья в период ОР-2026г., не более:
3.1 ПМ = 2743т;
3.2 ПЭ = 31т;
3.3 ПП = 518т.
4.  Обеспечить  подтвержденным финансовым эффектом в 2026 от реализации меропритяий  программы "Эффективность+" в ЗО СГТ   до 30.09.2026, млн.руб.:
4.1 ПМ = 142;
4.2 ПЭ = 63;
4.3 ПП = 16;
4.4 ЭнП+ПУиСП и прочие = 13.
5. Обеспечить проведение ОПИ, составить план дальнейших действий до 30.09.2026г.:
5.1 Успешно проведенных - не менее 80%, в срок не мнее 65%
5.2 при выпуске марки MG013: снижение концентрации ПИ.
6 Внедрить обсуждение отклонений ИТЭ(зхп) на отчетное селекторное совещание.
Дополнительно на оценку выше ожиданий:
1 Разработать дополнительные мероприятия с подтвержденным финансовым эффектом в 2026 для  программы "Эффективность+" в ЗО СГТ  до 30.09.2026, +15% к базовому плану (+35 млн)
2. Обеспечить проведение ОПИ, составить план дальнейших действий до 30.09.2026г.:
2.1 ТЭА производства ТНХ на KPI  за счёт реализации ИП;
2.2 при выпуске марки 08218 - введение добавки.</t>
  </si>
  <si>
    <t>Вовлечённость СГТ в ПАБ — 100%;
все формально проведённые ПАБ разобраны на встречах с персоналом;
личная вовлечённость — 100% обходов.
Обеспечено участие АУП СГТ в качестве Комисаров в ОР</t>
  </si>
  <si>
    <t>Развитие команды / кадровая защищённость</t>
  </si>
  <si>
    <t>Заполнены 3 вакансии. ВИТ, ЭпоК.
Произведен подготовка к переходу/переход функционала RTO, СУУТП в СГТ
Дополнительно на оценку выше ожиданий.
Кадровая защищённость 17 грейд и ниже 50%
Внедрение ИИ в процессы СГТ. Образ результата ИИ используется для ускорения рутиных задач. Помогает найти потенциалы. Не менее 3 примеров успешного применения в каждом отделе. Обеспечить приживаемость</t>
  </si>
  <si>
    <t>Выполнение плана расширения марочного ассортимента</t>
  </si>
  <si>
    <t>1. Омологирована марка LD 20220 FE для кабелей высокого напряжения до 31.07.2026
2. Проведено ОПИ марки MG 013 R на разбавленных коктейлях инициаторов в сентябре 2026 года
3. Проведено ОПИ по снижению плотности для марки LD 40200 FA в июле 2026 года</t>
  </si>
  <si>
    <t>1) Мех переработка - весь пакет документов собран, получено согласование о старте проекта (в ЗО).
2) Метальная машина - внесено изменение в проект, добавлена возможность фасовки других марок, включен в перечень проектов на финансирование в 2027 году. Сентябрь.
Потенциал:
NPV- 20,6 млн,
IRR 61%
Обеспечение АГХК, потенциал будущих проектов в экономия на логистике.
3) Подмес НСП - инициирована идея, обсчитана, презентована дивизионам, включен в перечень проектов на финансирование в 2027 году (при наличии эффективности). Сентябрь.
Потенциал:
NPV-119 млн,
IRR 42%.
4) Сдувка с ПЭ на ПМ - инициирована идея, обсчитана, предложены варианты максимизации эффективности. включен в перечень проектов на финансирование в 2027 году (при наличии эффективности). Сентябрь.
Потенциал:
NPV-472 млн,
IRR 79%.
5) ТНХ. ППЭ. УПЭ. ИЭ. Тех. перевооружение теплофикации с целью использования низкопотенциальной энергии реакции на ППЭ включен в перечень проектов на финансирование в 2027 году.
Потенциал:
NPV-186 млн,
IRR 52%.
Дополнительно на оценку выше ожиданий:
1) Запущена инициатива по альтернативной переработке АПП (реализация 2027-2028 гг) август.
2) Иницирован/возобновлен проект по СВМПЭ на ПП август.
3) ТНХ. ППЭ. УПЭ. ИЭ. Тех. перевооружение теплофикации с целью использования низкопотенциальной энергии реакции на ППЭ включен в финансирование 2026 года</t>
  </si>
  <si>
    <t>Поиск и реализация потенциалов повышения эффективности</t>
  </si>
  <si>
    <t>Наполнение мероприятий в ЗО СГИ, ЭиФ, РК, ИИ</t>
  </si>
  <si>
    <t>EBITDA не менее 10 511 млн руб
Эффект ММ 2026 не менее 336 млн руб (ПЭ+ЭнП)</t>
  </si>
  <si>
    <t>1. Уровень приживаемости по метрикам направления "Процессы управления" - не менее 90%
2. Целеполагание сотрудников: обеспечено соответствие каскада личных целей сотрудников до уровня ГД-4 целям бизнес-контракта и приоритетным направлениям работы предприятия</t>
  </si>
  <si>
    <t>Оптимизация рабочего капитала</t>
  </si>
  <si>
    <t>1) Уровень РК в ЗО не более 4,4 млрд руб. на конец года (все МТР кроме КБ ИП)
2) Оборачиваемость МРП текущего года поставки не более 90 дней.
4) Оборачиваемость РПМ крит (без уч. тара/ упаковка) не более 93 дней</t>
  </si>
  <si>
    <t>1) Проверка ППР -1 (РН, ВПР, МДП и показатели эффективности)
2) Формирования первоначального набора ММ в БП 2027, первичный расчет эффектов и занесения данных с СОВА
3) Начало процесса формирования проекта БК на 2027 год</t>
  </si>
  <si>
    <t>Реализация ключевых инициатив ЭиФ</t>
  </si>
  <si>
    <t>Успешное участие не менее чем в 1 проекте КЦ по экономике экспортных поставок</t>
  </si>
  <si>
    <t>Поиск и реализация потенциалов дополнительной эффективности</t>
  </si>
  <si>
    <t>Выявлены дополнительные потенциалы снижения затрат/повышения эффективности предприятия и реализованы соответствующие мероприятия с общим эффектом не менее 2% от EBITDA (200 млн руб)</t>
  </si>
  <si>
    <t>EBITDA не менее 10 510 млн руб
Постоянные затраты не более 8 707 млн руб
Объем капитальных затрат - не более 2 555 млн руб
Эффект ММ 2026 не менее 499 млн руб
Наполнение воронки ММ 2027 не менее 162 млн руб</t>
  </si>
  <si>
    <t>Контроль РВД</t>
  </si>
  <si>
    <t>Приживаемость ДБ у начальников смены, анализ и контроль РВД, работа с подразделениями в части переработок.</t>
  </si>
  <si>
    <t>Чистота ШР</t>
  </si>
  <si>
    <t>Еженедельный мониторинг ШР в ЗО на наличие нецелевых/лишних ставок. Вывод незапланированных стажеров/ДС/временных ставок</t>
  </si>
  <si>
    <t>Обеспечить внедрение и приживание по метрикам РНиС
- ежемесячно ведется график по супервизиям по СУЭ, адаптации, вовлеченности, развитию
- ТКР на уровне целевого значения</t>
  </si>
  <si>
    <t>Подготовлены материалы к HR-часам/комитеты. На ежемесячной основе проводятся  HR-часы в производствах по всем HR-показателям.</t>
  </si>
  <si>
    <t>Ежемесячный мониторинг HR-метрик, внесение данных в сводный файл</t>
  </si>
  <si>
    <t>Вносить данные по HR-метрикам (до уровня смены)</t>
  </si>
  <si>
    <t>Проведение качественного ремонта и ТО экструдеров и вспомогательного оборудования согласно годового графика ППР.
Минимизация повторных ремонтов в ЗО.
Замена изношенных элементов оборудования в рамках ЗО.
Внесение корректировок по внесению ТМЦ в ТК.</t>
  </si>
  <si>
    <t>Участие в "Золотой сотне" за 3 квартал</t>
  </si>
  <si>
    <t>не менее 25 Тренировок</t>
  </si>
  <si>
    <t>Прорисовка схем контроля для проведения УЗТ</t>
  </si>
  <si>
    <t>не менее 3 схем</t>
  </si>
  <si>
    <t>Ознакомление с технологией TOFD</t>
  </si>
  <si>
    <t>Получение полезной информации по технологии TOFD с возможным применением в работе</t>
  </si>
  <si>
    <t>Минимизация травматизма за период</t>
  </si>
  <si>
    <t>0% травматизма за квартал</t>
  </si>
  <si>
    <t>Участие в конкурсах PetroChem и Хайтек</t>
  </si>
  <si>
    <t>Занять призовое место в конкурсах PetroChem и Хайтек</t>
  </si>
  <si>
    <t>ИА=0</t>
  </si>
  <si>
    <t>Достижение целевой оборачиваемости ТиУ - 30 дней. В результате:
.      Обеспечена своевременная актуализация данных по остаткам и потреблению в Трекере по ТиУ
2.      Обеспеченно заведения заказов на поставку в SAP, объём на горизонте месяца актуализирован и соответствует текущей потребности с учетом остаток и прогноза потребления
3.      НВИ – проработан пул материалов, принято решения о реализации или перемещении на другие площадки</t>
  </si>
  <si>
    <t>не менее 900 тонн</t>
  </si>
  <si>
    <t>1. Совместно с ОТиПБ провести стресс-тест по проверке процесса качества проведения мобильных обходов на установке Энергопроизводства.
2. Участие в чемпионате по безопасности (не менее 6-ти ПАБов и/или записей в журнал опасных условий труда).
3. Сохранение нулевого индекса травматизма по подразделению.</t>
  </si>
  <si>
    <t>Исполнительская дисциплина</t>
  </si>
  <si>
    <t>Соблюдение сроков исполнения запланированных мероприятий и поручений руководителя. Обеспечение надлежащего качества подготовки отчетных документов.</t>
  </si>
  <si>
    <t>Мониторинг ПДДЗ/ПДЗ</t>
  </si>
  <si>
    <t>1. Недопущение рисков возникновения ППДЗ/ПДЗ по курируемым направлениям, установление корневых причин их возникновения.
2. Оказание содействия бизнесу в урегулировании проблемных задолженностей КА перед Предприятием.</t>
  </si>
  <si>
    <t>1. Недопущение фактов возможного разглашения или утечки конфиденциальной информации со стороны сотрудников курируемых подразделений.
2. «Проведение выборочной проверки соблюдения требований ЛНА по ИБ при работе с конфиденциальной информацией, в т.ч. с использованием АРМ/МАРМ, в рамках проведения ЛО/МО курируемых производственных объектов.</t>
  </si>
  <si>
    <t>1. Провести СТ по проверке качества проведения ВК критически важных позиций МТР, поступающих на ЦС Предприятия, для нужд ПМ.
2. Провести анализ динамики расходных норм по сырью и энергоресурсам за 1 пг. 2026 года в зоне ответственности ЭП на предмет выявления возможных отклонений, создающих предпосылки к образованию потерь, и установления их корневых причин.</t>
  </si>
  <si>
    <t>1. В отчетном периоде провести 2 стресс-теста по проверке действий персонала курируемых подразделений (Энергопроизводство, Производство мономеров), при обнаружении подозрительного предмета на производственных объектах.
2. Проводить работу, направленную на выявление среди работников предприятия и КА лиц из "группы риска".
3. Недопущение актов незаконного вмешательства на курируемых объектах.</t>
  </si>
  <si>
    <t>Выявление и предотвращение МДиХ</t>
  </si>
  <si>
    <t>1. Выборочная проверка СМР, предусматривающих использование строительных лесов, на предмет выявления МД/НД со стороны КА в части возможного завышения объемов по их сборке.
2. Выборочная проверка результатов прохождения аттестаций работников ТНХ в иных организациях, на предмет выявления возможных фактов МД.
3. Проверка первичной информации по факту возможного КИ со стороны сотрудника Предприятия, выразившегося в осуществлении предпринимательской деятельности от имени подставного лица.
4. Сопровождение хода проведения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t>
  </si>
  <si>
    <t>Участие в проверке РТН первый класс опасности</t>
  </si>
  <si>
    <t>Без замечаний к ОТН</t>
  </si>
  <si>
    <t>Выполнение ЭПБ 2026 в ОР 2026 согласно графику.</t>
  </si>
  <si>
    <t>1. Кадровая защищённость по ключевым позициям ИТР не менее 65%
2. Уровень вовлеченности в подразделении (непосредственный руководитель, ОС, карьера) не менее 95%
3. Текучесть по инициативе сотрудников до 1 года в подразделении не более 10%
4. Среднее количество часов переработок на человека не более 120 час</t>
  </si>
  <si>
    <t>1. Выполнение графика изготовления запчастей ОР в ЗО РПИ МУ не менее 100%.
2. Объёмы ремонтных работ выполнены на 100%;
3. Обеспечено выполнение недельного планирования изготовление запчастей согласно графикования персонала МУ.
4. Все работы в SAP закрыты, использованные материалы списаны до начала пусковых работ  в з.о.
5. Вся документация (ИД, ЭД) сформирована и заполнена до пуска оборудования
6. ОР проведён согласно амбициозных сроков (ПМ 25 дней, ПЭВД 21 день)  в з.о.
7. Не зафиксировано происшествий по ОТ и ПБ и влияющих на ИА  в з.о.
8. Дополнительный и внеплановый объем выполнен без влияния на сроки ОР в з.о.
9. Все выполняемые работы выполняются только согласно чертежей, технологиям и наряд заданиям.
10. До начала ОР у всего персонала участка 0 просроченных допусков.
11. Проведена спецподготовка персонала.</t>
  </si>
  <si>
    <t>1. Проведение ПАБ и выявление ОД/ОУ. Не менее 15 баллов в Чемпионате.
2. Вовлечение персонала рабочих профессий в мотивоционную программу
 "Чемпионат по безопасности по ОТ, ПБ и Э" 100%, записи в журнал Иди и смотри.
3. Отсутствие несчастных случаев связанных с производством в РП
4.  0 травм с потерей трудоспособности по РП РПИ
5. Вовлеченность мастеров в проведение ПАБ 100%
6. Отсутствуют просроченные id - допуска в матрице положенности по участку</t>
  </si>
  <si>
    <t>1. Проведено не менее 1  УТЗ по ПЭМР. Заполнен чек-лист и сформированы корректирующие мероприятия для участников УТЗ по западающим зонам.
2. Сформирован план проведения занятий по обучению ОППП согласно положенности работников ООО "ТНХ". Ежемесячно проводится информирование руководителей структурных подразделений о необходимости обучения работников ОППП.</t>
  </si>
  <si>
    <t>Реализация инвестиционных и инфраструктурных проектов</t>
  </si>
  <si>
    <t>1. Разработка ТЗ  для ремонта центра здоровья ООО "ТНХ" - корпус 1035.</t>
  </si>
  <si>
    <t>1. Дни временной утраты трудоспособности (ВУТ) – не более 5,5 на 1 человека нарастающим итогом за 3 квартала.
2. Число работников без больничных листов – не менее 55%.
3. В цифровом профиле здоровья выверены все данные с ММЦ Профмедицина за 3 квартал.
Планируемые действия:
- еженедельный мониторинг комплектации смен с начальниками смен, начальниками производств;
- ежемесячный мониторинг листов временной нетрудоспособности в SAP;
- ежемесячно сверка с цеховыми врачами-терапевтами Центра здоровья по структуре заболеваемости, групп часто и длительно болеющих;
- контроль показателей доступности персонала (ВУТ, индекс здоровья) в Цифровом мониторинге здоровья ММЦ
- ежемесячная верификация совместно с СЭБ листов временной нетрудоспособности в группах часто и длительно болеющих;
- ежемесячная верификация совместно с СЭБ и ОТиПБ листов временной нетрудоспособности по травмам (бытовые), совмещенным с праздничными днями и отпусками.</t>
  </si>
  <si>
    <t>1. Центр здоровья работает в соответствии с заявленной доступностью и функциональностью (согласно штатного расписания ставок) постоянно. Проведено 3 аудита  (укомплектованность мед персоналом, наличие лекарственных средств, работоспособность медицинского оборудования, ведение медицинской документации) с предоставлением медицинскому провайдеру корректирующих мероприятий и предложений.
2. Укомплектованность Центра здоровья в соответствии с ФМ медицинским персоналом не менее 90% согласно ШР. Контроль укомплектованности Центра здоровья еженедельно.
3. Обеспечена возможность получения медицинских услуг по рисковой части ДМС всем застрахованным работникам ООО "ТНХ". Организован сбор обратной связи по качеству оказания услуг по ДМС.
4. Сформирован список работников на санаторно-курортного лечения за счет СФР в 2026 году -  42 работника, получившим рекомендацию по результатам обязательных периодических медицинских осмотров, а также предпенсионерам и пенсионерам,  с учетом выделенного финансирования СФР 5 059 905 руб.</t>
  </si>
  <si>
    <t>1. На основании рекомендаций в заключительном акте сформирован список кандидатов на СКЛ на 2027 год. Информация о сотрудниках, недопущенных к работе по результатам ПерМО, ВнМО, ОПО, передается руководителям структурных подразделений, в ОТиПБ и HR по факту получения заключения от медицинского провайдера. По результатам заключительного акта актуализирована группа диспансерного наблюдения. 50% работников из группы ДН имеют стабильные показатели по здоровью.
2. Организовано и контролируется прохождение предсменных медицинских осмотров на аппаратных комплексах ЭСМО сменного персонала и работников производств, согласно приказа 123/ТНХ от 14.10.2025. Ежедневное информирование руководителей структурных подразделений об отстраненных работниках по результатам предсменных МО.
3. Обеспечено проведение диспансеризации:
- ГД, ГД-1 - 19 работников;
- АУП  - 100 работников.</t>
  </si>
  <si>
    <t>Расчет проекта объединения узлов ПТВ и СТВ , максимизация NPV</t>
  </si>
  <si>
    <t>не менее 100 млн рубл</t>
  </si>
  <si>
    <t>Анализ возможности расшивки узла сепарации пироконденсата для дегазации</t>
  </si>
  <si>
    <t>Отсутствие кавитации на продуктовых насосах</t>
  </si>
  <si>
    <t>Модернизация режима К27 для доп выработки пироконденсата</t>
  </si>
  <si>
    <t>не менее 75 тонны</t>
  </si>
  <si>
    <t>Подбор режима К17 для дополнительной выработки пропилена</t>
  </si>
  <si>
    <t>не менее 100 тонны</t>
  </si>
  <si>
    <t>Выполнение плана работ по ПСС в помещениях лаборатории СЭК</t>
  </si>
  <si>
    <t>Стажировка на АГХК, выполнение программы освоения методов в области СЭК</t>
  </si>
  <si>
    <t>Сыгранность команды (проект Мини-Т)</t>
  </si>
  <si>
    <t>Обеспечена динамика по проекту сыгранности команды (проект Мини-Т) на ПП согласно формату А3. Выполнено не менее 80% метрик по программе эталонный ТОИР и УМД-0.</t>
  </si>
  <si>
    <t>1. Покрытие RCA всех событий с УМД по валу, % не менее 100 %
2. Качество проведенных расследований событий с УМД, % не менее 90 %
3. Средний срок расследования событий с УМД, дней не более 30 дней
4. Достижение целевых значений по МГ в ЗО не менее 97 %
5. УМД в ЗО, % от EBITDA  не более 0 %</t>
  </si>
  <si>
    <t>1. Полученные допуска по СГИ -99%
2. 0 событий в зоне ответственности с влиянием на Ltif предприятия
3. Кол-во ГОР и ОР в выходные дни не более 10% (отн. выход/будни) в среднем по предприятию. За исключением аварийных.</t>
  </si>
  <si>
    <t>Оценка выполнения в соответствии с чек-листом - не менее 95%, в т.ч
1. Не зафиксировано несчастных случаев или значительных происшествий с оборудованием/ имуществом/ экологией в ЗО
2. Потерь ВПР не зафиксировано</t>
  </si>
  <si>
    <t>Повышение насмотренности в рамках адаптации в новой роли и развития</t>
  </si>
  <si>
    <t>Реализована краткосрочная стажировка на ЗСНХ/СТГ</t>
  </si>
  <si>
    <t>Укомплектованность</t>
  </si>
  <si>
    <t>По штату ФЭП не менее 95 и не более 97%
По сменам - не менее 95 и не более 100%</t>
  </si>
  <si>
    <t>Усиление человекоцентричной культуры</t>
  </si>
  <si>
    <t>- Проведен ежегодный опрос по вовлеченности
- Результаты опроса находятся в целевых значениях
- Проведены встречи руководителей с коллективами по результатам опроса
- Все комментарии к опросу систематизированы, мероприятия разработаны, включены в ПОУ
- Определены спонсоры (сквозные лидеры) по направлениям ПОУ
- ПОУ размещен в 100% операторных и РП
- Разработан формат программы благополучия</t>
  </si>
  <si>
    <t>Реализация бюджетной кампании в рамках ЦФО в ЗО</t>
  </si>
  <si>
    <t>Составлены бюджеты по ключевым ЦФО в ЗО (ФОТ, КУ, УТ)</t>
  </si>
  <si>
    <t>1. 0 травм с потерей трудоспособности .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 допуска в матрице положенности</t>
  </si>
  <si>
    <t>1. Бесперебойная работа систем автоматики пожаротушения
2. Маркировка СИ и СА - Приведение в соответствие согласно СТП маркировки оборудования, памяток по месту его установки на производствах. У
3. 0 отказов оборудования по вине работника
4. Не более 1-го повторного ремонта из-за некачественного ремонта (без УМД)
5. Планирование и устранение выявленных замечаний при проверках оборудования ОПС.
6. 0 замечаний по незаполненной документации после проведения ТОиР
7. Ежемесячный контроль качества и полноты проведения ТО. Предоставить 3 отчета за квартал.</t>
  </si>
  <si>
    <t>Юрист</t>
  </si>
  <si>
    <t>Памятка по приостановл. выплаты/невыплате премии в связи с расслед.в отнош.раб.</t>
  </si>
  <si>
    <t>Подготовлена Памятка с необходимыми шаблонами документов по порядку действий ответственных функций (ЭБ и HR) по приостановлению выплаты/невыплаты премии в связи с расследованием в отношении работников и по их результатам. Памятка направлена заинтересованным функциям для применения и учета в работе.</t>
  </si>
  <si>
    <t>1. Выполнение ИПР на 3 квартал 2026</t>
  </si>
  <si>
    <t>Качественный биллинг и ведение дел в Jeffit</t>
  </si>
  <si>
    <t>1. Ежедневное ведение биллинга в объеме не менее 40 часов в неделю.
2. Биллинг не менее 100 % раб. времени не позднее следующего рабочего дня
3. В Jeffit дела ведутся в соответствии с правилами.</t>
  </si>
  <si>
    <t>Сопровождение проекта с ООО "НТ-Пром"</t>
  </si>
  <si>
    <t>1. Сроки поставки оборудования и подготовки РКД согласованы сторонами.
2. Юридическая поддержка и сопровождение по возникающим вопросам (все возникающие вопросы оперативно отработаны)</t>
  </si>
  <si>
    <t>Правовое сопровождение ключевых инвестиционных проектов группы</t>
  </si>
  <si>
    <t>Сопровождение расторжения договора с ООО "Строй-Магнат"</t>
  </si>
  <si>
    <t>1. Получение от контрагента или банка-гаранта суммы неотработанного аванса.
2. Юридическая поддержка и сопровождение по возникающим вопросам (все возникающие вопросы оперативно отработаны)</t>
  </si>
  <si>
    <t>Участие в формулировании идей использования инструментов ИИ</t>
  </si>
  <si>
    <t>1. Проработаны идеи использования инструментов ИИ в работе ЮП и смежных подразделений, сформулированы предложения.
2. Предложения по использованию инструментов ИИ направлены в тематическом разделе на Confluence.
3. Принято участие в мероприятиях в качестве амбассадора ИИ на ТНХ (по плану рабочей группы) - не менее 1 раза в 3 квартале.</t>
  </si>
  <si>
    <t>1.  Сформирован план обучений на 3 кв. 2026 г.
2.  Проведено обучение согласно плану на 3 кв. 2026 г. (не менее 1 раза в 3 квартале)</t>
  </si>
  <si>
    <t>1. Завершена сделка с ПТС купли-продажи имущества с уступкой прав требования к КТХ
2. КЗСК вышло из реестра кредиторов КТХ</t>
  </si>
  <si>
    <t>Участие в проекте по "Остановочный ремонт на ТНХ 2026"</t>
  </si>
  <si>
    <t>Юридическая поддержка и сопровождение по возникающим вопросам в период подготовки, проведения и завершения ОР (все возникающие вопросы оперативно отработаны)</t>
  </si>
  <si>
    <t>1. 0 просроченных/невыполненных мероприятий по расследованиям REC
2. 0 ремонтов/изготовление запчастей без тех.карт и чертежей
3. 0 несформированных документов на изделия</t>
  </si>
  <si>
    <t>1. Отсутствие претензий к качеству разработанной технологической документации.
2. Отсутствие претензий к срокам выдачи технологической документации.</t>
  </si>
  <si>
    <t>1. Вовлечённость в чемпионат по безопасности - 100%
2. Проведение аудита по ПБ с записью в журнал - не менее 1 в квартал
3. Проведение аудита по экологии с записью в журнал - не менее 3 в квартал
4. Проведение аудита по ОТ с записью в журнал - не менее 9 в квартал
5. Проведение ПАБ - не менее 3 в квартал</t>
  </si>
  <si>
    <t>Отсутствие претензий в работе с государственными органами</t>
  </si>
  <si>
    <t>Отсутствие задержки по срокам уведомления ВК о сведениях об изменении, приеме и увольнении</t>
  </si>
  <si>
    <t>Организовать постановку на учет в Томск иногородних сотрудников</t>
  </si>
  <si>
    <t>Иногородние сотрудники поставлены на учет в Томский Военкомат допускается не менее 10% не поставленных на учет в ВК Томск по различным причинам</t>
  </si>
  <si>
    <t>Проверка Военного комиссариата г. Томск</t>
  </si>
  <si>
    <t>Проверка  ВК по военному отчету пройдена не ниже «Хорошо»</t>
  </si>
  <si>
    <t>Отсрочка</t>
  </si>
  <si>
    <t>Обеспечить  100%   состав военнообязанных по отсрочке в рамках правил.</t>
  </si>
  <si>
    <t>Советник</t>
  </si>
  <si>
    <t>Общество с ограниченной ответственностью "Томскнефтехим"/Связи с государственными органами</t>
  </si>
  <si>
    <t>Координация работы амбассадоров по направлению "Волонтеры"</t>
  </si>
  <si>
    <t>1.Выстроено взаимодействие с амбассадорами по направлению, а именно:
- сформирован список амбассадоров по направлению;
- проведена минимум 1 встреча в квартал с амбассадорами для донесения смыслов, критериев, ведения учета активностей и прочего;
- сформирован план волонтерских активностей.
2.Разработан план работы по направлению на 4 кв. 2026 г.</t>
  </si>
  <si>
    <t>Количество сотрудников ООО "ТНХ", участвующих в волонтерской деятельности</t>
  </si>
  <si>
    <t>не менее 350 чел</t>
  </si>
  <si>
    <t>Оказание содействия отраслевым дивизионам компании по реализации их проектов</t>
  </si>
  <si>
    <t>Продвижение проектов отраслевых дивизионов с привлечение ОГВ города и региона</t>
  </si>
  <si>
    <t>Электоральный цикл 2026</t>
  </si>
  <si>
    <t>Выстраивание работы и обеспечение участия коллектива в выборах</t>
  </si>
  <si>
    <t>Сопровождение инвестиционной деятельности Компании</t>
  </si>
  <si>
    <t>Сопровождение проектов ГАПРИН, вторичной переработки полимеров в рамках применимости мер государственной поддержки.</t>
  </si>
  <si>
    <t>Реализация программы "Формула хороших дел" и иных социальных проектов Компании</t>
  </si>
  <si>
    <t>1. Сопровождение реализации проектов-победителей грантового конкурса ФХД.
2. Сопровождение реализации проектов-победителей конкурсного отбора инициативных проектов. Установка МАФов.
3. Оказание поддержки в реализации межрегиональных и волонтерских проектов и корпоративных акций ФХД.
4. Реализация проекта благоустройства Буфф-сада.
5. Подготовка и реализация фестиваля на Тропе здоровья.</t>
  </si>
  <si>
    <t>Взаимодействие с органами государственной власти</t>
  </si>
  <si>
    <t>Обеспечение представления интересов компании в РОИВ. Подготовка отчетов по различным запросам ОГВ, отработка обращений. Участие в совещаниях, рабочих встречах с ОГВ по вопросам участия компании в деятельности региона.</t>
  </si>
  <si>
    <t>1. Экономический эффект от мероприятий программы Эффективность +, по мероприятиям в ЗО, не менее 265 млн.руб.</t>
  </si>
  <si>
    <t>1. УМД по качеству, % от EBITDA, не более 0,3
2.  Процент несоответствующей продукции (НСП)% не более 5,33 % (4501 тонн)
3. Обеспечить выполнение показателя ""Потери по ключевым РН сырья в ЗО ФЭП"" до 30.09.2026,  не более 114 млн.руб (ПМ сырье = 72, ПМ топ.газ = 4, ПЭ этилен = 24, ПП пропилен = 14)"</t>
  </si>
  <si>
    <t>Команда (развитие + компетенции)</t>
  </si>
  <si>
    <t>1. Срок сдачи на допуск не более 90 дней (не менее 100%).
2. Выстроен процесс Управленческого наставничества (охвачены все Нач.смены с опытом работы до 1 года).
3. Проект Сыгранность, Усиление роли НС, Эффективность +. Реализация шагов в соответствии с графиком проекта.
4. Обеспечение приживаемости ИС 2.0 (выполнение всех мероприятий по ДК)</t>
  </si>
  <si>
    <t>Объем производства</t>
  </si>
  <si>
    <t>не менее 85415 тн</t>
  </si>
  <si>
    <t>Успешное выполнение ОР</t>
  </si>
  <si>
    <t>1. Выполнение остановочного ремонта согласно заявленным параметрам БП
2. Лидерство в проведении ОР на ЭП, ПУиСП.
3. Проведение всего объема ЭПБ в установленные сроки
4. Сокращение сроков ОР по ПМ, ППЭ на 2 дня на оценку выше ожиданий.</t>
  </si>
  <si>
    <t>1. 0 событий в зоне ответственности с влиянием на LTIF предприятия
2. Обеспечение 100% наличия обязательных допусков по производствам в сроки, установленные законодательными и нормативными правовыми актами
3. Обеспечение применения исправных / сертифицированных инструментов и приспособлений на рабочих местах подразделения
4. Личная вовлеченность в ОТиПБ (не менее 6ПАБ)
5. Вовлеченность в проведение  ПАБ ИТР производств 100%. (выборочный анализ качества проведения)
6. Реализовать MVP по ИИ инструментам по анализу РПО  и анализу видеоданных</t>
  </si>
  <si>
    <t>Достижение целевых метрик приживаемости &gt;93%:
1. Вовлеченность в ПАБ &gt;90%
2. Выполнение графика ЛО &gt;85%
3. Доля взятых обязательств по итогам ЛО 60%
4. Заполнение чек-листов МО 100 %
5. Пересмотр групп критичности оборудования в соответствии с графиком</t>
  </si>
  <si>
    <t>01.07.2026 - 21.07.2026</t>
  </si>
  <si>
    <t>Экономический эффект от ММ26 не менее 499 млн руб.
Наполнение ММ27 проработанными мероприятиями не менее 162 млн. руб.</t>
  </si>
  <si>
    <t>Отсутствие невыполненных REC</t>
  </si>
  <si>
    <t>Невыполненных рекомендаций =0</t>
  </si>
  <si>
    <t>Отсутствие повторных ремонтов в ЗО</t>
  </si>
  <si>
    <t>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t>
  </si>
  <si>
    <t>Перевод в НВИ МТР на 700 млн. по ТНХ;
Биркование всего МТР хранящегося на ск. 1027;
Предоставление исчерпывающей информации для присвоения кодов АСВ НСИ.</t>
  </si>
  <si>
    <t>Подготовка и организация ремонтных работ</t>
  </si>
  <si>
    <t>Не менее 80% ЗН на корректирующие работы формируются из тех. карт;
Не менее 90% заказов обеспечены ремонтной документацией (паспорта, формуляры) к ЗН;
Приемка оборудования в/из ремонта, вкл. чистоту раб. места и ЕО на которой проводилось ТОиР;
Своевременно проставлены статусы в ЗН в SAP по выполненным работам.</t>
  </si>
  <si>
    <t>03.07.2026 - 30.09.2026</t>
  </si>
  <si>
    <t>06.07.2026 - 30.09.2026</t>
  </si>
  <si>
    <t>Старший бизнес-партнер</t>
  </si>
  <si>
    <t>Поиск потенциалов в экономика СГИ</t>
  </si>
  <si>
    <t>Построение воронки с дельнейшей реализацией</t>
  </si>
  <si>
    <t>Операционная / экономическая эффективность предприятий</t>
  </si>
  <si>
    <t>Ознакомительные встречи по ГД-1</t>
  </si>
  <si>
    <t>Знакомство и введение в контекст</t>
  </si>
  <si>
    <t>РК, оптимизация с целевым показателем, не менее 20 млн</t>
  </si>
  <si>
    <t>не менее 20 млн</t>
  </si>
  <si>
    <t>формирование БП на 2027 с VC и FC</t>
  </si>
  <si>
    <t>сформированный БП27</t>
  </si>
  <si>
    <t>внедрение ИИ инициатив в рабочие процессы</t>
  </si>
  <si>
    <t>Реализация организационных проектов и трансформационных инициатив, вкл. внедрение ИИ</t>
  </si>
  <si>
    <t>достижение hard эффекта по МЭ+</t>
  </si>
  <si>
    <t>будет добавлено</t>
  </si>
  <si>
    <t>15.07.2026 - 15.07.2026</t>
  </si>
  <si>
    <t>20.07.2026 - 30.09.2026</t>
  </si>
  <si>
    <t>Слесарь-ремонтник 6-разряд</t>
  </si>
  <si>
    <t>1. Внесение записей в журнал "Иди и смотри" по ОТ - 4шт., ПБ - 5 шт., Экология - 2 шт. - 100%.
2. Применение СИЗ в соответствии с требованиями безопасности при производстве ремонтных работ и повышенной опасности.
3. Отсутствие замечаний по охране труда.</t>
  </si>
  <si>
    <t>1. Оценка рабочего места по чек-листу не ниже 20 баллов.
2. Одна идея УМШ в месяц по развитию и поддержанию ПСС.</t>
  </si>
  <si>
    <t>Развитие</t>
  </si>
  <si>
    <t>Своевременное прохождение назначенного обучения и аттестаций на допуск к работе.</t>
  </si>
  <si>
    <t>Отсутствие повторных ремонтов.</t>
  </si>
  <si>
    <t>Выполнение дневного плана работ согласно графикования 100%</t>
  </si>
  <si>
    <t>Исследование металла</t>
  </si>
  <si>
    <t>До наращивание опыта применения исследования макро и микро структур металлов и сплавов.</t>
  </si>
  <si>
    <t>Технологии измерения твердости</t>
  </si>
  <si>
    <t>До наращивание опыта применения методов измерения твердости</t>
  </si>
  <si>
    <t>23.07.2026 - 03.08.2026</t>
  </si>
  <si>
    <t>29.07.2026 - 30.09.2026</t>
  </si>
  <si>
    <t>31.07.2026 - 30.09.2026</t>
  </si>
  <si>
    <t>Проведение ОР в соответствии с базовыми сроками</t>
  </si>
  <si>
    <t>Проведение ОР в базовых сроках</t>
  </si>
  <si>
    <t>01.08.2026 - 30.09.2026</t>
  </si>
  <si>
    <t>1) Сформировано и актуализировано не менее 80 % заданий на всех предприятиях.</t>
  </si>
  <si>
    <t>Ожидаем обновленные и согласованные вопросы по вертикалям производство и технология по специфики производств</t>
  </si>
  <si>
    <t>Ожидаемый результат
0</t>
  </si>
  <si>
    <t>ТН сотрудника</t>
  </si>
  <si>
    <t>ИД сотрудника</t>
  </si>
  <si>
    <t>Тип цели</t>
  </si>
  <si>
    <t>Количественная</t>
  </si>
  <si>
    <t>Качественная</t>
  </si>
  <si>
    <t>Источник целей</t>
  </si>
  <si>
    <t>Название источника</t>
  </si>
  <si>
    <t>Контракт</t>
  </si>
  <si>
    <t>ТНХ 2026</t>
  </si>
  <si>
    <t>Прочее</t>
  </si>
  <si>
    <t>Кросс-функциональные задачи</t>
  </si>
  <si>
    <t>АР</t>
  </si>
  <si>
    <t>Липовка Сергей Михайлович</t>
  </si>
  <si>
    <t>Индивидуальные задачи</t>
  </si>
  <si>
    <t>Доп цели</t>
  </si>
  <si>
    <t>ФЭП 2026</t>
  </si>
  <si>
    <t>ФОП 2026</t>
  </si>
  <si>
    <t>Дроздов Ярослав Владимирович</t>
  </si>
  <si>
    <t>Логистика 2026</t>
  </si>
  <si>
    <t>УЦП 2026</t>
  </si>
  <si>
    <t>Нетелев Семен Андреевич</t>
  </si>
  <si>
    <t>Межов Антон Анатольевич</t>
  </si>
  <si>
    <t>Рыбалов Иван Владимирович</t>
  </si>
  <si>
    <t>Яскин Александр Николаевич</t>
  </si>
  <si>
    <t>КП 2026</t>
  </si>
  <si>
    <t>Экология 2026</t>
  </si>
  <si>
    <t>Кривошапко Ольга Сергеевна</t>
  </si>
  <si>
    <t>АПР 2026</t>
  </si>
  <si>
    <t>ЮП 2026</t>
  </si>
  <si>
    <t>ФСХО 2026</t>
  </si>
  <si>
    <t>Перминова Арина Викторовна</t>
  </si>
  <si>
    <t>Елагина Юлия Владимировна</t>
  </si>
  <si>
    <t>Зубарев Антон Александрович</t>
  </si>
  <si>
    <t>Трикилов Сергей Михайлович</t>
  </si>
  <si>
    <t>ВК 2026</t>
  </si>
  <si>
    <t>ККиБ 2026</t>
  </si>
  <si>
    <t>ОргРазв 2026</t>
  </si>
  <si>
    <t>Шевченко Василий Иванович</t>
  </si>
  <si>
    <t>Хадкевич Екатерина Викторовна</t>
  </si>
  <si>
    <t>ОТиПБ 2026</t>
  </si>
  <si>
    <t>Русинов Роман Иванович</t>
  </si>
  <si>
    <t>Рогозина Анна Николаевна</t>
  </si>
  <si>
    <t>Кулигин Алексей Васильевич</t>
  </si>
  <si>
    <t>Череватюк Антон Петрович</t>
  </si>
  <si>
    <t>ДО 2026</t>
  </si>
  <si>
    <t>Экономика 2026</t>
  </si>
  <si>
    <t>МБ 2026</t>
  </si>
  <si>
    <t>Епонешникова Екатерина Сергеевна</t>
  </si>
  <si>
    <t>Тумасьева Анна Владимировна</t>
  </si>
  <si>
    <t>Должность из Каскад метрик_инвентаризация_28082026_ИВР</t>
  </si>
  <si>
    <t>Принадлежность к СДП</t>
  </si>
  <si>
    <t>ID сотрудника</t>
  </si>
  <si>
    <t>Подразделение</t>
  </si>
  <si>
    <t>НС</t>
  </si>
  <si>
    <t>СДП</t>
  </si>
  <si>
    <t>Инж смены</t>
  </si>
  <si>
    <t>ИПП</t>
  </si>
  <si>
    <t>ВИП</t>
  </si>
  <si>
    <t>ИПРО</t>
  </si>
  <si>
    <t>СМП</t>
  </si>
  <si>
    <t>МОК</t>
  </si>
  <si>
    <t>НП</t>
  </si>
  <si>
    <t>ДПП/ ДЗ</t>
  </si>
  <si>
    <t>СГИ</t>
  </si>
  <si>
    <t>СГТ и ЦЗЛ</t>
  </si>
  <si>
    <t>5НС</t>
  </si>
  <si>
    <t>Инж. по качеству</t>
  </si>
  <si>
    <t>Операторы пульта</t>
  </si>
  <si>
    <t>Операторы поля</t>
  </si>
  <si>
    <t>ГИ</t>
  </si>
  <si>
    <t>рук СУН</t>
  </si>
  <si>
    <t>Работники СУН</t>
  </si>
  <si>
    <t>рук СУОФ</t>
  </si>
  <si>
    <t>рук ТОиР</t>
  </si>
  <si>
    <t>работники ТОиР</t>
  </si>
  <si>
    <t>рук РП</t>
  </si>
  <si>
    <t>НУ РП</t>
  </si>
  <si>
    <t>рем.персонал</t>
  </si>
  <si>
    <t>Рук ПО</t>
  </si>
  <si>
    <t>РП ПО</t>
  </si>
  <si>
    <t>рук ОР</t>
  </si>
  <si>
    <t>ГТ</t>
  </si>
  <si>
    <t>МТиР</t>
  </si>
  <si>
    <t>ВИТ</t>
  </si>
  <si>
    <t>ЭМ</t>
  </si>
  <si>
    <t>МПП/ЭПП</t>
  </si>
  <si>
    <t>МпоКачеству</t>
  </si>
  <si>
    <t>Станарт</t>
  </si>
  <si>
    <t>Эксперт по стандартизации</t>
  </si>
  <si>
    <t>рук ЦЗЛ</t>
  </si>
  <si>
    <t>Химимки</t>
  </si>
  <si>
    <t>директор по производству</t>
  </si>
  <si>
    <t>менеджер по обеспечению компетенций</t>
  </si>
  <si>
    <t>начальник производства</t>
  </si>
  <si>
    <t>старший менеджер производства</t>
  </si>
  <si>
    <t>пятый начальник смены</t>
  </si>
  <si>
    <t>ведущий инженер производства</t>
  </si>
  <si>
    <t>инженер по качеству</t>
  </si>
  <si>
    <t>инженер по подготовке производства</t>
  </si>
  <si>
    <t>инженер по ресурсному обеспечению</t>
  </si>
  <si>
    <t>начальник смены</t>
  </si>
  <si>
    <t>инженер смены</t>
  </si>
  <si>
    <t>главный инженер</t>
  </si>
  <si>
    <t>рук службы управления надежнотью</t>
  </si>
  <si>
    <t>принадлежность к службе упр надежностью</t>
  </si>
  <si>
    <t>главный технолог</t>
  </si>
  <si>
    <t>ведущий инеженер технолог</t>
  </si>
  <si>
    <t>энергоменеджер</t>
  </si>
  <si>
    <t>директор завода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</si>
</sst>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0">
    <font>
      <sz val="11"/>
      <color theme="1"/>
      <name val="Calibri"/>
      <family val="2"/>
      <charset val="204"/>
      <scheme val="minor"/>
    </font>
    <font>
      <b/>
      <sz val="10"/>
      <color indexed="9"/>
      <name val="Arial"/>
      <family val="2"/>
      <charset val="204"/>
    </font>
    <font>
      <sz val="11"/>
      <name val="Calibri"/>
      <family val="2"/>
      <charset val="204"/>
      <scheme val="minor"/>
    </font>
    <font>
      <sz val="10"/>
      <name val="Arial"/>
      <family val="2"/>
      <charset val="204"/>
    </font>
    <font>
      <sz val="11"/>
      <color theme="1"/>
      <name val="Aptos Narrow"/>
      <family val="2"/>
      <charset val="1"/>
    </font>
    <font>
      <sz val="9"/>
      <color theme="0"/>
      <name val="Arial"/>
      <family val="2"/>
      <charset val="204"/>
    </font>
    <font>
      <b/>
      <sz val="9"/>
      <color theme="0"/>
      <name val="Aptos Narrow"/>
      <charset val="204"/>
    </font>
    <font>
      <sz val="12"/>
      <color rgb="FF0F1115"/>
      <name val="Segoe UI"/>
      <family val="2"/>
      <charset val="204"/>
    </font>
    <font>
      <sz val="10"/>
      <color theme="0"/>
      <name val="Arial"/>
      <family val="2"/>
      <charset val="204"/>
    </font>
    <font>
      <b/>
      <sz val="10"/>
      <color rgb="FFFF0000"/>
      <name val="Arial"/>
      <family val="2"/>
      <charset val="204"/>
    </font>
  </fonts>
  <fills count="6">
    <fill>
      <patternFill patternType="none"/>
    </fill>
    <fill>
      <patternFill patternType="gray125"/>
    </fill>
    <fill>
      <patternFill patternType="solid">
        <fgColor rgb="FF008C95"/>
        <bgColor indexed="64"/>
      </patternFill>
    </fill>
    <fill>
      <patternFill patternType="solid">
        <fgColor rgb="FF92D050"/>
        <bgColor indexed="64"/>
      </patternFill>
    </fill>
    <fill>
      <patternFill patternType="solid">
        <fgColor rgb="FF009999"/>
        <bgColor rgb="FF008080"/>
      </patternFill>
    </fill>
    <fill>
      <patternFill patternType="solid">
        <fgColor theme="4" tint="-0.499984740745262"/>
        <bgColor rgb="FF28251D"/>
      </patternFill>
    </fill>
  </fills>
  <borders count="9">
    <border>
      <left/>
      <right/>
      <top/>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hair">
        <color theme="0" tint="-0.249977111117893"/>
      </left>
      <right/>
      <top/>
      <bottom style="hair">
        <color theme="0" tint="-0.249977111117893"/>
      </bottom>
      <diagonal/>
    </border>
    <border>
      <left style="medium">
        <color auto="1"/>
      </left>
      <right style="hair">
        <color theme="0" tint="-0.14999847407452621"/>
      </right>
      <top style="medium">
        <color auto="1"/>
      </top>
      <bottom/>
      <diagonal/>
    </border>
    <border>
      <left/>
      <right/>
      <top/>
      <bottom style="hair">
        <color theme="0" tint="-0.249977111117893"/>
      </bottom>
      <diagonal/>
    </border>
    <border>
      <left style="medium">
        <color auto="1"/>
      </left>
      <right/>
      <top/>
      <bottom style="hair">
        <color theme="0" tint="-0.249977111117893"/>
      </bottom>
      <diagonal/>
    </border>
    <border>
      <left style="hair">
        <color theme="0" tint="-0.249977111117893"/>
      </left>
      <right style="medium">
        <color auto="1"/>
      </right>
      <top/>
      <bottom style="hair">
        <color theme="0" tint="-0.249977111117893"/>
      </bottom>
      <diagonal/>
    </border>
  </borders>
  <cellStyleXfs count="2">
    <xf numFmtId="0" fontId="0" fillId="0" borderId="0"/>
    <xf numFmtId="0" fontId="4" fillId="0" borderId="0"/>
  </cellStyleXfs>
  <cellXfs count="21">
    <xf numFmtId="0" fontId="0" fillId="0" borderId="0" xfId="0"/>
    <xf numFmtId="0" fontId="0" fillId="0" borderId="0" xfId="0" applyAlignment="1">
      <alignment wrapText="1"/>
    </xf>
    <xf numFmtId="0" fontId="1" fillId="2" borderId="1" xfId="0" applyFont="1" applyFill="1" applyBorder="1" applyAlignment="1" applyProtection="1">
      <alignment horizontal="center" vertical="center" wrapText="1"/>
      <protection hidden="1"/>
    </xf>
    <xf numFmtId="0" fontId="2" fillId="0" borderId="2" xfId="0" applyFont="1" applyBorder="1" applyAlignment="1">
      <alignment horizontal="left" vertical="center" wrapText="1"/>
    </xf>
    <xf numFmtId="0" fontId="0" fillId="0" borderId="2" xfId="0" applyBorder="1" applyAlignment="1">
      <alignment horizontal="left" vertical="center" wrapText="1"/>
    </xf>
    <xf numFmtId="0" fontId="3" fillId="0" borderId="2" xfId="0" applyFont="1" applyBorder="1" applyAlignment="1">
      <alignment horizontal="left" vertical="center" wrapText="1"/>
    </xf>
    <xf numFmtId="0" fontId="1" fillId="3" borderId="1" xfId="0" applyFont="1" applyFill="1" applyBorder="1" applyAlignment="1" applyProtection="1">
      <alignment horizontal="center" vertical="center" wrapText="1"/>
      <protection hidden="1"/>
    </xf>
    <xf numFmtId="0" fontId="1" fillId="2" borderId="3" xfId="0" applyFont="1" applyFill="1" applyBorder="1" applyAlignment="1" applyProtection="1">
      <alignment horizontal="center" vertical="center" wrapText="1"/>
      <protection hidden="1"/>
    </xf>
    <xf numFmtId="0" fontId="5" fillId="4" borderId="4" xfId="1" applyFont="1" applyFill="1" applyBorder="1" applyAlignment="1">
      <alignment horizontal="center" vertical="center" wrapText="1"/>
    </xf>
    <xf numFmtId="0" fontId="6" fillId="5" borderId="5" xfId="0" applyFont="1" applyFill="1" applyBorder="1" applyAlignment="1">
      <alignment vertical="center"/>
    </xf>
    <xf numFmtId="0" fontId="5" fillId="4" borderId="6" xfId="1" applyFont="1" applyFill="1" applyBorder="1" applyAlignment="1">
      <alignment horizontal="center" vertical="center" wrapText="1"/>
    </xf>
    <xf numFmtId="0" fontId="5" fillId="4" borderId="7" xfId="1" applyFont="1" applyFill="1" applyBorder="1" applyAlignment="1">
      <alignment horizontal="center" vertical="center" wrapText="1"/>
    </xf>
    <xf numFmtId="0" fontId="7" fillId="0" borderId="0" xfId="0" applyFont="1"/>
    <xf numFmtId="0" fontId="5" fillId="4" borderId="8" xfId="1" applyFont="1" applyFill="1" applyBorder="1" applyAlignment="1">
      <alignment horizontal="center" vertical="center" wrapText="1"/>
    </xf>
    <xf numFmtId="0" fontId="8" fillId="4" borderId="7" xfId="1" applyFont="1" applyFill="1" applyBorder="1" applyAlignment="1">
      <alignment horizontal="center" vertical="center" wrapText="1"/>
    </xf>
    <xf numFmtId="0" fontId="8" fillId="4" borderId="4" xfId="1" applyFont="1" applyFill="1" applyBorder="1" applyAlignment="1">
      <alignment horizontal="center" vertical="center" wrapText="1"/>
    </xf>
    <xf numFmtId="0" fontId="8" fillId="4" borderId="8" xfId="1" applyFont="1" applyFill="1" applyBorder="1" applyAlignment="1">
      <alignment horizontal="center" vertical="center" wrapText="1"/>
    </xf>
    <xf numFmtId="164" fontId="0" fillId="0" borderId="0" xfId="0" applyNumberFormat="1"/>
    <xf numFmtId="0" fontId="9" fillId="3" borderId="1" xfId="0"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0" fontId="6" fillId="5" borderId="5" xfId="0" applyFont="1" applyFill="1" applyBorder="1" applyAlignment="1">
      <alignment horizontal="center" vertical="center"/>
    </xf>
  </cellXfs>
  <cellStyles count="2">
    <cellStyle name="Normal 5 3" xfId="1" xr:uid="{1C48016F-274F-439D-B890-0AB72613C28B}"/>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outlinePr summaryBelow="0" summaryRight="0"/>
  </sheetPr>
  <dimension ref="A1:O3976"/>
  <sheetViews>
    <sheetView showGridLines="0" tabSelected="1" zoomScale="70" zoomScaleNormal="70" workbookViewId="0">
      <selection activeCell="G5" sqref="G5"/>
    </sheetView>
  </sheetViews>
  <sheetFormatPr defaultColWidth="9.140625" defaultRowHeight="15"/>
  <cols>
    <col min="1" max="2" width="15.28515625" style="1" customWidth="1"/>
    <col min="3" max="3" width="9.28515625" style="1" customWidth="1"/>
    <col min="4" max="4" width="19.140625" style="1" customWidth="1"/>
    <col min="5" max="5" width="14.5703125" style="1" customWidth="1"/>
    <col min="6" max="6" width="13.85546875" style="1" customWidth="1"/>
    <col min="7" max="7" width="51.7109375" style="1" customWidth="1"/>
    <col min="8" max="10" width="31.28515625" style="1" customWidth="1"/>
    <col min="11" max="11" width="21.7109375" style="1" customWidth="1"/>
    <col min="12" max="12" width="31.28515625" style="1" customWidth="1"/>
    <col min="13" max="13" width="21.7109375" style="1" customWidth="1"/>
    <col min="14" max="14" width="28.28515625" style="1" customWidth="1"/>
  </cols>
  <sheetData>
    <row r="1" spans="1:15" ht="102">
      <c r="A1" s="2" t="s">
        <v>0</v>
      </c>
      <c r="B1" s="2" t="s">
        <v>1</v>
      </c>
      <c r="C1" s="2" t="s">
        <v>2</v>
      </c>
      <c r="D1" s="2" t="s">
        <v>3</v>
      </c>
      <c r="E1" s="2" t="s">
        <v>3740</v>
      </c>
      <c r="F1" s="18" t="s">
        <v>4</v>
      </c>
      <c r="G1" s="19" t="s">
        <v>5</v>
      </c>
      <c r="H1" s="19" t="s">
        <v>6</v>
      </c>
      <c r="I1" s="6" t="s">
        <v>7</v>
      </c>
      <c r="J1" s="6" t="s">
        <v>8</v>
      </c>
      <c r="K1" s="2" t="s">
        <v>9</v>
      </c>
      <c r="L1" s="6" t="s">
        <v>3741</v>
      </c>
      <c r="M1" s="2" t="s">
        <v>3744</v>
      </c>
      <c r="N1" s="2" t="s">
        <v>3745</v>
      </c>
      <c r="O1" s="7" t="s">
        <v>3788</v>
      </c>
    </row>
    <row r="2" spans="1:15" ht="75">
      <c r="A2" s="3" t="s">
        <v>10</v>
      </c>
      <c r="B2" s="3" t="s">
        <v>11</v>
      </c>
      <c r="C2" s="4">
        <v>2026</v>
      </c>
      <c r="D2" s="5" t="s">
        <v>12</v>
      </c>
      <c r="E2" s="4">
        <v>1</v>
      </c>
      <c r="F2" s="4" t="s">
        <v>13</v>
      </c>
      <c r="G2" s="4" t="s">
        <v>14</v>
      </c>
      <c r="H2" s="4" t="s">
        <v>15</v>
      </c>
      <c r="I2" s="4" t="s">
        <v>16</v>
      </c>
      <c r="J2" s="4" t="s">
        <v>17</v>
      </c>
      <c r="K2" s="4" t="s">
        <v>20</v>
      </c>
      <c r="L2" s="4" t="s">
        <v>3742</v>
      </c>
      <c r="M2" s="4" t="s">
        <v>3746</v>
      </c>
      <c r="N2" s="4" t="s">
        <v>3747</v>
      </c>
      <c r="O2" s="17">
        <f>INDEX('список ID из СУЭ с должностями'!$A:$F,MATCH(E2,'список ID из СУЭ с должностями'!$B:$B,0),5)</f>
        <v>0</v>
      </c>
    </row>
    <row r="3" spans="1:15" ht="60">
      <c r="A3" s="3" t="s">
        <v>10</v>
      </c>
      <c r="B3" s="3" t="s">
        <v>11</v>
      </c>
      <c r="C3" s="4">
        <v>2026</v>
      </c>
      <c r="D3" s="5" t="s">
        <v>12</v>
      </c>
      <c r="E3" s="4">
        <v>1</v>
      </c>
      <c r="F3" s="4" t="s">
        <v>13</v>
      </c>
      <c r="G3" s="4" t="s">
        <v>14</v>
      </c>
      <c r="H3" s="4" t="s">
        <v>21</v>
      </c>
      <c r="I3" s="4" t="s">
        <v>22</v>
      </c>
      <c r="J3" s="4" t="s">
        <v>24</v>
      </c>
      <c r="K3" s="4" t="s">
        <v>25</v>
      </c>
      <c r="L3" s="4" t="s">
        <v>3743</v>
      </c>
      <c r="M3" s="4" t="s">
        <v>3746</v>
      </c>
      <c r="N3" s="4" t="s">
        <v>3747</v>
      </c>
      <c r="O3" s="17">
        <f>INDEX('список ID из СУЭ с должностями'!$A:$F,MATCH(E3,'список ID из СУЭ с должностями'!$B:$B,0),5)</f>
        <v>0</v>
      </c>
    </row>
    <row r="4" spans="1:15" ht="60">
      <c r="A4" s="3" t="s">
        <v>10</v>
      </c>
      <c r="B4" s="3" t="s">
        <v>11</v>
      </c>
      <c r="C4" s="4">
        <v>2026</v>
      </c>
      <c r="D4" s="5" t="s">
        <v>12</v>
      </c>
      <c r="E4" s="4">
        <v>1</v>
      </c>
      <c r="F4" s="4" t="s">
        <v>13</v>
      </c>
      <c r="G4" s="4" t="s">
        <v>14</v>
      </c>
      <c r="H4" s="4" t="s">
        <v>15</v>
      </c>
      <c r="I4" s="4" t="s">
        <v>26</v>
      </c>
      <c r="J4" s="4" t="s">
        <v>27</v>
      </c>
      <c r="K4" s="4" t="s">
        <v>25</v>
      </c>
      <c r="L4" s="4" t="s">
        <v>3743</v>
      </c>
      <c r="M4" s="4" t="s">
        <v>3746</v>
      </c>
      <c r="N4" s="4" t="s">
        <v>3747</v>
      </c>
      <c r="O4" s="17">
        <f>INDEX('список ID из СУЭ с должностями'!$A:$F,MATCH(E4,'список ID из СУЭ с должностями'!$B:$B,0),5)</f>
        <v>0</v>
      </c>
    </row>
    <row r="5" spans="1:15" ht="409.5">
      <c r="A5" s="3" t="s">
        <v>10</v>
      </c>
      <c r="B5" s="3" t="s">
        <v>11</v>
      </c>
      <c r="C5" s="4">
        <v>2026</v>
      </c>
      <c r="D5" s="5" t="s">
        <v>12</v>
      </c>
      <c r="E5" s="4">
        <v>1</v>
      </c>
      <c r="F5" s="4" t="s">
        <v>13</v>
      </c>
      <c r="G5" s="4" t="s">
        <v>14</v>
      </c>
      <c r="H5" s="4" t="s">
        <v>15</v>
      </c>
      <c r="I5" s="4" t="s">
        <v>28</v>
      </c>
      <c r="J5" s="4" t="s">
        <v>29</v>
      </c>
      <c r="K5" s="4" t="s">
        <v>30</v>
      </c>
      <c r="L5" s="4" t="s">
        <v>3743</v>
      </c>
      <c r="M5" s="4" t="s">
        <v>3746</v>
      </c>
      <c r="N5" s="4" t="s">
        <v>3747</v>
      </c>
      <c r="O5" s="17">
        <f>INDEX('список ID из СУЭ с должностями'!$A:$F,MATCH(E5,'список ID из СУЭ с должностями'!$B:$B,0),5)</f>
        <v>0</v>
      </c>
    </row>
    <row r="6" spans="1:15" ht="60">
      <c r="A6" s="3" t="s">
        <v>10</v>
      </c>
      <c r="B6" s="3" t="s">
        <v>11</v>
      </c>
      <c r="C6" s="4">
        <v>2026</v>
      </c>
      <c r="D6" s="5" t="s">
        <v>12</v>
      </c>
      <c r="E6" s="4">
        <v>1</v>
      </c>
      <c r="F6" s="4" t="s">
        <v>13</v>
      </c>
      <c r="G6" s="4" t="s">
        <v>14</v>
      </c>
      <c r="H6" s="4" t="s">
        <v>15</v>
      </c>
      <c r="I6" s="4" t="s">
        <v>31</v>
      </c>
      <c r="J6" s="4" t="s">
        <v>32</v>
      </c>
      <c r="K6" s="4" t="s">
        <v>30</v>
      </c>
      <c r="L6" s="4" t="s">
        <v>3742</v>
      </c>
      <c r="M6" s="4" t="s">
        <v>3746</v>
      </c>
      <c r="N6" s="4" t="s">
        <v>3747</v>
      </c>
      <c r="O6" s="17">
        <f>INDEX('список ID из СУЭ с должностями'!$A:$F,MATCH(E6,'список ID из СУЭ с должностями'!$B:$B,0),5)</f>
        <v>0</v>
      </c>
    </row>
    <row r="7" spans="1:15" ht="150">
      <c r="A7" s="3" t="s">
        <v>10</v>
      </c>
      <c r="B7" s="3" t="s">
        <v>11</v>
      </c>
      <c r="C7" s="4">
        <v>2026</v>
      </c>
      <c r="D7" s="5" t="s">
        <v>12</v>
      </c>
      <c r="E7" s="4">
        <v>1</v>
      </c>
      <c r="F7" s="4" t="s">
        <v>13</v>
      </c>
      <c r="G7" s="4" t="s">
        <v>14</v>
      </c>
      <c r="H7" s="4" t="s">
        <v>15</v>
      </c>
      <c r="I7" s="4" t="s">
        <v>33</v>
      </c>
      <c r="J7" s="4" t="s">
        <v>34</v>
      </c>
      <c r="K7" s="4" t="s">
        <v>35</v>
      </c>
      <c r="L7" s="4" t="s">
        <v>3743</v>
      </c>
      <c r="M7" s="4" t="s">
        <v>3746</v>
      </c>
      <c r="N7" s="4" t="s">
        <v>3747</v>
      </c>
      <c r="O7" s="17">
        <f>INDEX('список ID из СУЭ с должностями'!$A:$F,MATCH(E7,'список ID из СУЭ с должностями'!$B:$B,0),5)</f>
        <v>0</v>
      </c>
    </row>
    <row r="8" spans="1:15" ht="150">
      <c r="A8" s="3" t="s">
        <v>10</v>
      </c>
      <c r="B8" s="3" t="s">
        <v>11</v>
      </c>
      <c r="C8" s="4">
        <v>2026</v>
      </c>
      <c r="D8" s="5" t="s">
        <v>12</v>
      </c>
      <c r="E8" s="4">
        <v>1</v>
      </c>
      <c r="F8" s="4" t="s">
        <v>13</v>
      </c>
      <c r="G8" s="4" t="s">
        <v>14</v>
      </c>
      <c r="H8" s="4" t="s">
        <v>15</v>
      </c>
      <c r="I8" s="4" t="s">
        <v>36</v>
      </c>
      <c r="J8" s="4" t="s">
        <v>37</v>
      </c>
      <c r="K8" s="4" t="s">
        <v>38</v>
      </c>
      <c r="L8" s="4" t="s">
        <v>3743</v>
      </c>
      <c r="M8" s="4" t="s">
        <v>3746</v>
      </c>
      <c r="N8" s="4" t="s">
        <v>3747</v>
      </c>
      <c r="O8" s="17">
        <f>INDEX('список ID из СУЭ с должностями'!$A:$F,MATCH(E8,'список ID из СУЭ с должностями'!$B:$B,0),5)</f>
        <v>0</v>
      </c>
    </row>
    <row r="9" spans="1:15" ht="150">
      <c r="A9" s="3" t="s">
        <v>10</v>
      </c>
      <c r="B9" s="3" t="s">
        <v>11</v>
      </c>
      <c r="C9" s="4">
        <v>2026</v>
      </c>
      <c r="D9" s="5" t="s">
        <v>12</v>
      </c>
      <c r="E9" s="4">
        <v>2</v>
      </c>
      <c r="F9" s="4" t="s">
        <v>39</v>
      </c>
      <c r="G9" s="4" t="s">
        <v>40</v>
      </c>
      <c r="H9" s="4" t="s">
        <v>41</v>
      </c>
      <c r="I9" s="4" t="s">
        <v>42</v>
      </c>
      <c r="J9" s="4" t="s">
        <v>43</v>
      </c>
      <c r="K9" s="4" t="s">
        <v>25</v>
      </c>
      <c r="L9" s="4" t="s">
        <v>3743</v>
      </c>
      <c r="M9" s="4" t="s">
        <v>3746</v>
      </c>
      <c r="N9" s="4" t="s">
        <v>3747</v>
      </c>
      <c r="O9" s="17" t="str">
        <f>INDEX('список ID из СУЭ с должностями'!$A:$F,MATCH(E9,'список ID из СУЭ с должностями'!$B:$B,0),5)</f>
        <v>НС</v>
      </c>
    </row>
    <row r="10" spans="1:15" ht="150">
      <c r="A10" s="3" t="s">
        <v>10</v>
      </c>
      <c r="B10" s="3" t="s">
        <v>11</v>
      </c>
      <c r="C10" s="4">
        <v>2026</v>
      </c>
      <c r="D10" s="5" t="s">
        <v>12</v>
      </c>
      <c r="E10" s="4">
        <v>2</v>
      </c>
      <c r="F10" s="4" t="s">
        <v>39</v>
      </c>
      <c r="G10" s="4" t="s">
        <v>40</v>
      </c>
      <c r="H10" s="4" t="s">
        <v>15</v>
      </c>
      <c r="I10" s="4" t="s">
        <v>46</v>
      </c>
      <c r="J10" s="4" t="s">
        <v>47</v>
      </c>
      <c r="K10" s="4" t="s">
        <v>20</v>
      </c>
      <c r="L10" s="4" t="s">
        <v>3743</v>
      </c>
      <c r="M10" s="4" t="s">
        <v>3746</v>
      </c>
      <c r="N10" s="4" t="s">
        <v>3747</v>
      </c>
      <c r="O10" s="17" t="str">
        <f>INDEX('список ID из СУЭ с должностями'!$A:$F,MATCH(E10,'список ID из СУЭ с должностями'!$B:$B,0),5)</f>
        <v>НС</v>
      </c>
    </row>
    <row r="11" spans="1:15" ht="105">
      <c r="A11" s="3" t="s">
        <v>10</v>
      </c>
      <c r="B11" s="3" t="s">
        <v>11</v>
      </c>
      <c r="C11" s="4">
        <v>2026</v>
      </c>
      <c r="D11" s="5" t="s">
        <v>12</v>
      </c>
      <c r="E11" s="4">
        <v>2</v>
      </c>
      <c r="F11" s="4" t="s">
        <v>39</v>
      </c>
      <c r="G11" s="4" t="s">
        <v>40</v>
      </c>
      <c r="H11" s="4" t="s">
        <v>15</v>
      </c>
      <c r="I11" s="4" t="s">
        <v>48</v>
      </c>
      <c r="J11" s="4" t="s">
        <v>49</v>
      </c>
      <c r="K11" s="4" t="s">
        <v>35</v>
      </c>
      <c r="L11" s="4" t="s">
        <v>3743</v>
      </c>
      <c r="M11" s="4" t="s">
        <v>3746</v>
      </c>
      <c r="N11" s="4" t="s">
        <v>3747</v>
      </c>
      <c r="O11" s="17" t="str">
        <f>INDEX('список ID из СУЭ с должностями'!$A:$F,MATCH(E11,'список ID из СУЭ с должностями'!$B:$B,0),5)</f>
        <v>НС</v>
      </c>
    </row>
    <row r="12" spans="1:15" ht="45">
      <c r="A12" s="3" t="s">
        <v>10</v>
      </c>
      <c r="B12" s="3" t="s">
        <v>11</v>
      </c>
      <c r="C12" s="4">
        <v>2026</v>
      </c>
      <c r="D12" s="5" t="s">
        <v>12</v>
      </c>
      <c r="E12" s="4">
        <v>2</v>
      </c>
      <c r="F12" s="4" t="s">
        <v>39</v>
      </c>
      <c r="G12" s="4" t="s">
        <v>40</v>
      </c>
      <c r="H12" s="4" t="s">
        <v>15</v>
      </c>
      <c r="I12" s="4" t="s">
        <v>50</v>
      </c>
      <c r="J12" s="4" t="s">
        <v>51</v>
      </c>
      <c r="K12" s="4" t="s">
        <v>52</v>
      </c>
      <c r="L12" s="4" t="s">
        <v>3742</v>
      </c>
      <c r="M12" s="4" t="s">
        <v>3746</v>
      </c>
      <c r="N12" s="4" t="s">
        <v>3747</v>
      </c>
      <c r="O12" s="17" t="str">
        <f>INDEX('список ID из СУЭ с должностями'!$A:$F,MATCH(E12,'список ID из СУЭ с должностями'!$B:$B,0),5)</f>
        <v>НС</v>
      </c>
    </row>
    <row r="13" spans="1:15" ht="45">
      <c r="A13" s="3" t="s">
        <v>10</v>
      </c>
      <c r="B13" s="3" t="s">
        <v>11</v>
      </c>
      <c r="C13" s="4">
        <v>2026</v>
      </c>
      <c r="D13" s="5" t="s">
        <v>12</v>
      </c>
      <c r="E13" s="4">
        <v>2</v>
      </c>
      <c r="F13" s="4" t="s">
        <v>39</v>
      </c>
      <c r="G13" s="4" t="s">
        <v>40</v>
      </c>
      <c r="H13" s="4" t="s">
        <v>15</v>
      </c>
      <c r="I13" s="4" t="s">
        <v>53</v>
      </c>
      <c r="J13" s="4" t="s">
        <v>54</v>
      </c>
      <c r="K13" s="4" t="s">
        <v>55</v>
      </c>
      <c r="L13" s="4" t="s">
        <v>3743</v>
      </c>
      <c r="M13" s="4" t="s">
        <v>3746</v>
      </c>
      <c r="N13" s="4" t="s">
        <v>3747</v>
      </c>
      <c r="O13" s="17" t="str">
        <f>INDEX('список ID из СУЭ с должностями'!$A:$F,MATCH(E13,'список ID из СУЭ с должностями'!$B:$B,0),5)</f>
        <v>НС</v>
      </c>
    </row>
    <row r="14" spans="1:15" ht="60">
      <c r="A14" s="3" t="s">
        <v>10</v>
      </c>
      <c r="B14" s="3" t="s">
        <v>11</v>
      </c>
      <c r="C14" s="4">
        <v>2026</v>
      </c>
      <c r="D14" s="5" t="s">
        <v>12</v>
      </c>
      <c r="E14" s="4">
        <v>2</v>
      </c>
      <c r="F14" s="4" t="s">
        <v>39</v>
      </c>
      <c r="G14" s="4" t="s">
        <v>40</v>
      </c>
      <c r="H14" s="4" t="s">
        <v>15</v>
      </c>
      <c r="I14" s="4" t="s">
        <v>56</v>
      </c>
      <c r="J14" s="4" t="s">
        <v>57</v>
      </c>
      <c r="K14" s="4" t="s">
        <v>55</v>
      </c>
      <c r="L14" s="4" t="s">
        <v>3743</v>
      </c>
      <c r="M14" s="4" t="s">
        <v>3746</v>
      </c>
      <c r="N14" s="4" t="s">
        <v>3747</v>
      </c>
      <c r="O14" s="17" t="str">
        <f>INDEX('список ID из СУЭ с должностями'!$A:$F,MATCH(E14,'список ID из СУЭ с должностями'!$B:$B,0),5)</f>
        <v>НС</v>
      </c>
    </row>
    <row r="15" spans="1:15" ht="60">
      <c r="A15" s="3" t="s">
        <v>10</v>
      </c>
      <c r="B15" s="3" t="s">
        <v>11</v>
      </c>
      <c r="C15" s="4">
        <v>2026</v>
      </c>
      <c r="D15" s="5" t="s">
        <v>12</v>
      </c>
      <c r="E15" s="4">
        <v>2</v>
      </c>
      <c r="F15" s="4" t="s">
        <v>39</v>
      </c>
      <c r="G15" s="4" t="s">
        <v>40</v>
      </c>
      <c r="H15" s="4" t="s">
        <v>15</v>
      </c>
      <c r="I15" s="4" t="s">
        <v>58</v>
      </c>
      <c r="J15" s="4" t="s">
        <v>59</v>
      </c>
      <c r="K15" s="4" t="s">
        <v>30</v>
      </c>
      <c r="L15" s="4" t="s">
        <v>3742</v>
      </c>
      <c r="M15" s="4" t="s">
        <v>3746</v>
      </c>
      <c r="N15" s="4" t="s">
        <v>3747</v>
      </c>
      <c r="O15" s="17" t="str">
        <f>INDEX('список ID из СУЭ с должностями'!$A:$F,MATCH(E15,'список ID из СУЭ с должностями'!$B:$B,0),5)</f>
        <v>НС</v>
      </c>
    </row>
    <row r="16" spans="1:15" ht="45">
      <c r="A16" s="3" t="s">
        <v>10</v>
      </c>
      <c r="B16" s="3" t="s">
        <v>11</v>
      </c>
      <c r="C16" s="4">
        <v>2026</v>
      </c>
      <c r="D16" s="5" t="s">
        <v>12</v>
      </c>
      <c r="E16" s="4">
        <v>2</v>
      </c>
      <c r="F16" s="4" t="s">
        <v>39</v>
      </c>
      <c r="G16" s="4" t="s">
        <v>40</v>
      </c>
      <c r="H16" s="4" t="s">
        <v>15</v>
      </c>
      <c r="I16" s="4" t="s">
        <v>60</v>
      </c>
      <c r="J16" s="4" t="s">
        <v>61</v>
      </c>
      <c r="K16" s="4" t="s">
        <v>52</v>
      </c>
      <c r="L16" s="4" t="s">
        <v>3742</v>
      </c>
      <c r="M16" s="4" t="s">
        <v>3746</v>
      </c>
      <c r="N16" s="4" t="s">
        <v>3747</v>
      </c>
      <c r="O16" s="17" t="str">
        <f>INDEX('список ID из СУЭ с должностями'!$A:$F,MATCH(E16,'список ID из СУЭ с должностями'!$B:$B,0),5)</f>
        <v>НС</v>
      </c>
    </row>
    <row r="17" spans="1:15" ht="45">
      <c r="A17" s="3" t="s">
        <v>10</v>
      </c>
      <c r="B17" s="3" t="s">
        <v>11</v>
      </c>
      <c r="C17" s="4">
        <v>2026</v>
      </c>
      <c r="D17" s="5" t="s">
        <v>12</v>
      </c>
      <c r="E17" s="4">
        <v>2</v>
      </c>
      <c r="F17" s="4" t="s">
        <v>39</v>
      </c>
      <c r="G17" s="4" t="s">
        <v>40</v>
      </c>
      <c r="H17" s="4" t="s">
        <v>15</v>
      </c>
      <c r="I17" s="4" t="s">
        <v>62</v>
      </c>
      <c r="J17" s="4" t="s">
        <v>63</v>
      </c>
      <c r="K17" s="4" t="s">
        <v>52</v>
      </c>
      <c r="L17" s="4" t="s">
        <v>3743</v>
      </c>
      <c r="M17" s="4" t="s">
        <v>3746</v>
      </c>
      <c r="N17" s="4" t="s">
        <v>3747</v>
      </c>
      <c r="O17" s="17" t="str">
        <f>INDEX('список ID из СУЭ с должностями'!$A:$F,MATCH(E17,'список ID из СУЭ с должностями'!$B:$B,0),5)</f>
        <v>НС</v>
      </c>
    </row>
    <row r="18" spans="1:15" ht="45">
      <c r="A18" s="3" t="s">
        <v>10</v>
      </c>
      <c r="B18" s="3" t="s">
        <v>11</v>
      </c>
      <c r="C18" s="4">
        <v>2026</v>
      </c>
      <c r="D18" s="5" t="s">
        <v>12</v>
      </c>
      <c r="E18" s="4">
        <v>2</v>
      </c>
      <c r="F18" s="4" t="s">
        <v>39</v>
      </c>
      <c r="G18" s="4" t="s">
        <v>40</v>
      </c>
      <c r="H18" s="4" t="s">
        <v>15</v>
      </c>
      <c r="I18" s="4" t="s">
        <v>64</v>
      </c>
      <c r="J18" s="4" t="s">
        <v>65</v>
      </c>
      <c r="K18" s="4" t="s">
        <v>66</v>
      </c>
      <c r="L18" s="4" t="s">
        <v>3742</v>
      </c>
      <c r="M18" s="4" t="s">
        <v>3746</v>
      </c>
      <c r="N18" s="4" t="s">
        <v>3747</v>
      </c>
      <c r="O18" s="17" t="str">
        <f>INDEX('список ID из СУЭ с должностями'!$A:$F,MATCH(E18,'список ID из СУЭ с должностями'!$B:$B,0),5)</f>
        <v>НС</v>
      </c>
    </row>
    <row r="19" spans="1:15" ht="75">
      <c r="A19" s="3" t="s">
        <v>10</v>
      </c>
      <c r="B19" s="3" t="s">
        <v>11</v>
      </c>
      <c r="C19" s="4">
        <v>2026</v>
      </c>
      <c r="D19" s="5" t="s">
        <v>12</v>
      </c>
      <c r="E19" s="4">
        <v>3</v>
      </c>
      <c r="F19" s="4" t="s">
        <v>67</v>
      </c>
      <c r="G19" s="4" t="s">
        <v>68</v>
      </c>
      <c r="H19" s="4" t="s">
        <v>15</v>
      </c>
      <c r="I19" s="4" t="s">
        <v>69</v>
      </c>
      <c r="J19" s="4" t="s">
        <v>70</v>
      </c>
      <c r="K19" s="4" t="s">
        <v>52</v>
      </c>
      <c r="L19" s="4" t="s">
        <v>3743</v>
      </c>
      <c r="M19" s="4" t="s">
        <v>3746</v>
      </c>
      <c r="N19" s="4" t="s">
        <v>3747</v>
      </c>
      <c r="O19" s="17">
        <f>INDEX('список ID из СУЭ с должностями'!$A:$F,MATCH(E19,'список ID из СУЭ с должностями'!$B:$B,0),5)</f>
        <v>0</v>
      </c>
    </row>
    <row r="20" spans="1:15" ht="60">
      <c r="A20" s="3" t="s">
        <v>10</v>
      </c>
      <c r="B20" s="3" t="s">
        <v>11</v>
      </c>
      <c r="C20" s="4">
        <v>2026</v>
      </c>
      <c r="D20" s="5" t="s">
        <v>12</v>
      </c>
      <c r="E20" s="4">
        <v>3</v>
      </c>
      <c r="F20" s="4" t="s">
        <v>67</v>
      </c>
      <c r="G20" s="4" t="s">
        <v>68</v>
      </c>
      <c r="H20" s="4" t="s">
        <v>15</v>
      </c>
      <c r="I20" s="4" t="s">
        <v>72</v>
      </c>
      <c r="J20" s="4" t="s">
        <v>73</v>
      </c>
      <c r="K20" s="4" t="s">
        <v>23</v>
      </c>
      <c r="L20" s="4" t="s">
        <v>3743</v>
      </c>
      <c r="M20" s="4" t="s">
        <v>3748</v>
      </c>
      <c r="N20" s="4" t="s">
        <v>3749</v>
      </c>
      <c r="O20" s="17">
        <f>INDEX('список ID из СУЭ с должностями'!$A:$F,MATCH(E20,'список ID из СУЭ с должностями'!$B:$B,0),5)</f>
        <v>0</v>
      </c>
    </row>
    <row r="21" spans="1:15" ht="45">
      <c r="A21" s="3" t="s">
        <v>10</v>
      </c>
      <c r="B21" s="3" t="s">
        <v>11</v>
      </c>
      <c r="C21" s="4">
        <v>2026</v>
      </c>
      <c r="D21" s="5" t="s">
        <v>12</v>
      </c>
      <c r="E21" s="4">
        <v>3</v>
      </c>
      <c r="F21" s="4" t="s">
        <v>67</v>
      </c>
      <c r="G21" s="4" t="s">
        <v>68</v>
      </c>
      <c r="H21" s="4" t="s">
        <v>15</v>
      </c>
      <c r="I21" s="4" t="s">
        <v>74</v>
      </c>
      <c r="J21" s="4" t="s">
        <v>75</v>
      </c>
      <c r="K21" s="4" t="s">
        <v>23</v>
      </c>
      <c r="L21" s="4" t="s">
        <v>3743</v>
      </c>
      <c r="M21" s="4" t="s">
        <v>3748</v>
      </c>
      <c r="N21" s="4" t="s">
        <v>3749</v>
      </c>
      <c r="O21" s="17">
        <f>INDEX('список ID из СУЭ с должностями'!$A:$F,MATCH(E21,'список ID из СУЭ с должностями'!$B:$B,0),5)</f>
        <v>0</v>
      </c>
    </row>
    <row r="22" spans="1:15" ht="60">
      <c r="A22" s="3" t="s">
        <v>10</v>
      </c>
      <c r="B22" s="3" t="s">
        <v>11</v>
      </c>
      <c r="C22" s="4">
        <v>2026</v>
      </c>
      <c r="D22" s="5" t="s">
        <v>12</v>
      </c>
      <c r="E22" s="4">
        <v>3</v>
      </c>
      <c r="F22" s="4" t="s">
        <v>67</v>
      </c>
      <c r="G22" s="4" t="s">
        <v>68</v>
      </c>
      <c r="H22" s="4" t="s">
        <v>15</v>
      </c>
      <c r="I22" s="4" t="s">
        <v>76</v>
      </c>
      <c r="J22" s="4" t="s">
        <v>77</v>
      </c>
      <c r="K22" s="4" t="s">
        <v>52</v>
      </c>
      <c r="L22" s="4" t="s">
        <v>3743</v>
      </c>
      <c r="M22" s="4" t="s">
        <v>3746</v>
      </c>
      <c r="N22" s="4" t="s">
        <v>3747</v>
      </c>
      <c r="O22" s="17">
        <f>INDEX('список ID из СУЭ с должностями'!$A:$F,MATCH(E22,'список ID из СУЭ с должностями'!$B:$B,0),5)</f>
        <v>0</v>
      </c>
    </row>
    <row r="23" spans="1:15" ht="45">
      <c r="A23" s="3" t="s">
        <v>10</v>
      </c>
      <c r="B23" s="3" t="s">
        <v>11</v>
      </c>
      <c r="C23" s="4">
        <v>2026</v>
      </c>
      <c r="D23" s="5" t="s">
        <v>12</v>
      </c>
      <c r="E23" s="4">
        <v>3</v>
      </c>
      <c r="F23" s="4" t="s">
        <v>67</v>
      </c>
      <c r="G23" s="4" t="s">
        <v>68</v>
      </c>
      <c r="H23" s="4" t="s">
        <v>15</v>
      </c>
      <c r="I23" s="4" t="s">
        <v>78</v>
      </c>
      <c r="J23" s="4" t="s">
        <v>79</v>
      </c>
      <c r="K23" s="4" t="s">
        <v>23</v>
      </c>
      <c r="L23" s="4" t="s">
        <v>3742</v>
      </c>
      <c r="M23" s="4" t="s">
        <v>3748</v>
      </c>
      <c r="N23" s="4" t="s">
        <v>3749</v>
      </c>
      <c r="O23" s="17">
        <f>INDEX('список ID из СУЭ с должностями'!$A:$F,MATCH(E23,'список ID из СУЭ с должностями'!$B:$B,0),5)</f>
        <v>0</v>
      </c>
    </row>
    <row r="24" spans="1:15" ht="60">
      <c r="A24" s="3" t="s">
        <v>10</v>
      </c>
      <c r="B24" s="3" t="s">
        <v>11</v>
      </c>
      <c r="C24" s="4">
        <v>2026</v>
      </c>
      <c r="D24" s="5" t="s">
        <v>12</v>
      </c>
      <c r="E24" s="4">
        <v>3</v>
      </c>
      <c r="F24" s="4" t="s">
        <v>67</v>
      </c>
      <c r="G24" s="4" t="s">
        <v>68</v>
      </c>
      <c r="H24" s="4" t="s">
        <v>21</v>
      </c>
      <c r="I24" s="4" t="s">
        <v>80</v>
      </c>
      <c r="J24" s="4" t="s">
        <v>81</v>
      </c>
      <c r="K24" s="4" t="s">
        <v>52</v>
      </c>
      <c r="L24" s="4" t="s">
        <v>3743</v>
      </c>
      <c r="M24" s="4" t="s">
        <v>3746</v>
      </c>
      <c r="N24" s="4" t="s">
        <v>3747</v>
      </c>
      <c r="O24" s="17">
        <f>INDEX('список ID из СУЭ с должностями'!$A:$F,MATCH(E24,'список ID из СУЭ с должностями'!$B:$B,0),5)</f>
        <v>0</v>
      </c>
    </row>
    <row r="25" spans="1:15" ht="60">
      <c r="A25" s="3" t="s">
        <v>10</v>
      </c>
      <c r="B25" s="3" t="s">
        <v>11</v>
      </c>
      <c r="C25" s="4">
        <v>2026</v>
      </c>
      <c r="D25" s="5" t="s">
        <v>12</v>
      </c>
      <c r="E25" s="4">
        <v>3</v>
      </c>
      <c r="F25" s="4" t="s">
        <v>67</v>
      </c>
      <c r="G25" s="4" t="s">
        <v>68</v>
      </c>
      <c r="H25" s="4" t="s">
        <v>21</v>
      </c>
      <c r="I25" s="4" t="s">
        <v>82</v>
      </c>
      <c r="J25" s="4" t="s">
        <v>83</v>
      </c>
      <c r="K25" s="4" t="s">
        <v>52</v>
      </c>
      <c r="L25" s="4" t="s">
        <v>3743</v>
      </c>
      <c r="M25" s="4" t="s">
        <v>3746</v>
      </c>
      <c r="N25" s="4" t="s">
        <v>3747</v>
      </c>
      <c r="O25" s="17">
        <f>INDEX('список ID из СУЭ с должностями'!$A:$F,MATCH(E25,'список ID из СУЭ с должностями'!$B:$B,0),5)</f>
        <v>0</v>
      </c>
    </row>
    <row r="26" spans="1:15" ht="120">
      <c r="A26" s="3" t="s">
        <v>10</v>
      </c>
      <c r="B26" s="3" t="s">
        <v>11</v>
      </c>
      <c r="C26" s="4">
        <v>2026</v>
      </c>
      <c r="D26" s="5" t="s">
        <v>12</v>
      </c>
      <c r="E26" s="4">
        <v>4</v>
      </c>
      <c r="F26" s="4" t="s">
        <v>84</v>
      </c>
      <c r="G26" s="4" t="s">
        <v>85</v>
      </c>
      <c r="H26" s="4" t="s">
        <v>15</v>
      </c>
      <c r="I26" s="4" t="s">
        <v>86</v>
      </c>
      <c r="J26" s="4" t="s">
        <v>87</v>
      </c>
      <c r="K26" s="4" t="s">
        <v>35</v>
      </c>
      <c r="L26" s="4" t="s">
        <v>3743</v>
      </c>
      <c r="M26" s="4" t="s">
        <v>3746</v>
      </c>
      <c r="N26" s="4" t="s">
        <v>3747</v>
      </c>
      <c r="O26" s="17">
        <f>INDEX('список ID из СУЭ с должностями'!$A:$F,MATCH(E26,'список ID из СУЭ с должностями'!$B:$B,0),5)</f>
        <v>0</v>
      </c>
    </row>
    <row r="27" spans="1:15" ht="90">
      <c r="A27" s="3" t="s">
        <v>10</v>
      </c>
      <c r="B27" s="3" t="s">
        <v>11</v>
      </c>
      <c r="C27" s="4">
        <v>2026</v>
      </c>
      <c r="D27" s="5" t="s">
        <v>12</v>
      </c>
      <c r="E27" s="4">
        <v>4</v>
      </c>
      <c r="F27" s="4" t="s">
        <v>84</v>
      </c>
      <c r="G27" s="4" t="s">
        <v>85</v>
      </c>
      <c r="H27" s="4" t="s">
        <v>21</v>
      </c>
      <c r="I27" s="4" t="s">
        <v>89</v>
      </c>
      <c r="J27" s="4" t="s">
        <v>90</v>
      </c>
      <c r="K27" s="4" t="s">
        <v>30</v>
      </c>
      <c r="L27" s="4" t="s">
        <v>3743</v>
      </c>
      <c r="M27" s="4" t="s">
        <v>3746</v>
      </c>
      <c r="N27" s="4" t="s">
        <v>3747</v>
      </c>
      <c r="O27" s="17">
        <f>INDEX('список ID из СУЭ с должностями'!$A:$F,MATCH(E27,'список ID из СУЭ с должностями'!$B:$B,0),5)</f>
        <v>0</v>
      </c>
    </row>
    <row r="28" spans="1:15" ht="195">
      <c r="A28" s="3" t="s">
        <v>10</v>
      </c>
      <c r="B28" s="3" t="s">
        <v>11</v>
      </c>
      <c r="C28" s="4">
        <v>2026</v>
      </c>
      <c r="D28" s="5" t="s">
        <v>12</v>
      </c>
      <c r="E28" s="4">
        <v>4</v>
      </c>
      <c r="F28" s="4" t="s">
        <v>84</v>
      </c>
      <c r="G28" s="4" t="s">
        <v>85</v>
      </c>
      <c r="H28" s="4" t="s">
        <v>21</v>
      </c>
      <c r="I28" s="4" t="s">
        <v>91</v>
      </c>
      <c r="J28" s="4" t="s">
        <v>92</v>
      </c>
      <c r="K28" s="4" t="s">
        <v>30</v>
      </c>
      <c r="L28" s="4" t="s">
        <v>3743</v>
      </c>
      <c r="M28" s="4" t="s">
        <v>3746</v>
      </c>
      <c r="N28" s="4" t="s">
        <v>3747</v>
      </c>
      <c r="O28" s="17">
        <f>INDEX('список ID из СУЭ с должностями'!$A:$F,MATCH(E28,'список ID из СУЭ с должностями'!$B:$B,0),5)</f>
        <v>0</v>
      </c>
    </row>
    <row r="29" spans="1:15" ht="75">
      <c r="A29" s="3" t="s">
        <v>10</v>
      </c>
      <c r="B29" s="3" t="s">
        <v>11</v>
      </c>
      <c r="C29" s="4">
        <v>2026</v>
      </c>
      <c r="D29" s="5" t="s">
        <v>12</v>
      </c>
      <c r="E29" s="4">
        <v>4</v>
      </c>
      <c r="F29" s="4" t="s">
        <v>84</v>
      </c>
      <c r="G29" s="4" t="s">
        <v>85</v>
      </c>
      <c r="H29" s="4" t="s">
        <v>21</v>
      </c>
      <c r="I29" s="4" t="s">
        <v>93</v>
      </c>
      <c r="J29" s="4" t="s">
        <v>94</v>
      </c>
      <c r="K29" s="4" t="s">
        <v>30</v>
      </c>
      <c r="L29" s="4" t="s">
        <v>3743</v>
      </c>
      <c r="M29" s="4" t="s">
        <v>3746</v>
      </c>
      <c r="N29" s="4" t="s">
        <v>3747</v>
      </c>
      <c r="O29" s="17">
        <f>INDEX('список ID из СУЭ с должностями'!$A:$F,MATCH(E29,'список ID из СУЭ с должностями'!$B:$B,0),5)</f>
        <v>0</v>
      </c>
    </row>
    <row r="30" spans="1:15" ht="165">
      <c r="A30" s="3" t="s">
        <v>10</v>
      </c>
      <c r="B30" s="3" t="s">
        <v>11</v>
      </c>
      <c r="C30" s="4">
        <v>2026</v>
      </c>
      <c r="D30" s="5" t="s">
        <v>12</v>
      </c>
      <c r="E30" s="4">
        <v>4</v>
      </c>
      <c r="F30" s="4" t="s">
        <v>84</v>
      </c>
      <c r="G30" s="4" t="s">
        <v>85</v>
      </c>
      <c r="H30" s="4" t="s">
        <v>21</v>
      </c>
      <c r="I30" s="4" t="s">
        <v>95</v>
      </c>
      <c r="J30" s="4" t="s">
        <v>96</v>
      </c>
      <c r="K30" s="4" t="s">
        <v>30</v>
      </c>
      <c r="L30" s="4" t="s">
        <v>3743</v>
      </c>
      <c r="M30" s="4" t="s">
        <v>3746</v>
      </c>
      <c r="N30" s="4" t="s">
        <v>3747</v>
      </c>
      <c r="O30" s="17">
        <f>INDEX('список ID из СУЭ с должностями'!$A:$F,MATCH(E30,'список ID из СУЭ с должностями'!$B:$B,0),5)</f>
        <v>0</v>
      </c>
    </row>
    <row r="31" spans="1:15" ht="105">
      <c r="A31" s="3" t="s">
        <v>10</v>
      </c>
      <c r="B31" s="3" t="s">
        <v>11</v>
      </c>
      <c r="C31" s="4">
        <v>2026</v>
      </c>
      <c r="D31" s="5" t="s">
        <v>12</v>
      </c>
      <c r="E31" s="4">
        <v>4</v>
      </c>
      <c r="F31" s="4" t="s">
        <v>84</v>
      </c>
      <c r="G31" s="4" t="s">
        <v>85</v>
      </c>
      <c r="H31" s="4" t="s">
        <v>21</v>
      </c>
      <c r="I31" s="4" t="s">
        <v>97</v>
      </c>
      <c r="J31" s="4" t="s">
        <v>98</v>
      </c>
      <c r="K31" s="4" t="s">
        <v>30</v>
      </c>
      <c r="L31" s="4" t="s">
        <v>3743</v>
      </c>
      <c r="M31" s="4" t="s">
        <v>3746</v>
      </c>
      <c r="N31" s="4" t="s">
        <v>3747</v>
      </c>
      <c r="O31" s="17">
        <f>INDEX('список ID из СУЭ с должностями'!$A:$F,MATCH(E31,'список ID из СУЭ с должностями'!$B:$B,0),5)</f>
        <v>0</v>
      </c>
    </row>
    <row r="32" spans="1:15" ht="195">
      <c r="A32" s="3" t="s">
        <v>10</v>
      </c>
      <c r="B32" s="3" t="s">
        <v>11</v>
      </c>
      <c r="C32" s="4">
        <v>2026</v>
      </c>
      <c r="D32" s="5" t="s">
        <v>12</v>
      </c>
      <c r="E32" s="4">
        <v>5</v>
      </c>
      <c r="F32" s="4" t="s">
        <v>67</v>
      </c>
      <c r="G32" s="4" t="s">
        <v>99</v>
      </c>
      <c r="H32" s="4" t="s">
        <v>15</v>
      </c>
      <c r="I32" s="4" t="s">
        <v>100</v>
      </c>
      <c r="J32" s="4" t="s">
        <v>101</v>
      </c>
      <c r="K32" s="4" t="s">
        <v>30</v>
      </c>
      <c r="L32" s="4" t="s">
        <v>3743</v>
      </c>
      <c r="M32" s="4" t="s">
        <v>3746</v>
      </c>
      <c r="N32" s="4" t="s">
        <v>3747</v>
      </c>
      <c r="O32" s="17">
        <f>INDEX('список ID из СУЭ с должностями'!$A:$F,MATCH(E32,'список ID из СУЭ с должностями'!$B:$B,0),5)</f>
        <v>0</v>
      </c>
    </row>
    <row r="33" spans="1:15" ht="105">
      <c r="A33" s="3" t="s">
        <v>10</v>
      </c>
      <c r="B33" s="3" t="s">
        <v>11</v>
      </c>
      <c r="C33" s="4">
        <v>2026</v>
      </c>
      <c r="D33" s="5" t="s">
        <v>12</v>
      </c>
      <c r="E33" s="4">
        <v>5</v>
      </c>
      <c r="F33" s="4" t="s">
        <v>67</v>
      </c>
      <c r="G33" s="4" t="s">
        <v>99</v>
      </c>
      <c r="H33" s="4" t="s">
        <v>15</v>
      </c>
      <c r="I33" s="4" t="s">
        <v>104</v>
      </c>
      <c r="J33" s="4" t="s">
        <v>105</v>
      </c>
      <c r="K33" s="4" t="s">
        <v>30</v>
      </c>
      <c r="L33" s="4" t="s">
        <v>3743</v>
      </c>
      <c r="M33" s="4" t="s">
        <v>3746</v>
      </c>
      <c r="N33" s="4" t="s">
        <v>3747</v>
      </c>
      <c r="O33" s="17">
        <f>INDEX('список ID из СУЭ с должностями'!$A:$F,MATCH(E33,'список ID из СУЭ с должностями'!$B:$B,0),5)</f>
        <v>0</v>
      </c>
    </row>
    <row r="34" spans="1:15" ht="105">
      <c r="A34" s="3" t="s">
        <v>10</v>
      </c>
      <c r="B34" s="3" t="s">
        <v>11</v>
      </c>
      <c r="C34" s="4">
        <v>2026</v>
      </c>
      <c r="D34" s="5" t="s">
        <v>12</v>
      </c>
      <c r="E34" s="4">
        <v>5</v>
      </c>
      <c r="F34" s="4" t="s">
        <v>67</v>
      </c>
      <c r="G34" s="4" t="s">
        <v>99</v>
      </c>
      <c r="H34" s="4" t="s">
        <v>15</v>
      </c>
      <c r="I34" s="4" t="s">
        <v>106</v>
      </c>
      <c r="J34" s="4" t="s">
        <v>107</v>
      </c>
      <c r="K34" s="4" t="s">
        <v>30</v>
      </c>
      <c r="L34" s="4" t="s">
        <v>3743</v>
      </c>
      <c r="M34" s="4" t="s">
        <v>3746</v>
      </c>
      <c r="N34" s="4" t="s">
        <v>3747</v>
      </c>
      <c r="O34" s="17">
        <f>INDEX('список ID из СУЭ с должностями'!$A:$F,MATCH(E34,'список ID из СУЭ с должностями'!$B:$B,0),5)</f>
        <v>0</v>
      </c>
    </row>
    <row r="35" spans="1:15" ht="105">
      <c r="A35" s="3" t="s">
        <v>10</v>
      </c>
      <c r="B35" s="3" t="s">
        <v>11</v>
      </c>
      <c r="C35" s="4">
        <v>2026</v>
      </c>
      <c r="D35" s="5" t="s">
        <v>12</v>
      </c>
      <c r="E35" s="4">
        <v>5</v>
      </c>
      <c r="F35" s="4" t="s">
        <v>67</v>
      </c>
      <c r="G35" s="4" t="s">
        <v>99</v>
      </c>
      <c r="H35" s="4" t="s">
        <v>15</v>
      </c>
      <c r="I35" s="4" t="s">
        <v>108</v>
      </c>
      <c r="J35" s="4" t="s">
        <v>109</v>
      </c>
      <c r="K35" s="4" t="s">
        <v>30</v>
      </c>
      <c r="L35" s="4" t="s">
        <v>3742</v>
      </c>
      <c r="M35" s="4" t="s">
        <v>3746</v>
      </c>
      <c r="N35" s="4" t="s">
        <v>3747</v>
      </c>
      <c r="O35" s="17">
        <f>INDEX('список ID из СУЭ с должностями'!$A:$F,MATCH(E35,'список ID из СУЭ с должностями'!$B:$B,0),5)</f>
        <v>0</v>
      </c>
    </row>
    <row r="36" spans="1:15" ht="105">
      <c r="A36" s="3" t="s">
        <v>10</v>
      </c>
      <c r="B36" s="3" t="s">
        <v>11</v>
      </c>
      <c r="C36" s="4">
        <v>2026</v>
      </c>
      <c r="D36" s="5" t="s">
        <v>12</v>
      </c>
      <c r="E36" s="4">
        <v>5</v>
      </c>
      <c r="F36" s="4" t="s">
        <v>67</v>
      </c>
      <c r="G36" s="4" t="s">
        <v>99</v>
      </c>
      <c r="H36" s="4" t="s">
        <v>15</v>
      </c>
      <c r="I36" s="4" t="s">
        <v>110</v>
      </c>
      <c r="J36" s="4" t="s">
        <v>111</v>
      </c>
      <c r="K36" s="4" t="s">
        <v>66</v>
      </c>
      <c r="L36" s="4" t="s">
        <v>3742</v>
      </c>
      <c r="M36" s="4" t="s">
        <v>3746</v>
      </c>
      <c r="N36" s="4" t="s">
        <v>3747</v>
      </c>
      <c r="O36" s="17">
        <f>INDEX('список ID из СУЭ с должностями'!$A:$F,MATCH(E36,'список ID из СУЭ с должностями'!$B:$B,0),5)</f>
        <v>0</v>
      </c>
    </row>
    <row r="37" spans="1:15" ht="195">
      <c r="A37" s="3" t="s">
        <v>10</v>
      </c>
      <c r="B37" s="3" t="s">
        <v>11</v>
      </c>
      <c r="C37" s="4">
        <v>2026</v>
      </c>
      <c r="D37" s="5" t="s">
        <v>12</v>
      </c>
      <c r="E37" s="4">
        <v>5</v>
      </c>
      <c r="F37" s="4" t="s">
        <v>67</v>
      </c>
      <c r="G37" s="4" t="s">
        <v>99</v>
      </c>
      <c r="H37" s="4" t="s">
        <v>15</v>
      </c>
      <c r="I37" s="4" t="s">
        <v>112</v>
      </c>
      <c r="J37" s="4" t="s">
        <v>113</v>
      </c>
      <c r="K37" s="4" t="s">
        <v>30</v>
      </c>
      <c r="L37" s="4" t="s">
        <v>3743</v>
      </c>
      <c r="M37" s="4" t="s">
        <v>3746</v>
      </c>
      <c r="N37" s="4" t="s">
        <v>3747</v>
      </c>
      <c r="O37" s="17">
        <f>INDEX('список ID из СУЭ с должностями'!$A:$F,MATCH(E37,'список ID из СУЭ с должностями'!$B:$B,0),5)</f>
        <v>0</v>
      </c>
    </row>
    <row r="38" spans="1:15" ht="105">
      <c r="A38" s="3" t="s">
        <v>10</v>
      </c>
      <c r="B38" s="3" t="s">
        <v>11</v>
      </c>
      <c r="C38" s="4">
        <v>2026</v>
      </c>
      <c r="D38" s="5" t="s">
        <v>12</v>
      </c>
      <c r="E38" s="4">
        <v>5</v>
      </c>
      <c r="F38" s="4" t="s">
        <v>67</v>
      </c>
      <c r="G38" s="4" t="s">
        <v>99</v>
      </c>
      <c r="H38" s="4" t="s">
        <v>15</v>
      </c>
      <c r="I38" s="4" t="s">
        <v>114</v>
      </c>
      <c r="J38" s="4" t="s">
        <v>115</v>
      </c>
      <c r="K38" s="4" t="s">
        <v>30</v>
      </c>
      <c r="L38" s="4" t="s">
        <v>3742</v>
      </c>
      <c r="M38" s="4" t="s">
        <v>3746</v>
      </c>
      <c r="N38" s="4" t="s">
        <v>3747</v>
      </c>
      <c r="O38" s="17">
        <f>INDEX('список ID из СУЭ с должностями'!$A:$F,MATCH(E38,'список ID из СУЭ с должностями'!$B:$B,0),5)</f>
        <v>0</v>
      </c>
    </row>
    <row r="39" spans="1:15" ht="75">
      <c r="A39" s="3" t="s">
        <v>10</v>
      </c>
      <c r="B39" s="3" t="s">
        <v>11</v>
      </c>
      <c r="C39" s="4">
        <v>2026</v>
      </c>
      <c r="D39" s="5" t="s">
        <v>12</v>
      </c>
      <c r="E39" s="4">
        <v>6</v>
      </c>
      <c r="F39" s="4" t="s">
        <v>116</v>
      </c>
      <c r="G39" s="4" t="s">
        <v>117</v>
      </c>
      <c r="H39" s="4" t="s">
        <v>15</v>
      </c>
      <c r="I39" s="4" t="s">
        <v>118</v>
      </c>
      <c r="J39" s="4" t="s">
        <v>79</v>
      </c>
      <c r="K39" s="4" t="s">
        <v>120</v>
      </c>
      <c r="L39" s="4" t="s">
        <v>3742</v>
      </c>
      <c r="M39" s="4" t="s">
        <v>3750</v>
      </c>
      <c r="N39" s="4" t="s">
        <v>3751</v>
      </c>
      <c r="O39" s="17">
        <f>INDEX('список ID из СУЭ с должностями'!$A:$F,MATCH(E39,'список ID из СУЭ с должностями'!$B:$B,0),5)</f>
        <v>0</v>
      </c>
    </row>
    <row r="40" spans="1:15" ht="75">
      <c r="A40" s="3" t="s">
        <v>10</v>
      </c>
      <c r="B40" s="3" t="s">
        <v>11</v>
      </c>
      <c r="C40" s="4">
        <v>2026</v>
      </c>
      <c r="D40" s="5" t="s">
        <v>12</v>
      </c>
      <c r="E40" s="4">
        <v>6</v>
      </c>
      <c r="F40" s="4" t="s">
        <v>116</v>
      </c>
      <c r="G40" s="4" t="s">
        <v>117</v>
      </c>
      <c r="H40" s="4" t="s">
        <v>15</v>
      </c>
      <c r="I40" s="4" t="s">
        <v>121</v>
      </c>
      <c r="J40" s="4" t="s">
        <v>122</v>
      </c>
      <c r="K40" s="4" t="s">
        <v>123</v>
      </c>
      <c r="L40" s="4" t="s">
        <v>3742</v>
      </c>
      <c r="M40" s="4" t="s">
        <v>3750</v>
      </c>
      <c r="N40" s="4" t="s">
        <v>3751</v>
      </c>
      <c r="O40" s="17">
        <f>INDEX('список ID из СУЭ с должностями'!$A:$F,MATCH(E40,'список ID из СУЭ с должностями'!$B:$B,0),5)</f>
        <v>0</v>
      </c>
    </row>
    <row r="41" spans="1:15" ht="90">
      <c r="A41" s="3" t="s">
        <v>10</v>
      </c>
      <c r="B41" s="3" t="s">
        <v>11</v>
      </c>
      <c r="C41" s="4">
        <v>2026</v>
      </c>
      <c r="D41" s="5" t="s">
        <v>12</v>
      </c>
      <c r="E41" s="4">
        <v>6</v>
      </c>
      <c r="F41" s="4" t="s">
        <v>116</v>
      </c>
      <c r="G41" s="4" t="s">
        <v>117</v>
      </c>
      <c r="H41" s="4" t="s">
        <v>15</v>
      </c>
      <c r="I41" s="4" t="s">
        <v>124</v>
      </c>
      <c r="J41" s="4" t="s">
        <v>125</v>
      </c>
      <c r="K41" s="4" t="s">
        <v>126</v>
      </c>
      <c r="L41" s="4" t="s">
        <v>3742</v>
      </c>
      <c r="M41" s="4" t="s">
        <v>3750</v>
      </c>
      <c r="N41" s="4" t="s">
        <v>3751</v>
      </c>
      <c r="O41" s="17">
        <f>INDEX('список ID из СУЭ с должностями'!$A:$F,MATCH(E41,'список ID из СУЭ с должностями'!$B:$B,0),5)</f>
        <v>0</v>
      </c>
    </row>
    <row r="42" spans="1:15" ht="90">
      <c r="A42" s="3" t="s">
        <v>10</v>
      </c>
      <c r="B42" s="3" t="s">
        <v>11</v>
      </c>
      <c r="C42" s="4">
        <v>2026</v>
      </c>
      <c r="D42" s="5" t="s">
        <v>12</v>
      </c>
      <c r="E42" s="4">
        <v>6</v>
      </c>
      <c r="F42" s="4" t="s">
        <v>116</v>
      </c>
      <c r="G42" s="4" t="s">
        <v>117</v>
      </c>
      <c r="H42" s="4" t="s">
        <v>15</v>
      </c>
      <c r="I42" s="4" t="s">
        <v>127</v>
      </c>
      <c r="J42" s="4" t="s">
        <v>128</v>
      </c>
      <c r="K42" s="4" t="s">
        <v>120</v>
      </c>
      <c r="L42" s="4" t="s">
        <v>3743</v>
      </c>
      <c r="M42" s="4" t="s">
        <v>3750</v>
      </c>
      <c r="N42" s="4" t="s">
        <v>3751</v>
      </c>
      <c r="O42" s="17">
        <f>INDEX('список ID из СУЭ с должностями'!$A:$F,MATCH(E42,'список ID из СУЭ с должностями'!$B:$B,0),5)</f>
        <v>0</v>
      </c>
    </row>
    <row r="43" spans="1:15" ht="75">
      <c r="A43" s="3" t="s">
        <v>10</v>
      </c>
      <c r="B43" s="3" t="s">
        <v>11</v>
      </c>
      <c r="C43" s="4">
        <v>2026</v>
      </c>
      <c r="D43" s="5" t="s">
        <v>12</v>
      </c>
      <c r="E43" s="4">
        <v>6</v>
      </c>
      <c r="F43" s="4" t="s">
        <v>116</v>
      </c>
      <c r="G43" s="4" t="s">
        <v>117</v>
      </c>
      <c r="H43" s="4" t="s">
        <v>15</v>
      </c>
      <c r="I43" s="4" t="s">
        <v>129</v>
      </c>
      <c r="J43" s="4" t="s">
        <v>130</v>
      </c>
      <c r="K43" s="4" t="s">
        <v>30</v>
      </c>
      <c r="L43" s="4" t="s">
        <v>3742</v>
      </c>
      <c r="M43" s="4" t="s">
        <v>3746</v>
      </c>
      <c r="N43" s="4" t="s">
        <v>3747</v>
      </c>
      <c r="O43" s="17">
        <f>INDEX('список ID из СУЭ с должностями'!$A:$F,MATCH(E43,'список ID из СУЭ с должностями'!$B:$B,0),5)</f>
        <v>0</v>
      </c>
    </row>
    <row r="44" spans="1:15" ht="75">
      <c r="A44" s="3" t="s">
        <v>10</v>
      </c>
      <c r="B44" s="3" t="s">
        <v>11</v>
      </c>
      <c r="C44" s="4">
        <v>2026</v>
      </c>
      <c r="D44" s="5" t="s">
        <v>12</v>
      </c>
      <c r="E44" s="4">
        <v>6</v>
      </c>
      <c r="F44" s="4" t="s">
        <v>116</v>
      </c>
      <c r="G44" s="4" t="s">
        <v>117</v>
      </c>
      <c r="H44" s="4" t="s">
        <v>15</v>
      </c>
      <c r="I44" s="4" t="s">
        <v>131</v>
      </c>
      <c r="J44" s="4" t="s">
        <v>132</v>
      </c>
      <c r="K44" s="4" t="s">
        <v>20</v>
      </c>
      <c r="L44" s="4" t="s">
        <v>3742</v>
      </c>
      <c r="M44" s="4" t="s">
        <v>3746</v>
      </c>
      <c r="N44" s="4" t="s">
        <v>3747</v>
      </c>
      <c r="O44" s="17">
        <f>INDEX('список ID из СУЭ с должностями'!$A:$F,MATCH(E44,'список ID из СУЭ с должностями'!$B:$B,0),5)</f>
        <v>0</v>
      </c>
    </row>
    <row r="45" spans="1:15" ht="75">
      <c r="A45" s="3" t="s">
        <v>10</v>
      </c>
      <c r="B45" s="3" t="s">
        <v>11</v>
      </c>
      <c r="C45" s="4">
        <v>2026</v>
      </c>
      <c r="D45" s="5" t="s">
        <v>12</v>
      </c>
      <c r="E45" s="4">
        <v>6</v>
      </c>
      <c r="F45" s="4" t="s">
        <v>116</v>
      </c>
      <c r="G45" s="4" t="s">
        <v>117</v>
      </c>
      <c r="H45" s="4" t="s">
        <v>15</v>
      </c>
      <c r="I45" s="4" t="s">
        <v>133</v>
      </c>
      <c r="J45" s="4" t="s">
        <v>134</v>
      </c>
      <c r="K45" s="4" t="s">
        <v>30</v>
      </c>
      <c r="L45" s="4" t="s">
        <v>3742</v>
      </c>
      <c r="M45" s="4" t="s">
        <v>3746</v>
      </c>
      <c r="N45" s="4" t="s">
        <v>3747</v>
      </c>
      <c r="O45" s="17">
        <f>INDEX('список ID из СУЭ с должностями'!$A:$F,MATCH(E45,'список ID из СУЭ с должностями'!$B:$B,0),5)</f>
        <v>0</v>
      </c>
    </row>
    <row r="46" spans="1:15" ht="90">
      <c r="A46" s="3" t="s">
        <v>10</v>
      </c>
      <c r="B46" s="3" t="s">
        <v>11</v>
      </c>
      <c r="C46" s="4">
        <v>2026</v>
      </c>
      <c r="D46" s="5" t="s">
        <v>12</v>
      </c>
      <c r="E46" s="4">
        <v>6</v>
      </c>
      <c r="F46" s="4" t="s">
        <v>116</v>
      </c>
      <c r="G46" s="4" t="s">
        <v>117</v>
      </c>
      <c r="H46" s="4" t="s">
        <v>15</v>
      </c>
      <c r="I46" s="4" t="s">
        <v>135</v>
      </c>
      <c r="J46" s="4" t="s">
        <v>136</v>
      </c>
      <c r="K46" s="4" t="s">
        <v>126</v>
      </c>
      <c r="L46" s="4" t="s">
        <v>3742</v>
      </c>
      <c r="M46" s="4" t="s">
        <v>3750</v>
      </c>
      <c r="N46" s="4" t="s">
        <v>3751</v>
      </c>
      <c r="O46" s="17">
        <f>INDEX('список ID из СУЭ с должностями'!$A:$F,MATCH(E46,'список ID из СУЭ с должностями'!$B:$B,0),5)</f>
        <v>0</v>
      </c>
    </row>
    <row r="47" spans="1:15" ht="75">
      <c r="A47" s="3" t="s">
        <v>10</v>
      </c>
      <c r="B47" s="3" t="s">
        <v>11</v>
      </c>
      <c r="C47" s="4">
        <v>2026</v>
      </c>
      <c r="D47" s="5" t="s">
        <v>12</v>
      </c>
      <c r="E47" s="4">
        <v>6</v>
      </c>
      <c r="F47" s="4" t="s">
        <v>116</v>
      </c>
      <c r="G47" s="4" t="s">
        <v>117</v>
      </c>
      <c r="H47" s="4" t="s">
        <v>15</v>
      </c>
      <c r="I47" s="4" t="s">
        <v>137</v>
      </c>
      <c r="J47" s="4" t="s">
        <v>138</v>
      </c>
      <c r="K47" s="4" t="s">
        <v>139</v>
      </c>
      <c r="L47" s="4" t="s">
        <v>3742</v>
      </c>
      <c r="M47" s="4" t="s">
        <v>3750</v>
      </c>
      <c r="N47" s="4" t="s">
        <v>3751</v>
      </c>
      <c r="O47" s="17">
        <f>INDEX('список ID из СУЭ с должностями'!$A:$F,MATCH(E47,'список ID из СУЭ с должностями'!$B:$B,0),5)</f>
        <v>0</v>
      </c>
    </row>
    <row r="48" spans="1:15" ht="90">
      <c r="A48" s="3" t="s">
        <v>10</v>
      </c>
      <c r="B48" s="3" t="s">
        <v>11</v>
      </c>
      <c r="C48" s="4">
        <v>2026</v>
      </c>
      <c r="D48" s="5" t="s">
        <v>12</v>
      </c>
      <c r="E48" s="4">
        <v>6</v>
      </c>
      <c r="F48" s="4" t="s">
        <v>116</v>
      </c>
      <c r="G48" s="4" t="s">
        <v>117</v>
      </c>
      <c r="H48" s="4" t="s">
        <v>15</v>
      </c>
      <c r="I48" s="4" t="s">
        <v>140</v>
      </c>
      <c r="J48" s="4" t="s">
        <v>79</v>
      </c>
      <c r="K48" s="4" t="s">
        <v>141</v>
      </c>
      <c r="L48" s="4" t="s">
        <v>3742</v>
      </c>
      <c r="M48" s="4" t="s">
        <v>3750</v>
      </c>
      <c r="N48" s="4" t="s">
        <v>3751</v>
      </c>
      <c r="O48" s="17">
        <f>INDEX('список ID из СУЭ с должностями'!$A:$F,MATCH(E48,'список ID из СУЭ с должностями'!$B:$B,0),5)</f>
        <v>0</v>
      </c>
    </row>
    <row r="49" spans="1:15" ht="105">
      <c r="A49" s="3" t="s">
        <v>10</v>
      </c>
      <c r="B49" s="3" t="s">
        <v>11</v>
      </c>
      <c r="C49" s="4">
        <v>2026</v>
      </c>
      <c r="D49" s="5" t="s">
        <v>12</v>
      </c>
      <c r="E49" s="4">
        <v>7</v>
      </c>
      <c r="F49" s="4" t="s">
        <v>142</v>
      </c>
      <c r="G49" s="4" t="s">
        <v>143</v>
      </c>
      <c r="H49" s="4" t="s">
        <v>15</v>
      </c>
      <c r="I49" s="4" t="s">
        <v>144</v>
      </c>
      <c r="J49" s="4" t="s">
        <v>145</v>
      </c>
      <c r="K49" s="4" t="s">
        <v>52</v>
      </c>
      <c r="L49" s="4" t="s">
        <v>3743</v>
      </c>
      <c r="M49" s="4" t="s">
        <v>3746</v>
      </c>
      <c r="N49" s="4" t="s">
        <v>3747</v>
      </c>
      <c r="O49" s="17">
        <f>INDEX('список ID из СУЭ с должностями'!$A:$F,MATCH(E49,'список ID из СУЭ с должностями'!$B:$B,0),5)</f>
        <v>0</v>
      </c>
    </row>
    <row r="50" spans="1:15" ht="105">
      <c r="A50" s="3" t="s">
        <v>10</v>
      </c>
      <c r="B50" s="3" t="s">
        <v>11</v>
      </c>
      <c r="C50" s="4">
        <v>2026</v>
      </c>
      <c r="D50" s="5" t="s">
        <v>12</v>
      </c>
      <c r="E50" s="4">
        <v>7</v>
      </c>
      <c r="F50" s="4" t="s">
        <v>142</v>
      </c>
      <c r="G50" s="4" t="s">
        <v>143</v>
      </c>
      <c r="H50" s="4" t="s">
        <v>15</v>
      </c>
      <c r="I50" s="4" t="s">
        <v>147</v>
      </c>
      <c r="J50" s="4" t="s">
        <v>148</v>
      </c>
      <c r="K50" s="4" t="s">
        <v>35</v>
      </c>
      <c r="L50" s="4" t="s">
        <v>3743</v>
      </c>
      <c r="M50" s="4" t="s">
        <v>3746</v>
      </c>
      <c r="N50" s="4" t="s">
        <v>3747</v>
      </c>
      <c r="O50" s="17">
        <f>INDEX('список ID из СУЭ с должностями'!$A:$F,MATCH(E50,'список ID из СУЭ с должностями'!$B:$B,0),5)</f>
        <v>0</v>
      </c>
    </row>
    <row r="51" spans="1:15" ht="255">
      <c r="A51" s="3" t="s">
        <v>10</v>
      </c>
      <c r="B51" s="3" t="s">
        <v>11</v>
      </c>
      <c r="C51" s="4">
        <v>2026</v>
      </c>
      <c r="D51" s="5" t="s">
        <v>12</v>
      </c>
      <c r="E51" s="4">
        <v>7</v>
      </c>
      <c r="F51" s="4" t="s">
        <v>142</v>
      </c>
      <c r="G51" s="4" t="s">
        <v>143</v>
      </c>
      <c r="H51" s="4" t="s">
        <v>15</v>
      </c>
      <c r="I51" s="4" t="s">
        <v>149</v>
      </c>
      <c r="J51" s="4" t="s">
        <v>150</v>
      </c>
      <c r="K51" s="4" t="s">
        <v>151</v>
      </c>
      <c r="L51" s="4" t="s">
        <v>3743</v>
      </c>
      <c r="M51" s="4" t="s">
        <v>3746</v>
      </c>
      <c r="N51" s="4" t="s">
        <v>3747</v>
      </c>
      <c r="O51" s="17">
        <f>INDEX('список ID из СУЭ с должностями'!$A:$F,MATCH(E51,'список ID из СУЭ с должностями'!$B:$B,0),5)</f>
        <v>0</v>
      </c>
    </row>
    <row r="52" spans="1:15" ht="105">
      <c r="A52" s="3" t="s">
        <v>10</v>
      </c>
      <c r="B52" s="3" t="s">
        <v>11</v>
      </c>
      <c r="C52" s="4">
        <v>2026</v>
      </c>
      <c r="D52" s="5" t="s">
        <v>12</v>
      </c>
      <c r="E52" s="4">
        <v>8</v>
      </c>
      <c r="F52" s="4" t="s">
        <v>142</v>
      </c>
      <c r="G52" s="4" t="s">
        <v>143</v>
      </c>
      <c r="H52" s="4" t="s">
        <v>15</v>
      </c>
      <c r="I52" s="4" t="s">
        <v>144</v>
      </c>
      <c r="J52" s="4" t="s">
        <v>145</v>
      </c>
      <c r="K52" s="4" t="s">
        <v>52</v>
      </c>
      <c r="L52" s="4" t="s">
        <v>3743</v>
      </c>
      <c r="M52" s="4" t="s">
        <v>3746</v>
      </c>
      <c r="N52" s="4" t="s">
        <v>3747</v>
      </c>
      <c r="O52" s="17">
        <f>INDEX('список ID из СУЭ с должностями'!$A:$F,MATCH(E52,'список ID из СУЭ с должностями'!$B:$B,0),5)</f>
        <v>0</v>
      </c>
    </row>
    <row r="53" spans="1:15" ht="105">
      <c r="A53" s="3" t="s">
        <v>10</v>
      </c>
      <c r="B53" s="3" t="s">
        <v>11</v>
      </c>
      <c r="C53" s="4">
        <v>2026</v>
      </c>
      <c r="D53" s="5" t="s">
        <v>12</v>
      </c>
      <c r="E53" s="4">
        <v>8</v>
      </c>
      <c r="F53" s="4" t="s">
        <v>142</v>
      </c>
      <c r="G53" s="4" t="s">
        <v>143</v>
      </c>
      <c r="H53" s="4" t="s">
        <v>15</v>
      </c>
      <c r="I53" s="4" t="s">
        <v>147</v>
      </c>
      <c r="J53" s="4" t="s">
        <v>148</v>
      </c>
      <c r="K53" s="4" t="s">
        <v>35</v>
      </c>
      <c r="L53" s="4" t="s">
        <v>3743</v>
      </c>
      <c r="M53" s="4" t="s">
        <v>3746</v>
      </c>
      <c r="N53" s="4" t="s">
        <v>3747</v>
      </c>
      <c r="O53" s="17">
        <f>INDEX('список ID из СУЭ с должностями'!$A:$F,MATCH(E53,'список ID из СУЭ с должностями'!$B:$B,0),5)</f>
        <v>0</v>
      </c>
    </row>
    <row r="54" spans="1:15" ht="180">
      <c r="A54" s="3" t="s">
        <v>10</v>
      </c>
      <c r="B54" s="3" t="s">
        <v>11</v>
      </c>
      <c r="C54" s="4">
        <v>2026</v>
      </c>
      <c r="D54" s="5" t="s">
        <v>12</v>
      </c>
      <c r="E54" s="4">
        <v>8</v>
      </c>
      <c r="F54" s="4" t="s">
        <v>142</v>
      </c>
      <c r="G54" s="4" t="s">
        <v>143</v>
      </c>
      <c r="H54" s="4" t="s">
        <v>15</v>
      </c>
      <c r="I54" s="4" t="s">
        <v>149</v>
      </c>
      <c r="J54" s="4" t="s">
        <v>152</v>
      </c>
      <c r="K54" s="4" t="s">
        <v>151</v>
      </c>
      <c r="L54" s="4" t="s">
        <v>3743</v>
      </c>
      <c r="M54" s="4" t="s">
        <v>3746</v>
      </c>
      <c r="N54" s="4" t="s">
        <v>3747</v>
      </c>
      <c r="O54" s="17">
        <f>INDEX('список ID из СУЭ с должностями'!$A:$F,MATCH(E54,'список ID из СУЭ с должностями'!$B:$B,0),5)</f>
        <v>0</v>
      </c>
    </row>
    <row r="55" spans="1:15" ht="90">
      <c r="A55" s="3" t="s">
        <v>10</v>
      </c>
      <c r="B55" s="3" t="s">
        <v>11</v>
      </c>
      <c r="C55" s="4">
        <v>2026</v>
      </c>
      <c r="D55" s="5" t="s">
        <v>12</v>
      </c>
      <c r="E55" s="4">
        <v>9</v>
      </c>
      <c r="F55" s="4" t="s">
        <v>153</v>
      </c>
      <c r="G55" s="4" t="s">
        <v>154</v>
      </c>
      <c r="H55" s="4" t="s">
        <v>21</v>
      </c>
      <c r="I55" s="4" t="s">
        <v>155</v>
      </c>
      <c r="J55" s="4" t="s">
        <v>156</v>
      </c>
      <c r="K55" s="4" t="s">
        <v>30</v>
      </c>
      <c r="L55" s="4" t="s">
        <v>3743</v>
      </c>
      <c r="M55" s="4" t="s">
        <v>3746</v>
      </c>
      <c r="N55" s="4" t="s">
        <v>3747</v>
      </c>
      <c r="O55" s="17">
        <f>INDEX('список ID из СУЭ с должностями'!$A:$F,MATCH(E55,'список ID из СУЭ с должностями'!$B:$B,0),5)</f>
        <v>0</v>
      </c>
    </row>
    <row r="56" spans="1:15" ht="75">
      <c r="A56" s="3" t="s">
        <v>10</v>
      </c>
      <c r="B56" s="3" t="s">
        <v>11</v>
      </c>
      <c r="C56" s="4">
        <v>2026</v>
      </c>
      <c r="D56" s="5" t="s">
        <v>12</v>
      </c>
      <c r="E56" s="4">
        <v>9</v>
      </c>
      <c r="F56" s="4" t="s">
        <v>153</v>
      </c>
      <c r="G56" s="4" t="s">
        <v>154</v>
      </c>
      <c r="H56" s="4" t="s">
        <v>15</v>
      </c>
      <c r="I56" s="4" t="s">
        <v>159</v>
      </c>
      <c r="J56" s="4" t="s">
        <v>160</v>
      </c>
      <c r="K56" s="4" t="s">
        <v>20</v>
      </c>
      <c r="L56" s="4" t="s">
        <v>3743</v>
      </c>
      <c r="M56" s="4" t="s">
        <v>3746</v>
      </c>
      <c r="N56" s="4" t="s">
        <v>3747</v>
      </c>
      <c r="O56" s="17">
        <f>INDEX('список ID из СУЭ с должностями'!$A:$F,MATCH(E56,'список ID из СУЭ с должностями'!$B:$B,0),5)</f>
        <v>0</v>
      </c>
    </row>
    <row r="57" spans="1:15" ht="60">
      <c r="A57" s="3" t="s">
        <v>10</v>
      </c>
      <c r="B57" s="3" t="s">
        <v>11</v>
      </c>
      <c r="C57" s="4">
        <v>2026</v>
      </c>
      <c r="D57" s="5" t="s">
        <v>12</v>
      </c>
      <c r="E57" s="4">
        <v>9</v>
      </c>
      <c r="F57" s="4" t="s">
        <v>153</v>
      </c>
      <c r="G57" s="4" t="s">
        <v>154</v>
      </c>
      <c r="H57" s="4" t="s">
        <v>15</v>
      </c>
      <c r="I57" s="4" t="s">
        <v>161</v>
      </c>
      <c r="J57" s="4" t="s">
        <v>162</v>
      </c>
      <c r="K57" s="4" t="s">
        <v>151</v>
      </c>
      <c r="L57" s="4" t="s">
        <v>3743</v>
      </c>
      <c r="M57" s="4" t="s">
        <v>3746</v>
      </c>
      <c r="N57" s="4" t="s">
        <v>3747</v>
      </c>
      <c r="O57" s="17">
        <f>INDEX('список ID из СУЭ с должностями'!$A:$F,MATCH(E57,'список ID из СУЭ с должностями'!$B:$B,0),5)</f>
        <v>0</v>
      </c>
    </row>
    <row r="58" spans="1:15" ht="60">
      <c r="A58" s="3" t="s">
        <v>10</v>
      </c>
      <c r="B58" s="3" t="s">
        <v>11</v>
      </c>
      <c r="C58" s="4">
        <v>2026</v>
      </c>
      <c r="D58" s="5" t="s">
        <v>12</v>
      </c>
      <c r="E58" s="4">
        <v>9</v>
      </c>
      <c r="F58" s="4" t="s">
        <v>153</v>
      </c>
      <c r="G58" s="4" t="s">
        <v>154</v>
      </c>
      <c r="H58" s="4" t="s">
        <v>15</v>
      </c>
      <c r="I58" s="4" t="s">
        <v>163</v>
      </c>
      <c r="J58" s="4" t="s">
        <v>164</v>
      </c>
      <c r="K58" s="4" t="s">
        <v>38</v>
      </c>
      <c r="L58" s="4" t="s">
        <v>3742</v>
      </c>
      <c r="M58" s="4" t="s">
        <v>3746</v>
      </c>
      <c r="N58" s="4" t="s">
        <v>3747</v>
      </c>
      <c r="O58" s="17">
        <f>INDEX('список ID из СУЭ с должностями'!$A:$F,MATCH(E58,'список ID из СУЭ с должностями'!$B:$B,0),5)</f>
        <v>0</v>
      </c>
    </row>
    <row r="59" spans="1:15" ht="60">
      <c r="A59" s="3" t="s">
        <v>10</v>
      </c>
      <c r="B59" s="3" t="s">
        <v>11</v>
      </c>
      <c r="C59" s="4">
        <v>2026</v>
      </c>
      <c r="D59" s="5" t="s">
        <v>12</v>
      </c>
      <c r="E59" s="4">
        <v>9</v>
      </c>
      <c r="F59" s="4" t="s">
        <v>153</v>
      </c>
      <c r="G59" s="4" t="s">
        <v>154</v>
      </c>
      <c r="H59" s="4" t="s">
        <v>41</v>
      </c>
      <c r="I59" s="4" t="s">
        <v>165</v>
      </c>
      <c r="J59" s="4" t="s">
        <v>166</v>
      </c>
      <c r="K59" s="4" t="s">
        <v>151</v>
      </c>
      <c r="L59" s="4" t="s">
        <v>3743</v>
      </c>
      <c r="M59" s="4" t="s">
        <v>3746</v>
      </c>
      <c r="N59" s="4" t="s">
        <v>3747</v>
      </c>
      <c r="O59" s="17">
        <f>INDEX('список ID из СУЭ с должностями'!$A:$F,MATCH(E59,'список ID из СУЭ с должностями'!$B:$B,0),5)</f>
        <v>0</v>
      </c>
    </row>
    <row r="60" spans="1:15" ht="105">
      <c r="A60" s="3" t="s">
        <v>10</v>
      </c>
      <c r="B60" s="3" t="s">
        <v>11</v>
      </c>
      <c r="C60" s="4">
        <v>2026</v>
      </c>
      <c r="D60" s="5" t="s">
        <v>12</v>
      </c>
      <c r="E60" s="4">
        <v>9</v>
      </c>
      <c r="F60" s="4" t="s">
        <v>153</v>
      </c>
      <c r="G60" s="4" t="s">
        <v>154</v>
      </c>
      <c r="H60" s="4" t="s">
        <v>15</v>
      </c>
      <c r="I60" s="4" t="s">
        <v>167</v>
      </c>
      <c r="J60" s="4" t="s">
        <v>168</v>
      </c>
      <c r="K60" s="4" t="s">
        <v>20</v>
      </c>
      <c r="L60" s="4" t="s">
        <v>3743</v>
      </c>
      <c r="M60" s="4" t="s">
        <v>3746</v>
      </c>
      <c r="N60" s="4" t="s">
        <v>3747</v>
      </c>
      <c r="O60" s="17">
        <f>INDEX('список ID из СУЭ с должностями'!$A:$F,MATCH(E60,'список ID из СУЭ с должностями'!$B:$B,0),5)</f>
        <v>0</v>
      </c>
    </row>
    <row r="61" spans="1:15" ht="60">
      <c r="A61" s="3" t="s">
        <v>10</v>
      </c>
      <c r="B61" s="3" t="s">
        <v>11</v>
      </c>
      <c r="C61" s="4">
        <v>2026</v>
      </c>
      <c r="D61" s="5" t="s">
        <v>12</v>
      </c>
      <c r="E61" s="4">
        <v>9</v>
      </c>
      <c r="F61" s="4" t="s">
        <v>153</v>
      </c>
      <c r="G61" s="4" t="s">
        <v>154</v>
      </c>
      <c r="H61" s="4" t="s">
        <v>15</v>
      </c>
      <c r="I61" s="4" t="s">
        <v>169</v>
      </c>
      <c r="J61" s="4" t="s">
        <v>170</v>
      </c>
      <c r="K61" s="4" t="s">
        <v>55</v>
      </c>
      <c r="L61" s="4" t="s">
        <v>3743</v>
      </c>
      <c r="M61" s="4" t="s">
        <v>3746</v>
      </c>
      <c r="N61" s="4" t="s">
        <v>3747</v>
      </c>
      <c r="O61" s="17">
        <f>INDEX('список ID из СУЭ с должностями'!$A:$F,MATCH(E61,'список ID из СУЭ с должностями'!$B:$B,0),5)</f>
        <v>0</v>
      </c>
    </row>
    <row r="62" spans="1:15" ht="90">
      <c r="A62" s="3" t="s">
        <v>10</v>
      </c>
      <c r="B62" s="3" t="s">
        <v>11</v>
      </c>
      <c r="C62" s="4">
        <v>2026</v>
      </c>
      <c r="D62" s="5" t="s">
        <v>12</v>
      </c>
      <c r="E62" s="4">
        <v>9</v>
      </c>
      <c r="F62" s="4" t="s">
        <v>153</v>
      </c>
      <c r="G62" s="4" t="s">
        <v>154</v>
      </c>
      <c r="H62" s="4" t="s">
        <v>21</v>
      </c>
      <c r="I62" s="4" t="s">
        <v>171</v>
      </c>
      <c r="J62" s="4" t="s">
        <v>172</v>
      </c>
      <c r="K62" s="4" t="s">
        <v>35</v>
      </c>
      <c r="L62" s="4" t="s">
        <v>3743</v>
      </c>
      <c r="M62" s="4" t="s">
        <v>3746</v>
      </c>
      <c r="N62" s="4" t="s">
        <v>3747</v>
      </c>
      <c r="O62" s="17">
        <f>INDEX('список ID из СУЭ с должностями'!$A:$F,MATCH(E62,'список ID из СУЭ с должностями'!$B:$B,0),5)</f>
        <v>0</v>
      </c>
    </row>
    <row r="63" spans="1:15" ht="60">
      <c r="A63" s="3" t="s">
        <v>10</v>
      </c>
      <c r="B63" s="3" t="s">
        <v>11</v>
      </c>
      <c r="C63" s="4">
        <v>2026</v>
      </c>
      <c r="D63" s="5" t="s">
        <v>12</v>
      </c>
      <c r="E63" s="4">
        <v>9</v>
      </c>
      <c r="F63" s="4" t="s">
        <v>153</v>
      </c>
      <c r="G63" s="4" t="s">
        <v>154</v>
      </c>
      <c r="H63" s="4" t="s">
        <v>15</v>
      </c>
      <c r="I63" s="4" t="s">
        <v>173</v>
      </c>
      <c r="J63" s="4" t="s">
        <v>174</v>
      </c>
      <c r="K63" s="4" t="s">
        <v>151</v>
      </c>
      <c r="L63" s="4" t="s">
        <v>3743</v>
      </c>
      <c r="M63" s="4" t="s">
        <v>3746</v>
      </c>
      <c r="N63" s="4" t="s">
        <v>3747</v>
      </c>
      <c r="O63" s="17">
        <f>INDEX('список ID из СУЭ с должностями'!$A:$F,MATCH(E63,'список ID из СУЭ с должностями'!$B:$B,0),5)</f>
        <v>0</v>
      </c>
    </row>
    <row r="64" spans="1:15" ht="60">
      <c r="A64" s="3" t="s">
        <v>10</v>
      </c>
      <c r="B64" s="3" t="s">
        <v>11</v>
      </c>
      <c r="C64" s="4">
        <v>2026</v>
      </c>
      <c r="D64" s="5" t="s">
        <v>12</v>
      </c>
      <c r="E64" s="4">
        <v>9</v>
      </c>
      <c r="F64" s="4" t="s">
        <v>153</v>
      </c>
      <c r="G64" s="4" t="s">
        <v>154</v>
      </c>
      <c r="H64" s="4" t="s">
        <v>15</v>
      </c>
      <c r="I64" s="4" t="s">
        <v>175</v>
      </c>
      <c r="J64" s="4" t="s">
        <v>176</v>
      </c>
      <c r="K64" s="4" t="s">
        <v>38</v>
      </c>
      <c r="L64" s="4" t="s">
        <v>3743</v>
      </c>
      <c r="M64" s="4" t="s">
        <v>3746</v>
      </c>
      <c r="N64" s="4" t="s">
        <v>3747</v>
      </c>
      <c r="O64" s="17">
        <f>INDEX('список ID из СУЭ с должностями'!$A:$F,MATCH(E64,'список ID из СУЭ с должностями'!$B:$B,0),5)</f>
        <v>0</v>
      </c>
    </row>
    <row r="65" spans="1:15" ht="75">
      <c r="A65" s="3" t="s">
        <v>10</v>
      </c>
      <c r="B65" s="3" t="s">
        <v>11</v>
      </c>
      <c r="C65" s="4">
        <v>2026</v>
      </c>
      <c r="D65" s="5" t="s">
        <v>12</v>
      </c>
      <c r="E65" s="4">
        <v>10</v>
      </c>
      <c r="F65" s="4" t="s">
        <v>67</v>
      </c>
      <c r="G65" s="4" t="s">
        <v>45</v>
      </c>
      <c r="H65" s="4" t="s">
        <v>15</v>
      </c>
      <c r="I65" s="4" t="s">
        <v>177</v>
      </c>
      <c r="J65" s="4" t="s">
        <v>178</v>
      </c>
      <c r="K65" s="4" t="s">
        <v>20</v>
      </c>
      <c r="L65" s="4" t="s">
        <v>3742</v>
      </c>
      <c r="M65" s="4" t="s">
        <v>3746</v>
      </c>
      <c r="N65" s="4" t="s">
        <v>3747</v>
      </c>
      <c r="O65" s="17">
        <f>INDEX('список ID из СУЭ с должностями'!$A:$F,MATCH(E65,'список ID из СУЭ с должностями'!$B:$B,0),5)</f>
        <v>0</v>
      </c>
    </row>
    <row r="66" spans="1:15" ht="75">
      <c r="A66" s="3" t="s">
        <v>10</v>
      </c>
      <c r="B66" s="3" t="s">
        <v>11</v>
      </c>
      <c r="C66" s="4">
        <v>2026</v>
      </c>
      <c r="D66" s="5" t="s">
        <v>12</v>
      </c>
      <c r="E66" s="4">
        <v>10</v>
      </c>
      <c r="F66" s="4" t="s">
        <v>67</v>
      </c>
      <c r="G66" s="4" t="s">
        <v>45</v>
      </c>
      <c r="H66" s="4" t="s">
        <v>41</v>
      </c>
      <c r="I66" s="4" t="s">
        <v>179</v>
      </c>
      <c r="J66" s="4" t="s">
        <v>180</v>
      </c>
      <c r="K66" s="4" t="s">
        <v>20</v>
      </c>
      <c r="L66" s="4" t="s">
        <v>3742</v>
      </c>
      <c r="M66" s="4" t="s">
        <v>3746</v>
      </c>
      <c r="N66" s="4" t="s">
        <v>3747</v>
      </c>
      <c r="O66" s="17">
        <f>INDEX('список ID из СУЭ с должностями'!$A:$F,MATCH(E66,'список ID из СУЭ с должностями'!$B:$B,0),5)</f>
        <v>0</v>
      </c>
    </row>
    <row r="67" spans="1:15" ht="75">
      <c r="A67" s="3" t="s">
        <v>10</v>
      </c>
      <c r="B67" s="3" t="s">
        <v>11</v>
      </c>
      <c r="C67" s="4">
        <v>2026</v>
      </c>
      <c r="D67" s="5" t="s">
        <v>12</v>
      </c>
      <c r="E67" s="4">
        <v>10</v>
      </c>
      <c r="F67" s="4" t="s">
        <v>67</v>
      </c>
      <c r="G67" s="4" t="s">
        <v>45</v>
      </c>
      <c r="H67" s="4" t="s">
        <v>15</v>
      </c>
      <c r="I67" s="4" t="s">
        <v>181</v>
      </c>
      <c r="J67" s="4" t="s">
        <v>182</v>
      </c>
      <c r="K67" s="4" t="s">
        <v>20</v>
      </c>
      <c r="L67" s="4" t="s">
        <v>3742</v>
      </c>
      <c r="M67" s="4" t="s">
        <v>3746</v>
      </c>
      <c r="N67" s="4" t="s">
        <v>3747</v>
      </c>
      <c r="O67" s="17">
        <f>INDEX('список ID из СУЭ с должностями'!$A:$F,MATCH(E67,'список ID из СУЭ с должностями'!$B:$B,0),5)</f>
        <v>0</v>
      </c>
    </row>
    <row r="68" spans="1:15" ht="75">
      <c r="A68" s="3" t="s">
        <v>10</v>
      </c>
      <c r="B68" s="3" t="s">
        <v>11</v>
      </c>
      <c r="C68" s="4">
        <v>2026</v>
      </c>
      <c r="D68" s="5" t="s">
        <v>12</v>
      </c>
      <c r="E68" s="4">
        <v>10</v>
      </c>
      <c r="F68" s="4" t="s">
        <v>67</v>
      </c>
      <c r="G68" s="4" t="s">
        <v>45</v>
      </c>
      <c r="H68" s="4" t="s">
        <v>15</v>
      </c>
      <c r="I68" s="4" t="s">
        <v>183</v>
      </c>
      <c r="J68" s="4" t="s">
        <v>184</v>
      </c>
      <c r="K68" s="4" t="s">
        <v>20</v>
      </c>
      <c r="L68" s="4" t="s">
        <v>3743</v>
      </c>
      <c r="M68" s="4" t="s">
        <v>3746</v>
      </c>
      <c r="N68" s="4" t="s">
        <v>3747</v>
      </c>
      <c r="O68" s="17">
        <f>INDEX('список ID из СУЭ с должностями'!$A:$F,MATCH(E68,'список ID из СУЭ с должностями'!$B:$B,0),5)</f>
        <v>0</v>
      </c>
    </row>
    <row r="69" spans="1:15" ht="45">
      <c r="A69" s="3" t="s">
        <v>10</v>
      </c>
      <c r="B69" s="3" t="s">
        <v>11</v>
      </c>
      <c r="C69" s="4">
        <v>2026</v>
      </c>
      <c r="D69" s="5" t="s">
        <v>12</v>
      </c>
      <c r="E69" s="4">
        <v>10</v>
      </c>
      <c r="F69" s="4" t="s">
        <v>67</v>
      </c>
      <c r="G69" s="4" t="s">
        <v>45</v>
      </c>
      <c r="H69" s="4" t="s">
        <v>21</v>
      </c>
      <c r="I69" s="4" t="s">
        <v>185</v>
      </c>
      <c r="J69" s="4" t="s">
        <v>186</v>
      </c>
      <c r="K69" s="4" t="s">
        <v>52</v>
      </c>
      <c r="L69" s="4" t="s">
        <v>3743</v>
      </c>
      <c r="M69" s="4" t="s">
        <v>3746</v>
      </c>
      <c r="N69" s="4" t="s">
        <v>3747</v>
      </c>
      <c r="O69" s="17">
        <f>INDEX('список ID из СУЭ с должностями'!$A:$F,MATCH(E69,'список ID из СУЭ с должностями'!$B:$B,0),5)</f>
        <v>0</v>
      </c>
    </row>
    <row r="70" spans="1:15" ht="60">
      <c r="A70" s="3" t="s">
        <v>10</v>
      </c>
      <c r="B70" s="3" t="s">
        <v>11</v>
      </c>
      <c r="C70" s="4">
        <v>2026</v>
      </c>
      <c r="D70" s="5" t="s">
        <v>12</v>
      </c>
      <c r="E70" s="4">
        <v>10</v>
      </c>
      <c r="F70" s="4" t="s">
        <v>67</v>
      </c>
      <c r="G70" s="4" t="s">
        <v>45</v>
      </c>
      <c r="H70" s="4" t="s">
        <v>15</v>
      </c>
      <c r="I70" s="4" t="s">
        <v>48</v>
      </c>
      <c r="J70" s="4" t="s">
        <v>187</v>
      </c>
      <c r="K70" s="4" t="s">
        <v>188</v>
      </c>
      <c r="L70" s="4" t="s">
        <v>3743</v>
      </c>
      <c r="M70" s="4" t="s">
        <v>3746</v>
      </c>
      <c r="N70" s="4" t="s">
        <v>3747</v>
      </c>
      <c r="O70" s="17">
        <f>INDEX('список ID из СУЭ с должностями'!$A:$F,MATCH(E70,'список ID из СУЭ с должностями'!$B:$B,0),5)</f>
        <v>0</v>
      </c>
    </row>
    <row r="71" spans="1:15" ht="75">
      <c r="A71" s="3" t="s">
        <v>10</v>
      </c>
      <c r="B71" s="3" t="s">
        <v>11</v>
      </c>
      <c r="C71" s="4">
        <v>2026</v>
      </c>
      <c r="D71" s="5" t="s">
        <v>12</v>
      </c>
      <c r="E71" s="4">
        <v>10</v>
      </c>
      <c r="F71" s="4" t="s">
        <v>67</v>
      </c>
      <c r="G71" s="4" t="s">
        <v>45</v>
      </c>
      <c r="H71" s="4" t="s">
        <v>15</v>
      </c>
      <c r="I71" s="4" t="s">
        <v>189</v>
      </c>
      <c r="J71" s="4" t="s">
        <v>190</v>
      </c>
      <c r="K71" s="4" t="s">
        <v>20</v>
      </c>
      <c r="L71" s="4" t="s">
        <v>3743</v>
      </c>
      <c r="M71" s="4" t="s">
        <v>3746</v>
      </c>
      <c r="N71" s="4" t="s">
        <v>3747</v>
      </c>
      <c r="O71" s="17">
        <f>INDEX('список ID из СУЭ с должностями'!$A:$F,MATCH(E71,'список ID из СУЭ с должностями'!$B:$B,0),5)</f>
        <v>0</v>
      </c>
    </row>
    <row r="72" spans="1:15" ht="45">
      <c r="A72" s="3" t="s">
        <v>10</v>
      </c>
      <c r="B72" s="3" t="s">
        <v>11</v>
      </c>
      <c r="C72" s="4">
        <v>2026</v>
      </c>
      <c r="D72" s="5" t="s">
        <v>12</v>
      </c>
      <c r="E72" s="4">
        <v>10</v>
      </c>
      <c r="F72" s="4" t="s">
        <v>67</v>
      </c>
      <c r="G72" s="4" t="s">
        <v>45</v>
      </c>
      <c r="H72" s="4" t="s">
        <v>15</v>
      </c>
      <c r="I72" s="4" t="s">
        <v>191</v>
      </c>
      <c r="J72" s="4" t="s">
        <v>192</v>
      </c>
      <c r="K72" s="4" t="s">
        <v>66</v>
      </c>
      <c r="L72" s="4" t="s">
        <v>3742</v>
      </c>
      <c r="M72" s="4" t="s">
        <v>3746</v>
      </c>
      <c r="N72" s="4" t="s">
        <v>3747</v>
      </c>
      <c r="O72" s="17">
        <f>INDEX('список ID из СУЭ с должностями'!$A:$F,MATCH(E72,'список ID из СУЭ с должностями'!$B:$B,0),5)</f>
        <v>0</v>
      </c>
    </row>
    <row r="73" spans="1:15" ht="45">
      <c r="A73" s="3" t="s">
        <v>10</v>
      </c>
      <c r="B73" s="3" t="s">
        <v>11</v>
      </c>
      <c r="C73" s="4">
        <v>2026</v>
      </c>
      <c r="D73" s="5" t="s">
        <v>12</v>
      </c>
      <c r="E73" s="4">
        <v>11</v>
      </c>
      <c r="F73" s="4" t="s">
        <v>193</v>
      </c>
      <c r="G73" s="4" t="s">
        <v>194</v>
      </c>
      <c r="H73" s="4" t="s">
        <v>41</v>
      </c>
      <c r="I73" s="4" t="s">
        <v>195</v>
      </c>
      <c r="J73" s="4" t="s">
        <v>196</v>
      </c>
      <c r="K73" s="4" t="s">
        <v>23</v>
      </c>
      <c r="L73" s="4" t="s">
        <v>3742</v>
      </c>
      <c r="M73" s="4" t="s">
        <v>3748</v>
      </c>
      <c r="N73" s="4" t="s">
        <v>3752</v>
      </c>
      <c r="O73" s="17" t="str">
        <f>INDEX('список ID из СУЭ с должностями'!$A:$F,MATCH(E73,'список ID из СУЭ с должностями'!$B:$B,0),5)</f>
        <v>Инж смены</v>
      </c>
    </row>
    <row r="74" spans="1:15" ht="45">
      <c r="A74" s="3" t="s">
        <v>10</v>
      </c>
      <c r="B74" s="3" t="s">
        <v>11</v>
      </c>
      <c r="C74" s="4">
        <v>2026</v>
      </c>
      <c r="D74" s="5" t="s">
        <v>12</v>
      </c>
      <c r="E74" s="4">
        <v>11</v>
      </c>
      <c r="F74" s="4" t="s">
        <v>193</v>
      </c>
      <c r="G74" s="4" t="s">
        <v>194</v>
      </c>
      <c r="H74" s="4" t="s">
        <v>41</v>
      </c>
      <c r="I74" s="4" t="s">
        <v>62</v>
      </c>
      <c r="J74" s="4" t="s">
        <v>197</v>
      </c>
      <c r="K74" s="4" t="s">
        <v>66</v>
      </c>
      <c r="L74" s="4" t="s">
        <v>3743</v>
      </c>
      <c r="M74" s="4" t="s">
        <v>3746</v>
      </c>
      <c r="N74" s="4" t="s">
        <v>3747</v>
      </c>
      <c r="O74" s="17" t="str">
        <f>INDEX('список ID из СУЭ с должностями'!$A:$F,MATCH(E74,'список ID из СУЭ с должностями'!$B:$B,0),5)</f>
        <v>Инж смены</v>
      </c>
    </row>
    <row r="75" spans="1:15" ht="90">
      <c r="A75" s="3" t="s">
        <v>10</v>
      </c>
      <c r="B75" s="3" t="s">
        <v>11</v>
      </c>
      <c r="C75" s="4">
        <v>2026</v>
      </c>
      <c r="D75" s="5" t="s">
        <v>12</v>
      </c>
      <c r="E75" s="4">
        <v>11</v>
      </c>
      <c r="F75" s="4" t="s">
        <v>193</v>
      </c>
      <c r="G75" s="4" t="s">
        <v>194</v>
      </c>
      <c r="H75" s="4" t="s">
        <v>21</v>
      </c>
      <c r="I75" s="4" t="s">
        <v>198</v>
      </c>
      <c r="J75" s="4" t="s">
        <v>199</v>
      </c>
      <c r="K75" s="4" t="s">
        <v>20</v>
      </c>
      <c r="L75" s="4" t="s">
        <v>3743</v>
      </c>
      <c r="M75" s="4" t="s">
        <v>3746</v>
      </c>
      <c r="N75" s="4" t="s">
        <v>3747</v>
      </c>
      <c r="O75" s="17" t="str">
        <f>INDEX('список ID из СУЭ с должностями'!$A:$F,MATCH(E75,'список ID из СУЭ с должностями'!$B:$B,0),5)</f>
        <v>Инж смены</v>
      </c>
    </row>
    <row r="76" spans="1:15" ht="45">
      <c r="A76" s="3" t="s">
        <v>10</v>
      </c>
      <c r="B76" s="3" t="s">
        <v>11</v>
      </c>
      <c r="C76" s="4">
        <v>2026</v>
      </c>
      <c r="D76" s="5" t="s">
        <v>12</v>
      </c>
      <c r="E76" s="4">
        <v>11</v>
      </c>
      <c r="F76" s="4" t="s">
        <v>193</v>
      </c>
      <c r="G76" s="4" t="s">
        <v>194</v>
      </c>
      <c r="H76" s="4" t="s">
        <v>15</v>
      </c>
      <c r="I76" s="4" t="s">
        <v>191</v>
      </c>
      <c r="J76" s="4" t="s">
        <v>200</v>
      </c>
      <c r="K76" s="4" t="s">
        <v>66</v>
      </c>
      <c r="L76" s="4" t="s">
        <v>3742</v>
      </c>
      <c r="M76" s="4" t="s">
        <v>3746</v>
      </c>
      <c r="N76" s="4" t="s">
        <v>3747</v>
      </c>
      <c r="O76" s="17" t="str">
        <f>INDEX('список ID из СУЭ с должностями'!$A:$F,MATCH(E76,'список ID из СУЭ с должностями'!$B:$B,0),5)</f>
        <v>Инж смены</v>
      </c>
    </row>
    <row r="77" spans="1:15" ht="165">
      <c r="A77" s="3" t="s">
        <v>10</v>
      </c>
      <c r="B77" s="3" t="s">
        <v>11</v>
      </c>
      <c r="C77" s="4">
        <v>2026</v>
      </c>
      <c r="D77" s="5" t="s">
        <v>12</v>
      </c>
      <c r="E77" s="4">
        <v>11</v>
      </c>
      <c r="F77" s="4" t="s">
        <v>193</v>
      </c>
      <c r="G77" s="4" t="s">
        <v>194</v>
      </c>
      <c r="H77" s="4" t="s">
        <v>15</v>
      </c>
      <c r="I77" s="4" t="s">
        <v>201</v>
      </c>
      <c r="J77" s="4" t="s">
        <v>202</v>
      </c>
      <c r="K77" s="4" t="s">
        <v>66</v>
      </c>
      <c r="L77" s="4" t="s">
        <v>3743</v>
      </c>
      <c r="M77" s="4" t="s">
        <v>3746</v>
      </c>
      <c r="N77" s="4" t="s">
        <v>3747</v>
      </c>
      <c r="O77" s="17" t="str">
        <f>INDEX('список ID из СУЭ с должностями'!$A:$F,MATCH(E77,'список ID из СУЭ с должностями'!$B:$B,0),5)</f>
        <v>Инж смены</v>
      </c>
    </row>
    <row r="78" spans="1:15" ht="315">
      <c r="A78" s="3" t="s">
        <v>10</v>
      </c>
      <c r="B78" s="3" t="s">
        <v>11</v>
      </c>
      <c r="C78" s="4">
        <v>2026</v>
      </c>
      <c r="D78" s="5" t="s">
        <v>12</v>
      </c>
      <c r="E78" s="4">
        <v>11</v>
      </c>
      <c r="F78" s="4" t="s">
        <v>193</v>
      </c>
      <c r="G78" s="4" t="s">
        <v>194</v>
      </c>
      <c r="H78" s="4" t="s">
        <v>41</v>
      </c>
      <c r="I78" s="4" t="s">
        <v>203</v>
      </c>
      <c r="J78" s="4" t="s">
        <v>204</v>
      </c>
      <c r="K78" s="4" t="s">
        <v>188</v>
      </c>
      <c r="L78" s="4" t="s">
        <v>3743</v>
      </c>
      <c r="M78" s="4" t="s">
        <v>3746</v>
      </c>
      <c r="N78" s="4" t="s">
        <v>3747</v>
      </c>
      <c r="O78" s="17" t="str">
        <f>INDEX('список ID из СУЭ с должностями'!$A:$F,MATCH(E78,'список ID из СУЭ с должностями'!$B:$B,0),5)</f>
        <v>Инж смены</v>
      </c>
    </row>
    <row r="79" spans="1:15" ht="60">
      <c r="A79" s="3" t="s">
        <v>10</v>
      </c>
      <c r="B79" s="3" t="s">
        <v>11</v>
      </c>
      <c r="C79" s="4">
        <v>2026</v>
      </c>
      <c r="D79" s="5" t="s">
        <v>12</v>
      </c>
      <c r="E79" s="4">
        <v>12</v>
      </c>
      <c r="F79" s="4" t="s">
        <v>153</v>
      </c>
      <c r="G79" s="4" t="s">
        <v>205</v>
      </c>
      <c r="H79" s="4" t="s">
        <v>15</v>
      </c>
      <c r="I79" s="4" t="s">
        <v>163</v>
      </c>
      <c r="J79" s="4" t="s">
        <v>206</v>
      </c>
      <c r="K79" s="4" t="s">
        <v>38</v>
      </c>
      <c r="L79" s="4" t="s">
        <v>3742</v>
      </c>
      <c r="M79" s="4" t="s">
        <v>3746</v>
      </c>
      <c r="N79" s="4" t="s">
        <v>3747</v>
      </c>
      <c r="O79" s="17">
        <f>INDEX('список ID из СУЭ с должностями'!$A:$F,MATCH(E79,'список ID из СУЭ с должностями'!$B:$B,0),5)</f>
        <v>0</v>
      </c>
    </row>
    <row r="80" spans="1:15" ht="60">
      <c r="A80" s="3" t="s">
        <v>10</v>
      </c>
      <c r="B80" s="3" t="s">
        <v>11</v>
      </c>
      <c r="C80" s="4">
        <v>2026</v>
      </c>
      <c r="D80" s="5" t="s">
        <v>12</v>
      </c>
      <c r="E80" s="4">
        <v>12</v>
      </c>
      <c r="F80" s="4" t="s">
        <v>153</v>
      </c>
      <c r="G80" s="4" t="s">
        <v>205</v>
      </c>
      <c r="H80" s="4" t="s">
        <v>15</v>
      </c>
      <c r="I80" s="4" t="s">
        <v>175</v>
      </c>
      <c r="J80" s="4" t="s">
        <v>207</v>
      </c>
      <c r="K80" s="4" t="s">
        <v>38</v>
      </c>
      <c r="L80" s="4" t="s">
        <v>3743</v>
      </c>
      <c r="M80" s="4" t="s">
        <v>3746</v>
      </c>
      <c r="N80" s="4" t="s">
        <v>3747</v>
      </c>
      <c r="O80" s="17">
        <f>INDEX('список ID из СУЭ с должностями'!$A:$F,MATCH(E80,'список ID из СУЭ с должностями'!$B:$B,0),5)</f>
        <v>0</v>
      </c>
    </row>
    <row r="81" spans="1:15" ht="90">
      <c r="A81" s="3" t="s">
        <v>10</v>
      </c>
      <c r="B81" s="3" t="s">
        <v>11</v>
      </c>
      <c r="C81" s="4">
        <v>2026</v>
      </c>
      <c r="D81" s="5" t="s">
        <v>12</v>
      </c>
      <c r="E81" s="4">
        <v>12</v>
      </c>
      <c r="F81" s="4" t="s">
        <v>153</v>
      </c>
      <c r="G81" s="4" t="s">
        <v>205</v>
      </c>
      <c r="H81" s="4" t="s">
        <v>21</v>
      </c>
      <c r="I81" s="4" t="s">
        <v>155</v>
      </c>
      <c r="J81" s="4" t="s">
        <v>156</v>
      </c>
      <c r="K81" s="4" t="s">
        <v>30</v>
      </c>
      <c r="L81" s="4" t="s">
        <v>3743</v>
      </c>
      <c r="M81" s="4" t="s">
        <v>3746</v>
      </c>
      <c r="N81" s="4" t="s">
        <v>3747</v>
      </c>
      <c r="O81" s="17">
        <f>INDEX('список ID из СУЭ с должностями'!$A:$F,MATCH(E81,'список ID из СУЭ с должностями'!$B:$B,0),5)</f>
        <v>0</v>
      </c>
    </row>
    <row r="82" spans="1:15" ht="75">
      <c r="A82" s="3" t="s">
        <v>10</v>
      </c>
      <c r="B82" s="3" t="s">
        <v>11</v>
      </c>
      <c r="C82" s="4">
        <v>2026</v>
      </c>
      <c r="D82" s="5" t="s">
        <v>12</v>
      </c>
      <c r="E82" s="4">
        <v>12</v>
      </c>
      <c r="F82" s="4" t="s">
        <v>153</v>
      </c>
      <c r="G82" s="4" t="s">
        <v>205</v>
      </c>
      <c r="H82" s="4" t="s">
        <v>15</v>
      </c>
      <c r="I82" s="4" t="s">
        <v>159</v>
      </c>
      <c r="J82" s="4" t="s">
        <v>208</v>
      </c>
      <c r="K82" s="4" t="s">
        <v>20</v>
      </c>
      <c r="L82" s="4" t="s">
        <v>3743</v>
      </c>
      <c r="M82" s="4" t="s">
        <v>3746</v>
      </c>
      <c r="N82" s="4" t="s">
        <v>3747</v>
      </c>
      <c r="O82" s="17">
        <f>INDEX('список ID из СУЭ с должностями'!$A:$F,MATCH(E82,'список ID из СУЭ с должностями'!$B:$B,0),5)</f>
        <v>0</v>
      </c>
    </row>
    <row r="83" spans="1:15" ht="60">
      <c r="A83" s="3" t="s">
        <v>10</v>
      </c>
      <c r="B83" s="3" t="s">
        <v>11</v>
      </c>
      <c r="C83" s="4">
        <v>2026</v>
      </c>
      <c r="D83" s="5" t="s">
        <v>12</v>
      </c>
      <c r="E83" s="4">
        <v>12</v>
      </c>
      <c r="F83" s="4" t="s">
        <v>153</v>
      </c>
      <c r="G83" s="4" t="s">
        <v>205</v>
      </c>
      <c r="H83" s="4" t="s">
        <v>15</v>
      </c>
      <c r="I83" s="4" t="s">
        <v>161</v>
      </c>
      <c r="J83" s="4" t="s">
        <v>162</v>
      </c>
      <c r="K83" s="4" t="s">
        <v>151</v>
      </c>
      <c r="L83" s="4" t="s">
        <v>3743</v>
      </c>
      <c r="M83" s="4" t="s">
        <v>3746</v>
      </c>
      <c r="N83" s="4" t="s">
        <v>3747</v>
      </c>
      <c r="O83" s="17">
        <f>INDEX('список ID из СУЭ с должностями'!$A:$F,MATCH(E83,'список ID из СУЭ с должностями'!$B:$B,0),5)</f>
        <v>0</v>
      </c>
    </row>
    <row r="84" spans="1:15" ht="60">
      <c r="A84" s="3" t="s">
        <v>10</v>
      </c>
      <c r="B84" s="3" t="s">
        <v>11</v>
      </c>
      <c r="C84" s="4">
        <v>2026</v>
      </c>
      <c r="D84" s="5" t="s">
        <v>12</v>
      </c>
      <c r="E84" s="4">
        <v>12</v>
      </c>
      <c r="F84" s="4" t="s">
        <v>153</v>
      </c>
      <c r="G84" s="4" t="s">
        <v>205</v>
      </c>
      <c r="H84" s="4" t="s">
        <v>41</v>
      </c>
      <c r="I84" s="4" t="s">
        <v>165</v>
      </c>
      <c r="J84" s="4" t="s">
        <v>166</v>
      </c>
      <c r="K84" s="4" t="s">
        <v>151</v>
      </c>
      <c r="L84" s="4" t="s">
        <v>3743</v>
      </c>
      <c r="M84" s="4" t="s">
        <v>3746</v>
      </c>
      <c r="N84" s="4" t="s">
        <v>3747</v>
      </c>
      <c r="O84" s="17">
        <f>INDEX('список ID из СУЭ с должностями'!$A:$F,MATCH(E84,'список ID из СУЭ с должностями'!$B:$B,0),5)</f>
        <v>0</v>
      </c>
    </row>
    <row r="85" spans="1:15" ht="90">
      <c r="A85" s="3" t="s">
        <v>10</v>
      </c>
      <c r="B85" s="3" t="s">
        <v>11</v>
      </c>
      <c r="C85" s="4">
        <v>2026</v>
      </c>
      <c r="D85" s="5" t="s">
        <v>12</v>
      </c>
      <c r="E85" s="4">
        <v>12</v>
      </c>
      <c r="F85" s="4" t="s">
        <v>153</v>
      </c>
      <c r="G85" s="4" t="s">
        <v>205</v>
      </c>
      <c r="H85" s="4" t="s">
        <v>15</v>
      </c>
      <c r="I85" s="4" t="s">
        <v>171</v>
      </c>
      <c r="J85" s="4" t="s">
        <v>172</v>
      </c>
      <c r="K85" s="4" t="s">
        <v>52</v>
      </c>
      <c r="L85" s="4" t="s">
        <v>3743</v>
      </c>
      <c r="M85" s="4" t="s">
        <v>3746</v>
      </c>
      <c r="N85" s="4" t="s">
        <v>3747</v>
      </c>
      <c r="O85" s="17">
        <f>INDEX('список ID из СУЭ с должностями'!$A:$F,MATCH(E85,'список ID из СУЭ с должностями'!$B:$B,0),5)</f>
        <v>0</v>
      </c>
    </row>
    <row r="86" spans="1:15" ht="135">
      <c r="A86" s="3" t="s">
        <v>10</v>
      </c>
      <c r="B86" s="3" t="s">
        <v>11</v>
      </c>
      <c r="C86" s="4">
        <v>2026</v>
      </c>
      <c r="D86" s="5" t="s">
        <v>12</v>
      </c>
      <c r="E86" s="4">
        <v>12</v>
      </c>
      <c r="F86" s="4" t="s">
        <v>153</v>
      </c>
      <c r="G86" s="4" t="s">
        <v>205</v>
      </c>
      <c r="H86" s="4" t="s">
        <v>15</v>
      </c>
      <c r="I86" s="4" t="s">
        <v>167</v>
      </c>
      <c r="J86" s="4" t="s">
        <v>209</v>
      </c>
      <c r="K86" s="4" t="s">
        <v>20</v>
      </c>
      <c r="L86" s="4" t="s">
        <v>3743</v>
      </c>
      <c r="M86" s="4" t="s">
        <v>3746</v>
      </c>
      <c r="N86" s="4" t="s">
        <v>3747</v>
      </c>
      <c r="O86" s="17">
        <f>INDEX('список ID из СУЭ с должностями'!$A:$F,MATCH(E86,'список ID из СУЭ с должностями'!$B:$B,0),5)</f>
        <v>0</v>
      </c>
    </row>
    <row r="87" spans="1:15" ht="60">
      <c r="A87" s="3" t="s">
        <v>10</v>
      </c>
      <c r="B87" s="3" t="s">
        <v>11</v>
      </c>
      <c r="C87" s="4">
        <v>2026</v>
      </c>
      <c r="D87" s="5" t="s">
        <v>12</v>
      </c>
      <c r="E87" s="4">
        <v>12</v>
      </c>
      <c r="F87" s="4" t="s">
        <v>153</v>
      </c>
      <c r="G87" s="4" t="s">
        <v>205</v>
      </c>
      <c r="H87" s="4" t="s">
        <v>15</v>
      </c>
      <c r="I87" s="4" t="s">
        <v>210</v>
      </c>
      <c r="J87" s="4" t="s">
        <v>211</v>
      </c>
      <c r="K87" s="4" t="s">
        <v>55</v>
      </c>
      <c r="L87" s="4" t="s">
        <v>3743</v>
      </c>
      <c r="M87" s="4" t="s">
        <v>3746</v>
      </c>
      <c r="N87" s="4" t="s">
        <v>3747</v>
      </c>
      <c r="O87" s="17">
        <f>INDEX('список ID из СУЭ с должностями'!$A:$F,MATCH(E87,'список ID из СУЭ с должностями'!$B:$B,0),5)</f>
        <v>0</v>
      </c>
    </row>
    <row r="88" spans="1:15" ht="60">
      <c r="A88" s="3" t="s">
        <v>10</v>
      </c>
      <c r="B88" s="3" t="s">
        <v>11</v>
      </c>
      <c r="C88" s="4">
        <v>2026</v>
      </c>
      <c r="D88" s="5" t="s">
        <v>12</v>
      </c>
      <c r="E88" s="4">
        <v>12</v>
      </c>
      <c r="F88" s="4" t="s">
        <v>153</v>
      </c>
      <c r="G88" s="4" t="s">
        <v>205</v>
      </c>
      <c r="H88" s="4" t="s">
        <v>15</v>
      </c>
      <c r="I88" s="4" t="s">
        <v>169</v>
      </c>
      <c r="J88" s="4" t="s">
        <v>170</v>
      </c>
      <c r="K88" s="4" t="s">
        <v>151</v>
      </c>
      <c r="L88" s="4" t="s">
        <v>3743</v>
      </c>
      <c r="M88" s="4" t="s">
        <v>3746</v>
      </c>
      <c r="N88" s="4" t="s">
        <v>3747</v>
      </c>
      <c r="O88" s="17">
        <f>INDEX('список ID из СУЭ с должностями'!$A:$F,MATCH(E88,'список ID из СУЭ с должностями'!$B:$B,0),5)</f>
        <v>0</v>
      </c>
    </row>
    <row r="89" spans="1:15" ht="60">
      <c r="A89" s="3" t="s">
        <v>10</v>
      </c>
      <c r="B89" s="3" t="s">
        <v>11</v>
      </c>
      <c r="C89" s="4">
        <v>2026</v>
      </c>
      <c r="D89" s="5" t="s">
        <v>12</v>
      </c>
      <c r="E89" s="4">
        <v>13</v>
      </c>
      <c r="F89" s="4" t="s">
        <v>153</v>
      </c>
      <c r="G89" s="4" t="s">
        <v>212</v>
      </c>
      <c r="H89" s="4" t="s">
        <v>15</v>
      </c>
      <c r="I89" s="4" t="s">
        <v>175</v>
      </c>
      <c r="J89" s="4" t="s">
        <v>207</v>
      </c>
      <c r="K89" s="4" t="s">
        <v>38</v>
      </c>
      <c r="L89" s="4" t="s">
        <v>3743</v>
      </c>
      <c r="M89" s="4" t="s">
        <v>3746</v>
      </c>
      <c r="N89" s="4" t="s">
        <v>3747</v>
      </c>
      <c r="O89" s="17">
        <f>INDEX('список ID из СУЭ с должностями'!$A:$F,MATCH(E89,'список ID из СУЭ с должностями'!$B:$B,0),5)</f>
        <v>0</v>
      </c>
    </row>
    <row r="90" spans="1:15" ht="90">
      <c r="A90" s="3" t="s">
        <v>10</v>
      </c>
      <c r="B90" s="3" t="s">
        <v>11</v>
      </c>
      <c r="C90" s="4">
        <v>2026</v>
      </c>
      <c r="D90" s="5" t="s">
        <v>12</v>
      </c>
      <c r="E90" s="4">
        <v>13</v>
      </c>
      <c r="F90" s="4" t="s">
        <v>153</v>
      </c>
      <c r="G90" s="4" t="s">
        <v>212</v>
      </c>
      <c r="H90" s="4" t="s">
        <v>15</v>
      </c>
      <c r="I90" s="4" t="s">
        <v>155</v>
      </c>
      <c r="J90" s="4" t="s">
        <v>156</v>
      </c>
      <c r="K90" s="4" t="s">
        <v>30</v>
      </c>
      <c r="L90" s="4" t="s">
        <v>3743</v>
      </c>
      <c r="M90" s="4" t="s">
        <v>3746</v>
      </c>
      <c r="N90" s="4" t="s">
        <v>3747</v>
      </c>
      <c r="O90" s="17">
        <f>INDEX('список ID из СУЭ с должностями'!$A:$F,MATCH(E90,'список ID из СУЭ с должностями'!$B:$B,0),5)</f>
        <v>0</v>
      </c>
    </row>
    <row r="91" spans="1:15" ht="90">
      <c r="A91" s="3" t="s">
        <v>10</v>
      </c>
      <c r="B91" s="3" t="s">
        <v>11</v>
      </c>
      <c r="C91" s="4">
        <v>2026</v>
      </c>
      <c r="D91" s="5" t="s">
        <v>12</v>
      </c>
      <c r="E91" s="4">
        <v>13</v>
      </c>
      <c r="F91" s="4" t="s">
        <v>153</v>
      </c>
      <c r="G91" s="4" t="s">
        <v>212</v>
      </c>
      <c r="H91" s="4" t="s">
        <v>15</v>
      </c>
      <c r="I91" s="4" t="s">
        <v>159</v>
      </c>
      <c r="J91" s="4" t="s">
        <v>213</v>
      </c>
      <c r="K91" s="4" t="s">
        <v>20</v>
      </c>
      <c r="L91" s="4" t="s">
        <v>3743</v>
      </c>
      <c r="M91" s="4" t="s">
        <v>3746</v>
      </c>
      <c r="N91" s="4" t="s">
        <v>3747</v>
      </c>
      <c r="O91" s="17">
        <f>INDEX('список ID из СУЭ с должностями'!$A:$F,MATCH(E91,'список ID из СУЭ с должностями'!$B:$B,0),5)</f>
        <v>0</v>
      </c>
    </row>
    <row r="92" spans="1:15" ht="60">
      <c r="A92" s="3" t="s">
        <v>10</v>
      </c>
      <c r="B92" s="3" t="s">
        <v>11</v>
      </c>
      <c r="C92" s="4">
        <v>2026</v>
      </c>
      <c r="D92" s="5" t="s">
        <v>12</v>
      </c>
      <c r="E92" s="4">
        <v>13</v>
      </c>
      <c r="F92" s="4" t="s">
        <v>153</v>
      </c>
      <c r="G92" s="4" t="s">
        <v>212</v>
      </c>
      <c r="H92" s="4" t="s">
        <v>15</v>
      </c>
      <c r="I92" s="4" t="s">
        <v>161</v>
      </c>
      <c r="J92" s="4" t="s">
        <v>162</v>
      </c>
      <c r="K92" s="4" t="s">
        <v>151</v>
      </c>
      <c r="L92" s="4" t="s">
        <v>3743</v>
      </c>
      <c r="M92" s="4" t="s">
        <v>3746</v>
      </c>
      <c r="N92" s="4" t="s">
        <v>3747</v>
      </c>
      <c r="O92" s="17">
        <f>INDEX('список ID из СУЭ с должностями'!$A:$F,MATCH(E92,'список ID из СУЭ с должностями'!$B:$B,0),5)</f>
        <v>0</v>
      </c>
    </row>
    <row r="93" spans="1:15" ht="60">
      <c r="A93" s="3" t="s">
        <v>10</v>
      </c>
      <c r="B93" s="3" t="s">
        <v>11</v>
      </c>
      <c r="C93" s="4">
        <v>2026</v>
      </c>
      <c r="D93" s="5" t="s">
        <v>12</v>
      </c>
      <c r="E93" s="4">
        <v>13</v>
      </c>
      <c r="F93" s="4" t="s">
        <v>153</v>
      </c>
      <c r="G93" s="4" t="s">
        <v>212</v>
      </c>
      <c r="H93" s="4" t="s">
        <v>41</v>
      </c>
      <c r="I93" s="4" t="s">
        <v>165</v>
      </c>
      <c r="J93" s="4" t="s">
        <v>166</v>
      </c>
      <c r="K93" s="4" t="s">
        <v>151</v>
      </c>
      <c r="L93" s="4" t="s">
        <v>3743</v>
      </c>
      <c r="M93" s="4" t="s">
        <v>3746</v>
      </c>
      <c r="N93" s="4" t="s">
        <v>3747</v>
      </c>
      <c r="O93" s="17">
        <f>INDEX('список ID из СУЭ с должностями'!$A:$F,MATCH(E93,'список ID из СУЭ с должностями'!$B:$B,0),5)</f>
        <v>0</v>
      </c>
    </row>
    <row r="94" spans="1:15" ht="90">
      <c r="A94" s="3" t="s">
        <v>10</v>
      </c>
      <c r="B94" s="3" t="s">
        <v>11</v>
      </c>
      <c r="C94" s="4">
        <v>2026</v>
      </c>
      <c r="D94" s="5" t="s">
        <v>12</v>
      </c>
      <c r="E94" s="4">
        <v>13</v>
      </c>
      <c r="F94" s="4" t="s">
        <v>153</v>
      </c>
      <c r="G94" s="4" t="s">
        <v>212</v>
      </c>
      <c r="H94" s="4" t="s">
        <v>21</v>
      </c>
      <c r="I94" s="4" t="s">
        <v>171</v>
      </c>
      <c r="J94" s="4" t="s">
        <v>172</v>
      </c>
      <c r="K94" s="4" t="s">
        <v>151</v>
      </c>
      <c r="L94" s="4" t="s">
        <v>3743</v>
      </c>
      <c r="M94" s="4" t="s">
        <v>3746</v>
      </c>
      <c r="N94" s="4" t="s">
        <v>3747</v>
      </c>
      <c r="O94" s="17">
        <f>INDEX('список ID из СУЭ с должностями'!$A:$F,MATCH(E94,'список ID из СУЭ с должностями'!$B:$B,0),5)</f>
        <v>0</v>
      </c>
    </row>
    <row r="95" spans="1:15" ht="135">
      <c r="A95" s="3" t="s">
        <v>10</v>
      </c>
      <c r="B95" s="3" t="s">
        <v>11</v>
      </c>
      <c r="C95" s="4">
        <v>2026</v>
      </c>
      <c r="D95" s="5" t="s">
        <v>12</v>
      </c>
      <c r="E95" s="4">
        <v>13</v>
      </c>
      <c r="F95" s="4" t="s">
        <v>153</v>
      </c>
      <c r="G95" s="4" t="s">
        <v>212</v>
      </c>
      <c r="H95" s="4" t="s">
        <v>15</v>
      </c>
      <c r="I95" s="4" t="s">
        <v>167</v>
      </c>
      <c r="J95" s="4" t="s">
        <v>214</v>
      </c>
      <c r="K95" s="4" t="s">
        <v>20</v>
      </c>
      <c r="L95" s="4" t="s">
        <v>3743</v>
      </c>
      <c r="M95" s="4" t="s">
        <v>3746</v>
      </c>
      <c r="N95" s="4" t="s">
        <v>3747</v>
      </c>
      <c r="O95" s="17">
        <f>INDEX('список ID из СУЭ с должностями'!$A:$F,MATCH(E95,'список ID из СУЭ с должностями'!$B:$B,0),5)</f>
        <v>0</v>
      </c>
    </row>
    <row r="96" spans="1:15" ht="60">
      <c r="A96" s="3" t="s">
        <v>10</v>
      </c>
      <c r="B96" s="3" t="s">
        <v>11</v>
      </c>
      <c r="C96" s="4">
        <v>2026</v>
      </c>
      <c r="D96" s="5" t="s">
        <v>12</v>
      </c>
      <c r="E96" s="4">
        <v>13</v>
      </c>
      <c r="F96" s="4" t="s">
        <v>153</v>
      </c>
      <c r="G96" s="4" t="s">
        <v>212</v>
      </c>
      <c r="H96" s="4" t="s">
        <v>15</v>
      </c>
      <c r="I96" s="4" t="s">
        <v>215</v>
      </c>
      <c r="J96" s="4" t="s">
        <v>211</v>
      </c>
      <c r="K96" s="4" t="s">
        <v>151</v>
      </c>
      <c r="L96" s="4" t="s">
        <v>3743</v>
      </c>
      <c r="M96" s="4" t="s">
        <v>3746</v>
      </c>
      <c r="N96" s="4" t="s">
        <v>3747</v>
      </c>
      <c r="O96" s="17">
        <f>INDEX('список ID из СУЭ с должностями'!$A:$F,MATCH(E96,'список ID из СУЭ с должностями'!$B:$B,0),5)</f>
        <v>0</v>
      </c>
    </row>
    <row r="97" spans="1:15" ht="60">
      <c r="A97" s="3" t="s">
        <v>10</v>
      </c>
      <c r="B97" s="3" t="s">
        <v>11</v>
      </c>
      <c r="C97" s="4">
        <v>2026</v>
      </c>
      <c r="D97" s="5" t="s">
        <v>12</v>
      </c>
      <c r="E97" s="4">
        <v>13</v>
      </c>
      <c r="F97" s="4" t="s">
        <v>153</v>
      </c>
      <c r="G97" s="4" t="s">
        <v>212</v>
      </c>
      <c r="H97" s="4" t="s">
        <v>15</v>
      </c>
      <c r="I97" s="4" t="s">
        <v>163</v>
      </c>
      <c r="J97" s="4" t="s">
        <v>206</v>
      </c>
      <c r="K97" s="4" t="s">
        <v>38</v>
      </c>
      <c r="L97" s="4" t="s">
        <v>3742</v>
      </c>
      <c r="M97" s="4" t="s">
        <v>3746</v>
      </c>
      <c r="N97" s="4" t="s">
        <v>3747</v>
      </c>
      <c r="O97" s="17">
        <f>INDEX('список ID из СУЭ с должностями'!$A:$F,MATCH(E97,'список ID из СУЭ с должностями'!$B:$B,0),5)</f>
        <v>0</v>
      </c>
    </row>
    <row r="98" spans="1:15" ht="60">
      <c r="A98" s="3" t="s">
        <v>10</v>
      </c>
      <c r="B98" s="3" t="s">
        <v>11</v>
      </c>
      <c r="C98" s="4">
        <v>2026</v>
      </c>
      <c r="D98" s="5" t="s">
        <v>12</v>
      </c>
      <c r="E98" s="4">
        <v>13</v>
      </c>
      <c r="F98" s="4" t="s">
        <v>153</v>
      </c>
      <c r="G98" s="4" t="s">
        <v>212</v>
      </c>
      <c r="H98" s="4" t="s">
        <v>15</v>
      </c>
      <c r="I98" s="4" t="s">
        <v>216</v>
      </c>
      <c r="J98" s="4" t="s">
        <v>170</v>
      </c>
      <c r="K98" s="4" t="s">
        <v>55</v>
      </c>
      <c r="L98" s="4" t="s">
        <v>3743</v>
      </c>
      <c r="M98" s="4" t="s">
        <v>3746</v>
      </c>
      <c r="N98" s="4" t="s">
        <v>3747</v>
      </c>
      <c r="O98" s="17">
        <f>INDEX('список ID из СУЭ с должностями'!$A:$F,MATCH(E98,'список ID из СУЭ с должностями'!$B:$B,0),5)</f>
        <v>0</v>
      </c>
    </row>
    <row r="99" spans="1:15" ht="60">
      <c r="A99" s="3" t="s">
        <v>10</v>
      </c>
      <c r="B99" s="3" t="s">
        <v>11</v>
      </c>
      <c r="C99" s="4">
        <v>2026</v>
      </c>
      <c r="D99" s="5" t="s">
        <v>12</v>
      </c>
      <c r="E99" s="4">
        <v>14</v>
      </c>
      <c r="F99" s="4" t="s">
        <v>217</v>
      </c>
      <c r="G99" s="4" t="s">
        <v>158</v>
      </c>
      <c r="H99" s="4" t="s">
        <v>41</v>
      </c>
      <c r="I99" s="4" t="s">
        <v>218</v>
      </c>
      <c r="J99" s="4" t="s">
        <v>219</v>
      </c>
      <c r="K99" s="4" t="s">
        <v>220</v>
      </c>
      <c r="L99" s="4" t="s">
        <v>3743</v>
      </c>
      <c r="M99" s="4" t="s">
        <v>3753</v>
      </c>
      <c r="N99" s="4" t="s">
        <v>3747</v>
      </c>
      <c r="O99" s="17">
        <f>INDEX('список ID из СУЭ с должностями'!$A:$F,MATCH(E99,'список ID из СУЭ с должностями'!$B:$B,0),5)</f>
        <v>0</v>
      </c>
    </row>
    <row r="100" spans="1:15" ht="75">
      <c r="A100" s="3" t="s">
        <v>10</v>
      </c>
      <c r="B100" s="3" t="s">
        <v>11</v>
      </c>
      <c r="C100" s="4">
        <v>2026</v>
      </c>
      <c r="D100" s="5" t="s">
        <v>12</v>
      </c>
      <c r="E100" s="4">
        <v>14</v>
      </c>
      <c r="F100" s="4" t="s">
        <v>217</v>
      </c>
      <c r="G100" s="4" t="s">
        <v>158</v>
      </c>
      <c r="H100" s="4" t="s">
        <v>21</v>
      </c>
      <c r="I100" s="4" t="s">
        <v>221</v>
      </c>
      <c r="J100" s="4" t="s">
        <v>222</v>
      </c>
      <c r="K100" s="4" t="s">
        <v>52</v>
      </c>
      <c r="L100" s="4" t="s">
        <v>3743</v>
      </c>
      <c r="M100" s="4" t="s">
        <v>3746</v>
      </c>
      <c r="N100" s="4" t="s">
        <v>3747</v>
      </c>
      <c r="O100" s="17">
        <f>INDEX('список ID из СУЭ с должностями'!$A:$F,MATCH(E100,'список ID из СУЭ с должностями'!$B:$B,0),5)</f>
        <v>0</v>
      </c>
    </row>
    <row r="101" spans="1:15" ht="60">
      <c r="A101" s="3" t="s">
        <v>10</v>
      </c>
      <c r="B101" s="3" t="s">
        <v>11</v>
      </c>
      <c r="C101" s="4">
        <v>2026</v>
      </c>
      <c r="D101" s="5" t="s">
        <v>12</v>
      </c>
      <c r="E101" s="4">
        <v>14</v>
      </c>
      <c r="F101" s="4" t="s">
        <v>217</v>
      </c>
      <c r="G101" s="4" t="s">
        <v>158</v>
      </c>
      <c r="H101" s="4" t="s">
        <v>15</v>
      </c>
      <c r="I101" s="4" t="s">
        <v>223</v>
      </c>
      <c r="J101" s="4" t="s">
        <v>224</v>
      </c>
      <c r="K101" s="4" t="s">
        <v>25</v>
      </c>
      <c r="L101" s="4" t="s">
        <v>3743</v>
      </c>
      <c r="M101" s="4" t="s">
        <v>3746</v>
      </c>
      <c r="N101" s="4" t="s">
        <v>3747</v>
      </c>
      <c r="O101" s="17">
        <f>INDEX('список ID из СУЭ с должностями'!$A:$F,MATCH(E101,'список ID из СУЭ с должностями'!$B:$B,0),5)</f>
        <v>0</v>
      </c>
    </row>
    <row r="102" spans="1:15" ht="180">
      <c r="A102" s="3" t="s">
        <v>10</v>
      </c>
      <c r="B102" s="3" t="s">
        <v>11</v>
      </c>
      <c r="C102" s="4">
        <v>2026</v>
      </c>
      <c r="D102" s="5" t="s">
        <v>12</v>
      </c>
      <c r="E102" s="4">
        <v>14</v>
      </c>
      <c r="F102" s="4" t="s">
        <v>217</v>
      </c>
      <c r="G102" s="4" t="s">
        <v>158</v>
      </c>
      <c r="H102" s="4" t="s">
        <v>21</v>
      </c>
      <c r="I102" s="4" t="s">
        <v>221</v>
      </c>
      <c r="J102" s="4" t="s">
        <v>225</v>
      </c>
      <c r="K102" s="4" t="s">
        <v>52</v>
      </c>
      <c r="L102" s="4" t="s">
        <v>3743</v>
      </c>
      <c r="M102" s="4" t="s">
        <v>3746</v>
      </c>
      <c r="N102" s="4" t="s">
        <v>3747</v>
      </c>
      <c r="O102" s="17">
        <f>INDEX('список ID из СУЭ с должностями'!$A:$F,MATCH(E102,'список ID из СУЭ с должностями'!$B:$B,0),5)</f>
        <v>0</v>
      </c>
    </row>
    <row r="103" spans="1:15" ht="60">
      <c r="A103" s="3" t="s">
        <v>10</v>
      </c>
      <c r="B103" s="3" t="s">
        <v>11</v>
      </c>
      <c r="C103" s="4">
        <v>2026</v>
      </c>
      <c r="D103" s="5" t="s">
        <v>12</v>
      </c>
      <c r="E103" s="4">
        <v>14</v>
      </c>
      <c r="F103" s="4" t="s">
        <v>217</v>
      </c>
      <c r="G103" s="4" t="s">
        <v>158</v>
      </c>
      <c r="H103" s="4" t="s">
        <v>15</v>
      </c>
      <c r="I103" s="4" t="s">
        <v>226</v>
      </c>
      <c r="J103" s="4" t="s">
        <v>227</v>
      </c>
      <c r="K103" s="4" t="s">
        <v>25</v>
      </c>
      <c r="L103" s="4" t="s">
        <v>3743</v>
      </c>
      <c r="M103" s="4" t="s">
        <v>3746</v>
      </c>
      <c r="N103" s="4" t="s">
        <v>3747</v>
      </c>
      <c r="O103" s="17">
        <f>INDEX('список ID из СУЭ с должностями'!$A:$F,MATCH(E103,'список ID из СУЭ с должностями'!$B:$B,0),5)</f>
        <v>0</v>
      </c>
    </row>
    <row r="104" spans="1:15" ht="90">
      <c r="A104" s="3" t="s">
        <v>10</v>
      </c>
      <c r="B104" s="3" t="s">
        <v>11</v>
      </c>
      <c r="C104" s="4">
        <v>2026</v>
      </c>
      <c r="D104" s="5" t="s">
        <v>12</v>
      </c>
      <c r="E104" s="4">
        <v>14</v>
      </c>
      <c r="F104" s="4" t="s">
        <v>217</v>
      </c>
      <c r="G104" s="4" t="s">
        <v>158</v>
      </c>
      <c r="H104" s="4" t="s">
        <v>15</v>
      </c>
      <c r="I104" s="4" t="s">
        <v>228</v>
      </c>
      <c r="J104" s="4" t="s">
        <v>229</v>
      </c>
      <c r="K104" s="4" t="s">
        <v>230</v>
      </c>
      <c r="L104" s="4" t="s">
        <v>3743</v>
      </c>
      <c r="M104" s="4" t="s">
        <v>3746</v>
      </c>
      <c r="N104" s="4" t="s">
        <v>3754</v>
      </c>
      <c r="O104" s="17">
        <f>INDEX('список ID из СУЭ с должностями'!$A:$F,MATCH(E104,'список ID из СУЭ с должностями'!$B:$B,0),5)</f>
        <v>0</v>
      </c>
    </row>
    <row r="105" spans="1:15" ht="60">
      <c r="A105" s="3" t="s">
        <v>10</v>
      </c>
      <c r="B105" s="3" t="s">
        <v>11</v>
      </c>
      <c r="C105" s="4">
        <v>2026</v>
      </c>
      <c r="D105" s="5" t="s">
        <v>12</v>
      </c>
      <c r="E105" s="4">
        <v>14</v>
      </c>
      <c r="F105" s="4" t="s">
        <v>217</v>
      </c>
      <c r="G105" s="4" t="s">
        <v>158</v>
      </c>
      <c r="H105" s="4" t="s">
        <v>21</v>
      </c>
      <c r="I105" s="4" t="s">
        <v>231</v>
      </c>
      <c r="J105" s="4" t="s">
        <v>232</v>
      </c>
      <c r="K105" s="4" t="s">
        <v>38</v>
      </c>
      <c r="L105" s="4" t="s">
        <v>3743</v>
      </c>
      <c r="M105" s="4" t="s">
        <v>3746</v>
      </c>
      <c r="N105" s="4" t="s">
        <v>3747</v>
      </c>
      <c r="O105" s="17">
        <f>INDEX('список ID из СУЭ с должностями'!$A:$F,MATCH(E105,'список ID из СУЭ с должностями'!$B:$B,0),5)</f>
        <v>0</v>
      </c>
    </row>
    <row r="106" spans="1:15" ht="60">
      <c r="A106" s="3" t="s">
        <v>10</v>
      </c>
      <c r="B106" s="3" t="s">
        <v>11</v>
      </c>
      <c r="C106" s="4">
        <v>2026</v>
      </c>
      <c r="D106" s="5" t="s">
        <v>12</v>
      </c>
      <c r="E106" s="4">
        <v>14</v>
      </c>
      <c r="F106" s="4" t="s">
        <v>217</v>
      </c>
      <c r="G106" s="4" t="s">
        <v>158</v>
      </c>
      <c r="H106" s="4" t="s">
        <v>15</v>
      </c>
      <c r="I106" s="4" t="s">
        <v>233</v>
      </c>
      <c r="J106" s="4" t="s">
        <v>234</v>
      </c>
      <c r="K106" s="4" t="s">
        <v>35</v>
      </c>
      <c r="L106" s="4" t="s">
        <v>3743</v>
      </c>
      <c r="M106" s="4" t="s">
        <v>3746</v>
      </c>
      <c r="N106" s="4" t="s">
        <v>3747</v>
      </c>
      <c r="O106" s="17">
        <f>INDEX('список ID из СУЭ с должностями'!$A:$F,MATCH(E106,'список ID из СУЭ с должностями'!$B:$B,0),5)</f>
        <v>0</v>
      </c>
    </row>
    <row r="107" spans="1:15" ht="45">
      <c r="A107" s="3" t="s">
        <v>10</v>
      </c>
      <c r="B107" s="3" t="s">
        <v>11</v>
      </c>
      <c r="C107" s="4">
        <v>2026</v>
      </c>
      <c r="D107" s="5" t="s">
        <v>12</v>
      </c>
      <c r="E107" s="4">
        <v>14</v>
      </c>
      <c r="F107" s="4" t="s">
        <v>217</v>
      </c>
      <c r="G107" s="4" t="s">
        <v>158</v>
      </c>
      <c r="H107" s="4" t="s">
        <v>21</v>
      </c>
      <c r="I107" s="4" t="s">
        <v>235</v>
      </c>
      <c r="J107" s="4" t="s">
        <v>236</v>
      </c>
      <c r="K107" s="4" t="s">
        <v>52</v>
      </c>
      <c r="L107" s="4" t="s">
        <v>3743</v>
      </c>
      <c r="M107" s="4" t="s">
        <v>3746</v>
      </c>
      <c r="N107" s="4" t="s">
        <v>3747</v>
      </c>
      <c r="O107" s="17">
        <f>INDEX('список ID из СУЭ с должностями'!$A:$F,MATCH(E107,'список ID из СУЭ с должностями'!$B:$B,0),5)</f>
        <v>0</v>
      </c>
    </row>
    <row r="108" spans="1:15" ht="180">
      <c r="A108" s="3" t="s">
        <v>10</v>
      </c>
      <c r="B108" s="3" t="s">
        <v>11</v>
      </c>
      <c r="C108" s="4">
        <v>2026</v>
      </c>
      <c r="D108" s="5" t="s">
        <v>12</v>
      </c>
      <c r="E108" s="4">
        <v>14</v>
      </c>
      <c r="F108" s="4" t="s">
        <v>217</v>
      </c>
      <c r="G108" s="4" t="s">
        <v>158</v>
      </c>
      <c r="H108" s="4" t="s">
        <v>21</v>
      </c>
      <c r="I108" s="4" t="s">
        <v>237</v>
      </c>
      <c r="J108" s="4" t="s">
        <v>238</v>
      </c>
      <c r="K108" s="4" t="s">
        <v>151</v>
      </c>
      <c r="L108" s="4" t="s">
        <v>3743</v>
      </c>
      <c r="M108" s="4" t="s">
        <v>3746</v>
      </c>
      <c r="N108" s="4" t="s">
        <v>3747</v>
      </c>
      <c r="O108" s="17">
        <f>INDEX('список ID из СУЭ с должностями'!$A:$F,MATCH(E108,'список ID из СУЭ с должностями'!$B:$B,0),5)</f>
        <v>0</v>
      </c>
    </row>
    <row r="109" spans="1:15" ht="165">
      <c r="A109" s="3" t="s">
        <v>10</v>
      </c>
      <c r="B109" s="3" t="s">
        <v>11</v>
      </c>
      <c r="C109" s="4">
        <v>2026</v>
      </c>
      <c r="D109" s="5" t="s">
        <v>12</v>
      </c>
      <c r="E109" s="4">
        <v>15</v>
      </c>
      <c r="F109" s="4" t="s">
        <v>239</v>
      </c>
      <c r="G109" s="4" t="s">
        <v>240</v>
      </c>
      <c r="H109" s="4" t="s">
        <v>15</v>
      </c>
      <c r="I109" s="4" t="s">
        <v>201</v>
      </c>
      <c r="J109" s="4" t="s">
        <v>202</v>
      </c>
      <c r="K109" s="4" t="s">
        <v>188</v>
      </c>
      <c r="L109" s="4" t="s">
        <v>3743</v>
      </c>
      <c r="M109" s="4" t="s">
        <v>3746</v>
      </c>
      <c r="N109" s="4" t="s">
        <v>3747</v>
      </c>
      <c r="O109" s="17" t="str">
        <f>INDEX('список ID из СУЭ с должностями'!$A:$F,MATCH(E109,'список ID из СУЭ с должностями'!$B:$B,0),5)</f>
        <v>ИПП</v>
      </c>
    </row>
    <row r="110" spans="1:15" ht="75">
      <c r="A110" s="3" t="s">
        <v>10</v>
      </c>
      <c r="B110" s="3" t="s">
        <v>11</v>
      </c>
      <c r="C110" s="4">
        <v>2026</v>
      </c>
      <c r="D110" s="5" t="s">
        <v>12</v>
      </c>
      <c r="E110" s="4">
        <v>15</v>
      </c>
      <c r="F110" s="4" t="s">
        <v>239</v>
      </c>
      <c r="G110" s="4" t="s">
        <v>240</v>
      </c>
      <c r="H110" s="4" t="s">
        <v>15</v>
      </c>
      <c r="I110" s="4" t="s">
        <v>242</v>
      </c>
      <c r="J110" s="4" t="s">
        <v>200</v>
      </c>
      <c r="K110" s="4" t="s">
        <v>66</v>
      </c>
      <c r="L110" s="4" t="s">
        <v>3742</v>
      </c>
      <c r="M110" s="4" t="s">
        <v>3746</v>
      </c>
      <c r="N110" s="4" t="s">
        <v>3747</v>
      </c>
      <c r="O110" s="17" t="str">
        <f>INDEX('список ID из СУЭ с должностями'!$A:$F,MATCH(E110,'список ID из СУЭ с должностями'!$B:$B,0),5)</f>
        <v>ИПП</v>
      </c>
    </row>
    <row r="111" spans="1:15" ht="75">
      <c r="A111" s="3" t="s">
        <v>10</v>
      </c>
      <c r="B111" s="3" t="s">
        <v>11</v>
      </c>
      <c r="C111" s="4">
        <v>2026</v>
      </c>
      <c r="D111" s="5" t="s">
        <v>12</v>
      </c>
      <c r="E111" s="4">
        <v>15</v>
      </c>
      <c r="F111" s="4" t="s">
        <v>239</v>
      </c>
      <c r="G111" s="4" t="s">
        <v>240</v>
      </c>
      <c r="H111" s="4" t="s">
        <v>15</v>
      </c>
      <c r="I111" s="4" t="s">
        <v>48</v>
      </c>
      <c r="J111" s="4" t="s">
        <v>187</v>
      </c>
      <c r="K111" s="4" t="s">
        <v>35</v>
      </c>
      <c r="L111" s="4" t="s">
        <v>3743</v>
      </c>
      <c r="M111" s="4" t="s">
        <v>3746</v>
      </c>
      <c r="N111" s="4" t="s">
        <v>3747</v>
      </c>
      <c r="O111" s="17" t="str">
        <f>INDEX('список ID из СУЭ с должностями'!$A:$F,MATCH(E111,'список ID из СУЭ с должностями'!$B:$B,0),5)</f>
        <v>ИПП</v>
      </c>
    </row>
    <row r="112" spans="1:15" ht="75">
      <c r="A112" s="3" t="s">
        <v>10</v>
      </c>
      <c r="B112" s="3" t="s">
        <v>11</v>
      </c>
      <c r="C112" s="4">
        <v>2026</v>
      </c>
      <c r="D112" s="5" t="s">
        <v>12</v>
      </c>
      <c r="E112" s="4">
        <v>15</v>
      </c>
      <c r="F112" s="4" t="s">
        <v>239</v>
      </c>
      <c r="G112" s="4" t="s">
        <v>240</v>
      </c>
      <c r="H112" s="4" t="s">
        <v>15</v>
      </c>
      <c r="I112" s="4" t="s">
        <v>243</v>
      </c>
      <c r="J112" s="4" t="s">
        <v>132</v>
      </c>
      <c r="K112" s="4" t="s">
        <v>38</v>
      </c>
      <c r="L112" s="4" t="s">
        <v>3742</v>
      </c>
      <c r="M112" s="4" t="s">
        <v>3746</v>
      </c>
      <c r="N112" s="4" t="s">
        <v>3747</v>
      </c>
      <c r="O112" s="17" t="str">
        <f>INDEX('список ID из СУЭ с должностями'!$A:$F,MATCH(E112,'список ID из СУЭ с должностями'!$B:$B,0),5)</f>
        <v>ИПП</v>
      </c>
    </row>
    <row r="113" spans="1:15" ht="75">
      <c r="A113" s="3" t="s">
        <v>10</v>
      </c>
      <c r="B113" s="3" t="s">
        <v>11</v>
      </c>
      <c r="C113" s="4">
        <v>2026</v>
      </c>
      <c r="D113" s="5" t="s">
        <v>12</v>
      </c>
      <c r="E113" s="4">
        <v>15</v>
      </c>
      <c r="F113" s="4" t="s">
        <v>239</v>
      </c>
      <c r="G113" s="4" t="s">
        <v>240</v>
      </c>
      <c r="H113" s="4" t="s">
        <v>15</v>
      </c>
      <c r="I113" s="4" t="s">
        <v>244</v>
      </c>
      <c r="J113" s="4" t="s">
        <v>196</v>
      </c>
      <c r="K113" s="4" t="s">
        <v>38</v>
      </c>
      <c r="L113" s="4" t="s">
        <v>3742</v>
      </c>
      <c r="M113" s="4" t="s">
        <v>3746</v>
      </c>
      <c r="N113" s="4" t="s">
        <v>3747</v>
      </c>
      <c r="O113" s="17" t="str">
        <f>INDEX('список ID из СУЭ с должностями'!$A:$F,MATCH(E113,'список ID из СУЭ с должностями'!$B:$B,0),5)</f>
        <v>ИПП</v>
      </c>
    </row>
    <row r="114" spans="1:15" ht="75">
      <c r="A114" s="3" t="s">
        <v>10</v>
      </c>
      <c r="B114" s="3" t="s">
        <v>11</v>
      </c>
      <c r="C114" s="4">
        <v>2026</v>
      </c>
      <c r="D114" s="5" t="s">
        <v>12</v>
      </c>
      <c r="E114" s="4">
        <v>15</v>
      </c>
      <c r="F114" s="4" t="s">
        <v>239</v>
      </c>
      <c r="G114" s="4" t="s">
        <v>240</v>
      </c>
      <c r="H114" s="4" t="s">
        <v>15</v>
      </c>
      <c r="I114" s="4" t="s">
        <v>245</v>
      </c>
      <c r="J114" s="4" t="s">
        <v>182</v>
      </c>
      <c r="K114" s="4" t="s">
        <v>151</v>
      </c>
      <c r="L114" s="4" t="s">
        <v>3742</v>
      </c>
      <c r="M114" s="4" t="s">
        <v>3746</v>
      </c>
      <c r="N114" s="4" t="s">
        <v>3747</v>
      </c>
      <c r="O114" s="17" t="str">
        <f>INDEX('список ID из СУЭ с должностями'!$A:$F,MATCH(E114,'список ID из СУЭ с должностями'!$B:$B,0),5)</f>
        <v>ИПП</v>
      </c>
    </row>
    <row r="115" spans="1:15" ht="90">
      <c r="A115" s="3" t="s">
        <v>10</v>
      </c>
      <c r="B115" s="3" t="s">
        <v>11</v>
      </c>
      <c r="C115" s="4">
        <v>2026</v>
      </c>
      <c r="D115" s="5" t="s">
        <v>12</v>
      </c>
      <c r="E115" s="4">
        <v>15</v>
      </c>
      <c r="F115" s="4" t="s">
        <v>239</v>
      </c>
      <c r="G115" s="4" t="s">
        <v>240</v>
      </c>
      <c r="H115" s="4" t="s">
        <v>15</v>
      </c>
      <c r="I115" s="4" t="s">
        <v>198</v>
      </c>
      <c r="J115" s="4" t="s">
        <v>246</v>
      </c>
      <c r="K115" s="4" t="s">
        <v>20</v>
      </c>
      <c r="L115" s="4" t="s">
        <v>3743</v>
      </c>
      <c r="M115" s="4" t="s">
        <v>3746</v>
      </c>
      <c r="N115" s="4" t="s">
        <v>3747</v>
      </c>
      <c r="O115" s="17" t="str">
        <f>INDEX('список ID из СУЭ с должностями'!$A:$F,MATCH(E115,'список ID из СУЭ с должностями'!$B:$B,0),5)</f>
        <v>ИПП</v>
      </c>
    </row>
    <row r="116" spans="1:15" ht="75">
      <c r="A116" s="3" t="s">
        <v>10</v>
      </c>
      <c r="B116" s="3" t="s">
        <v>11</v>
      </c>
      <c r="C116" s="4">
        <v>2026</v>
      </c>
      <c r="D116" s="5" t="s">
        <v>12</v>
      </c>
      <c r="E116" s="4">
        <v>16</v>
      </c>
      <c r="F116" s="4" t="s">
        <v>247</v>
      </c>
      <c r="G116" s="4" t="s">
        <v>158</v>
      </c>
      <c r="H116" s="4" t="s">
        <v>15</v>
      </c>
      <c r="I116" s="4" t="s">
        <v>248</v>
      </c>
      <c r="J116" s="4" t="s">
        <v>249</v>
      </c>
      <c r="K116" s="4" t="s">
        <v>20</v>
      </c>
      <c r="L116" s="4" t="s">
        <v>3743</v>
      </c>
      <c r="M116" s="4" t="s">
        <v>3746</v>
      </c>
      <c r="N116" s="4" t="s">
        <v>3747</v>
      </c>
      <c r="O116" s="17">
        <f>INDEX('список ID из СУЭ с должностями'!$A:$F,MATCH(E116,'список ID из СУЭ с должностями'!$B:$B,0),5)</f>
        <v>0</v>
      </c>
    </row>
    <row r="117" spans="1:15" ht="75">
      <c r="A117" s="3" t="s">
        <v>10</v>
      </c>
      <c r="B117" s="3" t="s">
        <v>11</v>
      </c>
      <c r="C117" s="4">
        <v>2026</v>
      </c>
      <c r="D117" s="5" t="s">
        <v>12</v>
      </c>
      <c r="E117" s="4">
        <v>16</v>
      </c>
      <c r="F117" s="4" t="s">
        <v>247</v>
      </c>
      <c r="G117" s="4" t="s">
        <v>158</v>
      </c>
      <c r="H117" s="4" t="s">
        <v>15</v>
      </c>
      <c r="I117" s="4" t="s">
        <v>250</v>
      </c>
      <c r="J117" s="4" t="s">
        <v>251</v>
      </c>
      <c r="K117" s="4" t="s">
        <v>20</v>
      </c>
      <c r="L117" s="4" t="s">
        <v>3743</v>
      </c>
      <c r="M117" s="4" t="s">
        <v>3746</v>
      </c>
      <c r="N117" s="4" t="s">
        <v>3747</v>
      </c>
      <c r="O117" s="17">
        <f>INDEX('список ID из СУЭ с должностями'!$A:$F,MATCH(E117,'список ID из СУЭ с должностями'!$B:$B,0),5)</f>
        <v>0</v>
      </c>
    </row>
    <row r="118" spans="1:15" ht="60">
      <c r="A118" s="3" t="s">
        <v>10</v>
      </c>
      <c r="B118" s="3" t="s">
        <v>11</v>
      </c>
      <c r="C118" s="4">
        <v>2026</v>
      </c>
      <c r="D118" s="5" t="s">
        <v>12</v>
      </c>
      <c r="E118" s="4">
        <v>16</v>
      </c>
      <c r="F118" s="4" t="s">
        <v>247</v>
      </c>
      <c r="G118" s="4" t="s">
        <v>158</v>
      </c>
      <c r="H118" s="4" t="s">
        <v>41</v>
      </c>
      <c r="I118" s="4" t="s">
        <v>252</v>
      </c>
      <c r="J118" s="4" t="s">
        <v>253</v>
      </c>
      <c r="K118" s="4" t="s">
        <v>151</v>
      </c>
      <c r="L118" s="4" t="s">
        <v>3743</v>
      </c>
      <c r="M118" s="4" t="s">
        <v>3746</v>
      </c>
      <c r="N118" s="4" t="s">
        <v>3747</v>
      </c>
      <c r="O118" s="17">
        <f>INDEX('список ID из СУЭ с должностями'!$A:$F,MATCH(E118,'список ID из СУЭ с должностями'!$B:$B,0),5)</f>
        <v>0</v>
      </c>
    </row>
    <row r="119" spans="1:15" ht="105">
      <c r="A119" s="3" t="s">
        <v>10</v>
      </c>
      <c r="B119" s="3" t="s">
        <v>11</v>
      </c>
      <c r="C119" s="4">
        <v>2026</v>
      </c>
      <c r="D119" s="5" t="s">
        <v>12</v>
      </c>
      <c r="E119" s="4">
        <v>16</v>
      </c>
      <c r="F119" s="4" t="s">
        <v>247</v>
      </c>
      <c r="G119" s="4" t="s">
        <v>158</v>
      </c>
      <c r="H119" s="4" t="s">
        <v>15</v>
      </c>
      <c r="I119" s="4" t="s">
        <v>254</v>
      </c>
      <c r="J119" s="4" t="s">
        <v>255</v>
      </c>
      <c r="K119" s="4" t="s">
        <v>151</v>
      </c>
      <c r="L119" s="4" t="s">
        <v>3743</v>
      </c>
      <c r="M119" s="4" t="s">
        <v>3746</v>
      </c>
      <c r="N119" s="4" t="s">
        <v>3747</v>
      </c>
      <c r="O119" s="17">
        <f>INDEX('список ID из СУЭ с должностями'!$A:$F,MATCH(E119,'список ID из СУЭ с должностями'!$B:$B,0),5)</f>
        <v>0</v>
      </c>
    </row>
    <row r="120" spans="1:15" ht="90">
      <c r="A120" s="3" t="s">
        <v>10</v>
      </c>
      <c r="B120" s="3" t="s">
        <v>11</v>
      </c>
      <c r="C120" s="4">
        <v>2026</v>
      </c>
      <c r="D120" s="5" t="s">
        <v>12</v>
      </c>
      <c r="E120" s="4">
        <v>16</v>
      </c>
      <c r="F120" s="4" t="s">
        <v>247</v>
      </c>
      <c r="G120" s="4" t="s">
        <v>158</v>
      </c>
      <c r="H120" s="4" t="s">
        <v>21</v>
      </c>
      <c r="I120" s="4" t="s">
        <v>155</v>
      </c>
      <c r="J120" s="4" t="s">
        <v>256</v>
      </c>
      <c r="K120" s="4" t="s">
        <v>30</v>
      </c>
      <c r="L120" s="4" t="s">
        <v>3743</v>
      </c>
      <c r="M120" s="4" t="s">
        <v>3746</v>
      </c>
      <c r="N120" s="4" t="s">
        <v>3747</v>
      </c>
      <c r="O120" s="17">
        <f>INDEX('список ID из СУЭ с должностями'!$A:$F,MATCH(E120,'список ID из СУЭ с должностями'!$B:$B,0),5)</f>
        <v>0</v>
      </c>
    </row>
    <row r="121" spans="1:15" ht="45">
      <c r="A121" s="3" t="s">
        <v>10</v>
      </c>
      <c r="B121" s="3" t="s">
        <v>11</v>
      </c>
      <c r="C121" s="4">
        <v>2026</v>
      </c>
      <c r="D121" s="5" t="s">
        <v>12</v>
      </c>
      <c r="E121" s="4">
        <v>16</v>
      </c>
      <c r="F121" s="4" t="s">
        <v>247</v>
      </c>
      <c r="G121" s="4" t="s">
        <v>158</v>
      </c>
      <c r="H121" s="4" t="s">
        <v>15</v>
      </c>
      <c r="I121" s="4" t="s">
        <v>257</v>
      </c>
      <c r="J121" s="4" t="s">
        <v>258</v>
      </c>
      <c r="K121" s="4" t="s">
        <v>52</v>
      </c>
      <c r="L121" s="4" t="s">
        <v>3742</v>
      </c>
      <c r="M121" s="4" t="s">
        <v>3746</v>
      </c>
      <c r="N121" s="4" t="s">
        <v>3747</v>
      </c>
      <c r="O121" s="17">
        <f>INDEX('список ID из СУЭ с должностями'!$A:$F,MATCH(E121,'список ID из СУЭ с должностями'!$B:$B,0),5)</f>
        <v>0</v>
      </c>
    </row>
    <row r="122" spans="1:15" ht="60">
      <c r="A122" s="3" t="s">
        <v>10</v>
      </c>
      <c r="B122" s="3" t="s">
        <v>11</v>
      </c>
      <c r="C122" s="4">
        <v>2026</v>
      </c>
      <c r="D122" s="5" t="s">
        <v>12</v>
      </c>
      <c r="E122" s="4">
        <v>16</v>
      </c>
      <c r="F122" s="4" t="s">
        <v>247</v>
      </c>
      <c r="G122" s="4" t="s">
        <v>158</v>
      </c>
      <c r="H122" s="4" t="s">
        <v>15</v>
      </c>
      <c r="I122" s="4" t="s">
        <v>259</v>
      </c>
      <c r="J122" s="4" t="s">
        <v>260</v>
      </c>
      <c r="K122" s="4" t="s">
        <v>38</v>
      </c>
      <c r="L122" s="4" t="s">
        <v>3743</v>
      </c>
      <c r="M122" s="4" t="s">
        <v>3746</v>
      </c>
      <c r="N122" s="4" t="s">
        <v>3747</v>
      </c>
      <c r="O122" s="17">
        <f>INDEX('список ID из СУЭ с должностями'!$A:$F,MATCH(E122,'список ID из СУЭ с должностями'!$B:$B,0),5)</f>
        <v>0</v>
      </c>
    </row>
    <row r="123" spans="1:15" ht="60">
      <c r="A123" s="3" t="s">
        <v>10</v>
      </c>
      <c r="B123" s="3" t="s">
        <v>11</v>
      </c>
      <c r="C123" s="4">
        <v>2026</v>
      </c>
      <c r="D123" s="5" t="s">
        <v>12</v>
      </c>
      <c r="E123" s="4">
        <v>16</v>
      </c>
      <c r="F123" s="4" t="s">
        <v>247</v>
      </c>
      <c r="G123" s="4" t="s">
        <v>158</v>
      </c>
      <c r="H123" s="4" t="s">
        <v>15</v>
      </c>
      <c r="I123" s="4" t="s">
        <v>163</v>
      </c>
      <c r="J123" s="4" t="s">
        <v>164</v>
      </c>
      <c r="K123" s="4" t="s">
        <v>38</v>
      </c>
      <c r="L123" s="4" t="s">
        <v>3742</v>
      </c>
      <c r="M123" s="4" t="s">
        <v>3746</v>
      </c>
      <c r="N123" s="4" t="s">
        <v>3747</v>
      </c>
      <c r="O123" s="17">
        <f>INDEX('список ID из СУЭ с должностями'!$A:$F,MATCH(E123,'список ID из СУЭ с должностями'!$B:$B,0),5)</f>
        <v>0</v>
      </c>
    </row>
    <row r="124" spans="1:15" ht="75">
      <c r="A124" s="3" t="s">
        <v>10</v>
      </c>
      <c r="B124" s="3" t="s">
        <v>11</v>
      </c>
      <c r="C124" s="4">
        <v>2026</v>
      </c>
      <c r="D124" s="5" t="s">
        <v>12</v>
      </c>
      <c r="E124" s="4">
        <v>16</v>
      </c>
      <c r="F124" s="4" t="s">
        <v>247</v>
      </c>
      <c r="G124" s="4" t="s">
        <v>158</v>
      </c>
      <c r="H124" s="4" t="s">
        <v>15</v>
      </c>
      <c r="I124" s="4" t="s">
        <v>223</v>
      </c>
      <c r="J124" s="4" t="s">
        <v>261</v>
      </c>
      <c r="K124" s="4" t="s">
        <v>20</v>
      </c>
      <c r="L124" s="4" t="s">
        <v>3743</v>
      </c>
      <c r="M124" s="4" t="s">
        <v>3746</v>
      </c>
      <c r="N124" s="4" t="s">
        <v>3747</v>
      </c>
      <c r="O124" s="17">
        <f>INDEX('список ID из СУЭ с должностями'!$A:$F,MATCH(E124,'список ID из СУЭ с должностями'!$B:$B,0),5)</f>
        <v>0</v>
      </c>
    </row>
    <row r="125" spans="1:15" ht="120">
      <c r="A125" s="3" t="s">
        <v>10</v>
      </c>
      <c r="B125" s="3" t="s">
        <v>11</v>
      </c>
      <c r="C125" s="4">
        <v>2026</v>
      </c>
      <c r="D125" s="5" t="s">
        <v>12</v>
      </c>
      <c r="E125" s="4">
        <v>16</v>
      </c>
      <c r="F125" s="4" t="s">
        <v>247</v>
      </c>
      <c r="G125" s="4" t="s">
        <v>158</v>
      </c>
      <c r="H125" s="4" t="s">
        <v>15</v>
      </c>
      <c r="I125" s="4" t="s">
        <v>262</v>
      </c>
      <c r="J125" s="4" t="s">
        <v>263</v>
      </c>
      <c r="K125" s="4" t="s">
        <v>35</v>
      </c>
      <c r="L125" s="4" t="s">
        <v>3743</v>
      </c>
      <c r="M125" s="4" t="s">
        <v>3746</v>
      </c>
      <c r="N125" s="4" t="s">
        <v>3747</v>
      </c>
      <c r="O125" s="17">
        <f>INDEX('список ID из СУЭ с должностями'!$A:$F,MATCH(E125,'список ID из СУЭ с должностями'!$B:$B,0),5)</f>
        <v>0</v>
      </c>
    </row>
    <row r="126" spans="1:15" ht="90">
      <c r="A126" s="3" t="s">
        <v>10</v>
      </c>
      <c r="B126" s="3" t="s">
        <v>11</v>
      </c>
      <c r="C126" s="4">
        <v>2026</v>
      </c>
      <c r="D126" s="5" t="s">
        <v>264</v>
      </c>
      <c r="E126" s="4">
        <v>17</v>
      </c>
      <c r="F126" s="4" t="s">
        <v>84</v>
      </c>
      <c r="G126" s="4" t="s">
        <v>85</v>
      </c>
      <c r="H126" s="4" t="s">
        <v>21</v>
      </c>
      <c r="I126" s="4" t="s">
        <v>265</v>
      </c>
      <c r="J126" s="4" t="s">
        <v>266</v>
      </c>
      <c r="K126" s="4" t="s">
        <v>66</v>
      </c>
      <c r="L126" s="4" t="s">
        <v>3743</v>
      </c>
      <c r="M126" s="4" t="s">
        <v>3746</v>
      </c>
      <c r="N126" s="4" t="s">
        <v>3747</v>
      </c>
      <c r="O126" s="17">
        <f>INDEX('список ID из СУЭ с должностями'!$A:$F,MATCH(E126,'список ID из СУЭ с должностями'!$B:$B,0),5)</f>
        <v>0</v>
      </c>
    </row>
    <row r="127" spans="1:15" ht="120">
      <c r="A127" s="3" t="s">
        <v>10</v>
      </c>
      <c r="B127" s="3" t="s">
        <v>11</v>
      </c>
      <c r="C127" s="4">
        <v>2026</v>
      </c>
      <c r="D127" s="5" t="s">
        <v>264</v>
      </c>
      <c r="E127" s="4">
        <v>17</v>
      </c>
      <c r="F127" s="4" t="s">
        <v>84</v>
      </c>
      <c r="G127" s="4" t="s">
        <v>85</v>
      </c>
      <c r="H127" s="4" t="s">
        <v>15</v>
      </c>
      <c r="I127" s="4" t="s">
        <v>86</v>
      </c>
      <c r="J127" s="4" t="s">
        <v>267</v>
      </c>
      <c r="K127" s="4" t="s">
        <v>35</v>
      </c>
      <c r="L127" s="4" t="s">
        <v>3743</v>
      </c>
      <c r="M127" s="4" t="s">
        <v>3746</v>
      </c>
      <c r="N127" s="4" t="s">
        <v>3747</v>
      </c>
      <c r="O127" s="17">
        <f>INDEX('список ID из СУЭ с должностями'!$A:$F,MATCH(E127,'список ID из СУЭ с должностями'!$B:$B,0),5)</f>
        <v>0</v>
      </c>
    </row>
    <row r="128" spans="1:15" ht="75">
      <c r="A128" s="3" t="s">
        <v>10</v>
      </c>
      <c r="B128" s="3" t="s">
        <v>11</v>
      </c>
      <c r="C128" s="4">
        <v>2026</v>
      </c>
      <c r="D128" s="5" t="s">
        <v>264</v>
      </c>
      <c r="E128" s="4">
        <v>17</v>
      </c>
      <c r="F128" s="4" t="s">
        <v>84</v>
      </c>
      <c r="G128" s="4" t="s">
        <v>85</v>
      </c>
      <c r="H128" s="4" t="s">
        <v>15</v>
      </c>
      <c r="I128" s="4" t="s">
        <v>268</v>
      </c>
      <c r="J128" s="4" t="s">
        <v>269</v>
      </c>
      <c r="K128" s="4" t="s">
        <v>23</v>
      </c>
      <c r="L128" s="4" t="s">
        <v>3743</v>
      </c>
      <c r="M128" s="4" t="s">
        <v>3748</v>
      </c>
      <c r="N128" s="4" t="s">
        <v>3752</v>
      </c>
      <c r="O128" s="17">
        <f>INDEX('список ID из СУЭ с должностями'!$A:$F,MATCH(E128,'список ID из СУЭ с должностями'!$B:$B,0),5)</f>
        <v>0</v>
      </c>
    </row>
    <row r="129" spans="1:15" ht="409.5">
      <c r="A129" s="3" t="s">
        <v>10</v>
      </c>
      <c r="B129" s="3" t="s">
        <v>11</v>
      </c>
      <c r="C129" s="4">
        <v>2026</v>
      </c>
      <c r="D129" s="5" t="s">
        <v>264</v>
      </c>
      <c r="E129" s="4">
        <v>17</v>
      </c>
      <c r="F129" s="4" t="s">
        <v>84</v>
      </c>
      <c r="G129" s="4" t="s">
        <v>85</v>
      </c>
      <c r="H129" s="4" t="s">
        <v>15</v>
      </c>
      <c r="I129" s="4" t="s">
        <v>270</v>
      </c>
      <c r="J129" s="4" t="s">
        <v>271</v>
      </c>
      <c r="K129" s="4" t="s">
        <v>52</v>
      </c>
      <c r="L129" s="4" t="s">
        <v>3743</v>
      </c>
      <c r="M129" s="4" t="s">
        <v>3746</v>
      </c>
      <c r="N129" s="4" t="s">
        <v>3747</v>
      </c>
      <c r="O129" s="17">
        <f>INDEX('список ID из СУЭ с должностями'!$A:$F,MATCH(E129,'список ID из СУЭ с должностями'!$B:$B,0),5)</f>
        <v>0</v>
      </c>
    </row>
    <row r="130" spans="1:15" ht="75">
      <c r="A130" s="3" t="s">
        <v>10</v>
      </c>
      <c r="B130" s="3" t="s">
        <v>11</v>
      </c>
      <c r="C130" s="4">
        <v>2026</v>
      </c>
      <c r="D130" s="5" t="s">
        <v>264</v>
      </c>
      <c r="E130" s="4">
        <v>17</v>
      </c>
      <c r="F130" s="4" t="s">
        <v>84</v>
      </c>
      <c r="G130" s="4" t="s">
        <v>85</v>
      </c>
      <c r="H130" s="4" t="s">
        <v>21</v>
      </c>
      <c r="I130" s="4" t="s">
        <v>272</v>
      </c>
      <c r="J130" s="4" t="s">
        <v>273</v>
      </c>
      <c r="K130" s="4" t="s">
        <v>30</v>
      </c>
      <c r="L130" s="4" t="s">
        <v>3743</v>
      </c>
      <c r="M130" s="4" t="s">
        <v>3746</v>
      </c>
      <c r="N130" s="4" t="s">
        <v>3747</v>
      </c>
      <c r="O130" s="17">
        <f>INDEX('список ID из СУЭ с должностями'!$A:$F,MATCH(E130,'список ID из СУЭ с должностями'!$B:$B,0),5)</f>
        <v>0</v>
      </c>
    </row>
    <row r="131" spans="1:15" ht="150">
      <c r="A131" s="3" t="s">
        <v>10</v>
      </c>
      <c r="B131" s="3" t="s">
        <v>11</v>
      </c>
      <c r="C131" s="4">
        <v>2026</v>
      </c>
      <c r="D131" s="5" t="s">
        <v>264</v>
      </c>
      <c r="E131" s="4">
        <v>17</v>
      </c>
      <c r="F131" s="4" t="s">
        <v>84</v>
      </c>
      <c r="G131" s="4" t="s">
        <v>85</v>
      </c>
      <c r="H131" s="4" t="s">
        <v>21</v>
      </c>
      <c r="I131" s="4" t="s">
        <v>274</v>
      </c>
      <c r="J131" s="4" t="s">
        <v>275</v>
      </c>
      <c r="K131" s="4" t="s">
        <v>30</v>
      </c>
      <c r="L131" s="4" t="s">
        <v>3743</v>
      </c>
      <c r="M131" s="4" t="s">
        <v>3746</v>
      </c>
      <c r="N131" s="4" t="s">
        <v>3747</v>
      </c>
      <c r="O131" s="17">
        <f>INDEX('список ID из СУЭ с должностями'!$A:$F,MATCH(E131,'список ID из СУЭ с должностями'!$B:$B,0),5)</f>
        <v>0</v>
      </c>
    </row>
    <row r="132" spans="1:15" ht="75">
      <c r="A132" s="3" t="s">
        <v>10</v>
      </c>
      <c r="B132" s="3" t="s">
        <v>11</v>
      </c>
      <c r="C132" s="4">
        <v>2026</v>
      </c>
      <c r="D132" s="5" t="s">
        <v>264</v>
      </c>
      <c r="E132" s="4">
        <v>17</v>
      </c>
      <c r="F132" s="4" t="s">
        <v>84</v>
      </c>
      <c r="G132" s="4" t="s">
        <v>85</v>
      </c>
      <c r="H132" s="4" t="s">
        <v>21</v>
      </c>
      <c r="I132" s="4" t="s">
        <v>276</v>
      </c>
      <c r="J132" s="4" t="s">
        <v>277</v>
      </c>
      <c r="K132" s="4" t="s">
        <v>52</v>
      </c>
      <c r="L132" s="4" t="s">
        <v>3743</v>
      </c>
      <c r="M132" s="4" t="s">
        <v>3746</v>
      </c>
      <c r="N132" s="4" t="s">
        <v>3747</v>
      </c>
      <c r="O132" s="17">
        <f>INDEX('список ID из СУЭ с должностями'!$A:$F,MATCH(E132,'список ID из СУЭ с должностями'!$B:$B,0),5)</f>
        <v>0</v>
      </c>
    </row>
    <row r="133" spans="1:15" ht="165">
      <c r="A133" s="3" t="s">
        <v>10</v>
      </c>
      <c r="B133" s="3" t="s">
        <v>11</v>
      </c>
      <c r="C133" s="4">
        <v>2026</v>
      </c>
      <c r="D133" s="5" t="s">
        <v>264</v>
      </c>
      <c r="E133" s="4">
        <v>17</v>
      </c>
      <c r="F133" s="4" t="s">
        <v>84</v>
      </c>
      <c r="G133" s="4" t="s">
        <v>85</v>
      </c>
      <c r="H133" s="4" t="s">
        <v>21</v>
      </c>
      <c r="I133" s="4" t="s">
        <v>278</v>
      </c>
      <c r="J133" s="4" t="s">
        <v>279</v>
      </c>
      <c r="K133" s="4" t="s">
        <v>30</v>
      </c>
      <c r="L133" s="4" t="s">
        <v>3743</v>
      </c>
      <c r="M133" s="4" t="s">
        <v>3746</v>
      </c>
      <c r="N133" s="4" t="s">
        <v>3747</v>
      </c>
      <c r="O133" s="17">
        <f>INDEX('список ID из СУЭ с должностями'!$A:$F,MATCH(E133,'список ID из СУЭ с должностями'!$B:$B,0),5)</f>
        <v>0</v>
      </c>
    </row>
    <row r="134" spans="1:15" ht="75">
      <c r="A134" s="3" t="s">
        <v>10</v>
      </c>
      <c r="B134" s="3" t="s">
        <v>11</v>
      </c>
      <c r="C134" s="4">
        <v>2026</v>
      </c>
      <c r="D134" s="5" t="s">
        <v>12</v>
      </c>
      <c r="E134" s="4">
        <v>18</v>
      </c>
      <c r="F134" s="4" t="s">
        <v>280</v>
      </c>
      <c r="G134" s="4" t="s">
        <v>281</v>
      </c>
      <c r="H134" s="4" t="s">
        <v>21</v>
      </c>
      <c r="I134" s="4" t="s">
        <v>282</v>
      </c>
      <c r="J134" s="4" t="s">
        <v>283</v>
      </c>
      <c r="K134" s="4" t="s">
        <v>25</v>
      </c>
      <c r="L134" s="4" t="s">
        <v>3743</v>
      </c>
      <c r="M134" s="4" t="s">
        <v>3746</v>
      </c>
      <c r="N134" s="4" t="s">
        <v>3747</v>
      </c>
      <c r="O134" s="17" t="str">
        <f>INDEX('список ID из СУЭ с должностями'!$A:$F,MATCH(E134,'список ID из СУЭ с должностями'!$B:$B,0),5)</f>
        <v>ВИП</v>
      </c>
    </row>
    <row r="135" spans="1:15" ht="75">
      <c r="A135" s="3" t="s">
        <v>10</v>
      </c>
      <c r="B135" s="3" t="s">
        <v>11</v>
      </c>
      <c r="C135" s="4">
        <v>2026</v>
      </c>
      <c r="D135" s="5" t="s">
        <v>12</v>
      </c>
      <c r="E135" s="4">
        <v>18</v>
      </c>
      <c r="F135" s="4" t="s">
        <v>280</v>
      </c>
      <c r="G135" s="4" t="s">
        <v>281</v>
      </c>
      <c r="H135" s="4" t="s">
        <v>15</v>
      </c>
      <c r="I135" s="4" t="s">
        <v>286</v>
      </c>
      <c r="J135" s="4" t="s">
        <v>287</v>
      </c>
      <c r="K135" s="4" t="s">
        <v>20</v>
      </c>
      <c r="L135" s="4" t="s">
        <v>3743</v>
      </c>
      <c r="M135" s="4" t="s">
        <v>3746</v>
      </c>
      <c r="N135" s="4" t="s">
        <v>3747</v>
      </c>
      <c r="O135" s="17" t="str">
        <f>INDEX('список ID из СУЭ с должностями'!$A:$F,MATCH(E135,'список ID из СУЭ с должностями'!$B:$B,0),5)</f>
        <v>ВИП</v>
      </c>
    </row>
    <row r="136" spans="1:15" ht="75">
      <c r="A136" s="3" t="s">
        <v>10</v>
      </c>
      <c r="B136" s="3" t="s">
        <v>11</v>
      </c>
      <c r="C136" s="4">
        <v>2026</v>
      </c>
      <c r="D136" s="5" t="s">
        <v>12</v>
      </c>
      <c r="E136" s="4">
        <v>18</v>
      </c>
      <c r="F136" s="4" t="s">
        <v>280</v>
      </c>
      <c r="G136" s="4" t="s">
        <v>281</v>
      </c>
      <c r="H136" s="4" t="s">
        <v>15</v>
      </c>
      <c r="I136" s="4" t="s">
        <v>288</v>
      </c>
      <c r="J136" s="4" t="s">
        <v>289</v>
      </c>
      <c r="K136" s="4" t="s">
        <v>20</v>
      </c>
      <c r="L136" s="4" t="s">
        <v>3743</v>
      </c>
      <c r="M136" s="4" t="s">
        <v>3746</v>
      </c>
      <c r="N136" s="4" t="s">
        <v>3747</v>
      </c>
      <c r="O136" s="17" t="str">
        <f>INDEX('список ID из СУЭ с должностями'!$A:$F,MATCH(E136,'список ID из СУЭ с должностями'!$B:$B,0),5)</f>
        <v>ВИП</v>
      </c>
    </row>
    <row r="137" spans="1:15" ht="75">
      <c r="A137" s="3" t="s">
        <v>10</v>
      </c>
      <c r="B137" s="3" t="s">
        <v>11</v>
      </c>
      <c r="C137" s="4">
        <v>2026</v>
      </c>
      <c r="D137" s="5" t="s">
        <v>12</v>
      </c>
      <c r="E137" s="4">
        <v>18</v>
      </c>
      <c r="F137" s="4" t="s">
        <v>280</v>
      </c>
      <c r="G137" s="4" t="s">
        <v>281</v>
      </c>
      <c r="H137" s="4" t="s">
        <v>15</v>
      </c>
      <c r="I137" s="4" t="s">
        <v>290</v>
      </c>
      <c r="J137" s="4" t="s">
        <v>291</v>
      </c>
      <c r="K137" s="4" t="s">
        <v>20</v>
      </c>
      <c r="L137" s="4" t="s">
        <v>3743</v>
      </c>
      <c r="M137" s="4" t="s">
        <v>3746</v>
      </c>
      <c r="N137" s="4" t="s">
        <v>3747</v>
      </c>
      <c r="O137" s="17" t="str">
        <f>INDEX('список ID из СУЭ с должностями'!$A:$F,MATCH(E137,'список ID из СУЭ с должностями'!$B:$B,0),5)</f>
        <v>ВИП</v>
      </c>
    </row>
    <row r="138" spans="1:15" ht="60">
      <c r="A138" s="3" t="s">
        <v>10</v>
      </c>
      <c r="B138" s="3" t="s">
        <v>11</v>
      </c>
      <c r="C138" s="4">
        <v>2026</v>
      </c>
      <c r="D138" s="5" t="s">
        <v>12</v>
      </c>
      <c r="E138" s="4">
        <v>18</v>
      </c>
      <c r="F138" s="4" t="s">
        <v>280</v>
      </c>
      <c r="G138" s="4" t="s">
        <v>281</v>
      </c>
      <c r="H138" s="4" t="s">
        <v>21</v>
      </c>
      <c r="I138" s="4" t="s">
        <v>292</v>
      </c>
      <c r="J138" s="4" t="s">
        <v>293</v>
      </c>
      <c r="K138" s="4" t="s">
        <v>30</v>
      </c>
      <c r="L138" s="4" t="s">
        <v>3742</v>
      </c>
      <c r="M138" s="4" t="s">
        <v>3746</v>
      </c>
      <c r="N138" s="4" t="s">
        <v>3747</v>
      </c>
      <c r="O138" s="17" t="str">
        <f>INDEX('список ID из СУЭ с должностями'!$A:$F,MATCH(E138,'список ID из СУЭ с должностями'!$B:$B,0),5)</f>
        <v>ВИП</v>
      </c>
    </row>
    <row r="139" spans="1:15" ht="60">
      <c r="A139" s="3" t="s">
        <v>10</v>
      </c>
      <c r="B139" s="3" t="s">
        <v>11</v>
      </c>
      <c r="C139" s="4">
        <v>2026</v>
      </c>
      <c r="D139" s="5" t="s">
        <v>12</v>
      </c>
      <c r="E139" s="4">
        <v>18</v>
      </c>
      <c r="F139" s="4" t="s">
        <v>280</v>
      </c>
      <c r="G139" s="4" t="s">
        <v>281</v>
      </c>
      <c r="H139" s="4" t="s">
        <v>21</v>
      </c>
      <c r="I139" s="4" t="s">
        <v>294</v>
      </c>
      <c r="J139" s="4" t="s">
        <v>295</v>
      </c>
      <c r="K139" s="4" t="s">
        <v>151</v>
      </c>
      <c r="L139" s="4" t="s">
        <v>3742</v>
      </c>
      <c r="M139" s="4" t="s">
        <v>3746</v>
      </c>
      <c r="N139" s="4" t="s">
        <v>3747</v>
      </c>
      <c r="O139" s="17" t="str">
        <f>INDEX('список ID из СУЭ с должностями'!$A:$F,MATCH(E139,'список ID из СУЭ с должностями'!$B:$B,0),5)</f>
        <v>ВИП</v>
      </c>
    </row>
    <row r="140" spans="1:15" ht="375">
      <c r="A140" s="3" t="s">
        <v>10</v>
      </c>
      <c r="B140" s="3" t="s">
        <v>11</v>
      </c>
      <c r="C140" s="4">
        <v>2026</v>
      </c>
      <c r="D140" s="5" t="s">
        <v>12</v>
      </c>
      <c r="E140" s="4">
        <v>18</v>
      </c>
      <c r="F140" s="4" t="s">
        <v>280</v>
      </c>
      <c r="G140" s="4" t="s">
        <v>281</v>
      </c>
      <c r="H140" s="4" t="s">
        <v>15</v>
      </c>
      <c r="I140" s="4" t="s">
        <v>296</v>
      </c>
      <c r="J140" s="4" t="s">
        <v>297</v>
      </c>
      <c r="K140" s="4" t="s">
        <v>188</v>
      </c>
      <c r="L140" s="4" t="s">
        <v>3743</v>
      </c>
      <c r="M140" s="4" t="s">
        <v>3746</v>
      </c>
      <c r="N140" s="4" t="s">
        <v>3747</v>
      </c>
      <c r="O140" s="17" t="str">
        <f>INDEX('список ID из СУЭ с должностями'!$A:$F,MATCH(E140,'список ID из СУЭ с должностями'!$B:$B,0),5)</f>
        <v>ВИП</v>
      </c>
    </row>
    <row r="141" spans="1:15" ht="60">
      <c r="A141" s="3" t="s">
        <v>10</v>
      </c>
      <c r="B141" s="3" t="s">
        <v>11</v>
      </c>
      <c r="C141" s="4">
        <v>2026</v>
      </c>
      <c r="D141" s="5" t="s">
        <v>12</v>
      </c>
      <c r="E141" s="4">
        <v>18</v>
      </c>
      <c r="F141" s="4" t="s">
        <v>280</v>
      </c>
      <c r="G141" s="4" t="s">
        <v>281</v>
      </c>
      <c r="H141" s="4" t="s">
        <v>15</v>
      </c>
      <c r="I141" s="4" t="s">
        <v>298</v>
      </c>
      <c r="J141" s="4" t="s">
        <v>299</v>
      </c>
      <c r="K141" s="4" t="s">
        <v>35</v>
      </c>
      <c r="L141" s="4" t="s">
        <v>3742</v>
      </c>
      <c r="M141" s="4" t="s">
        <v>3746</v>
      </c>
      <c r="N141" s="4" t="s">
        <v>3747</v>
      </c>
      <c r="O141" s="17" t="str">
        <f>INDEX('список ID из СУЭ с должностями'!$A:$F,MATCH(E141,'список ID из СУЭ с должностями'!$B:$B,0),5)</f>
        <v>ВИП</v>
      </c>
    </row>
    <row r="142" spans="1:15" ht="90">
      <c r="A142" s="3" t="s">
        <v>10</v>
      </c>
      <c r="B142" s="3" t="s">
        <v>11</v>
      </c>
      <c r="C142" s="4">
        <v>2026</v>
      </c>
      <c r="D142" s="5" t="s">
        <v>12</v>
      </c>
      <c r="E142" s="4">
        <v>19</v>
      </c>
      <c r="F142" s="4" t="s">
        <v>193</v>
      </c>
      <c r="G142" s="4" t="s">
        <v>300</v>
      </c>
      <c r="H142" s="4" t="s">
        <v>15</v>
      </c>
      <c r="I142" s="4" t="s">
        <v>301</v>
      </c>
      <c r="J142" s="4" t="s">
        <v>302</v>
      </c>
      <c r="K142" s="4" t="s">
        <v>66</v>
      </c>
      <c r="L142" s="4" t="s">
        <v>3742</v>
      </c>
      <c r="M142" s="4" t="s">
        <v>3746</v>
      </c>
      <c r="N142" s="4" t="s">
        <v>3747</v>
      </c>
      <c r="O142" s="17">
        <f>INDEX('список ID из СУЭ с должностями'!$A:$F,MATCH(E142,'список ID из СУЭ с должностями'!$B:$B,0),5)</f>
        <v>0</v>
      </c>
    </row>
    <row r="143" spans="1:15" ht="180">
      <c r="A143" s="3" t="s">
        <v>10</v>
      </c>
      <c r="B143" s="3" t="s">
        <v>11</v>
      </c>
      <c r="C143" s="4">
        <v>2026</v>
      </c>
      <c r="D143" s="5" t="s">
        <v>12</v>
      </c>
      <c r="E143" s="4">
        <v>19</v>
      </c>
      <c r="F143" s="4" t="s">
        <v>193</v>
      </c>
      <c r="G143" s="4" t="s">
        <v>300</v>
      </c>
      <c r="H143" s="4" t="s">
        <v>15</v>
      </c>
      <c r="I143" s="4" t="s">
        <v>303</v>
      </c>
      <c r="J143" s="4" t="s">
        <v>304</v>
      </c>
      <c r="K143" s="4" t="s">
        <v>52</v>
      </c>
      <c r="L143" s="4" t="s">
        <v>3743</v>
      </c>
      <c r="M143" s="4" t="s">
        <v>3746</v>
      </c>
      <c r="N143" s="4" t="s">
        <v>3747</v>
      </c>
      <c r="O143" s="17">
        <f>INDEX('список ID из СУЭ с должностями'!$A:$F,MATCH(E143,'список ID из СУЭ с должностями'!$B:$B,0),5)</f>
        <v>0</v>
      </c>
    </row>
    <row r="144" spans="1:15" ht="120">
      <c r="A144" s="3" t="s">
        <v>10</v>
      </c>
      <c r="B144" s="3" t="s">
        <v>11</v>
      </c>
      <c r="C144" s="4">
        <v>2026</v>
      </c>
      <c r="D144" s="5" t="s">
        <v>12</v>
      </c>
      <c r="E144" s="4">
        <v>19</v>
      </c>
      <c r="F144" s="4" t="s">
        <v>193</v>
      </c>
      <c r="G144" s="4" t="s">
        <v>300</v>
      </c>
      <c r="H144" s="4" t="s">
        <v>15</v>
      </c>
      <c r="I144" s="4" t="s">
        <v>305</v>
      </c>
      <c r="J144" s="4" t="s">
        <v>306</v>
      </c>
      <c r="K144" s="4" t="s">
        <v>35</v>
      </c>
      <c r="L144" s="4" t="s">
        <v>3743</v>
      </c>
      <c r="M144" s="4" t="s">
        <v>3746</v>
      </c>
      <c r="N144" s="4" t="s">
        <v>3747</v>
      </c>
      <c r="O144" s="17">
        <f>INDEX('список ID из СУЭ с должностями'!$A:$F,MATCH(E144,'список ID из СУЭ с должностями'!$B:$B,0),5)</f>
        <v>0</v>
      </c>
    </row>
    <row r="145" spans="1:15" ht="409.5">
      <c r="A145" s="3" t="s">
        <v>10</v>
      </c>
      <c r="B145" s="3" t="s">
        <v>11</v>
      </c>
      <c r="C145" s="4">
        <v>2026</v>
      </c>
      <c r="D145" s="5" t="s">
        <v>12</v>
      </c>
      <c r="E145" s="4">
        <v>20</v>
      </c>
      <c r="F145" s="4" t="s">
        <v>307</v>
      </c>
      <c r="G145" s="4" t="s">
        <v>99</v>
      </c>
      <c r="H145" s="4" t="s">
        <v>21</v>
      </c>
      <c r="I145" s="4" t="s">
        <v>120</v>
      </c>
      <c r="J145" s="4" t="s">
        <v>308</v>
      </c>
      <c r="K145" s="4" t="s">
        <v>30</v>
      </c>
      <c r="L145" s="4" t="s">
        <v>3743</v>
      </c>
      <c r="M145" s="4" t="s">
        <v>3746</v>
      </c>
      <c r="N145" s="4" t="s">
        <v>3747</v>
      </c>
      <c r="O145" s="17">
        <f>INDEX('список ID из СУЭ с должностями'!$A:$F,MATCH(E145,'список ID из СУЭ с должностями'!$B:$B,0),5)</f>
        <v>0</v>
      </c>
    </row>
    <row r="146" spans="1:15" ht="105">
      <c r="A146" s="3" t="s">
        <v>10</v>
      </c>
      <c r="B146" s="3" t="s">
        <v>11</v>
      </c>
      <c r="C146" s="4">
        <v>2026</v>
      </c>
      <c r="D146" s="5" t="s">
        <v>12</v>
      </c>
      <c r="E146" s="4">
        <v>20</v>
      </c>
      <c r="F146" s="4" t="s">
        <v>307</v>
      </c>
      <c r="G146" s="4" t="s">
        <v>99</v>
      </c>
      <c r="H146" s="4" t="s">
        <v>15</v>
      </c>
      <c r="I146" s="4" t="s">
        <v>26</v>
      </c>
      <c r="J146" s="4" t="s">
        <v>27</v>
      </c>
      <c r="K146" s="4" t="s">
        <v>25</v>
      </c>
      <c r="L146" s="4" t="s">
        <v>3743</v>
      </c>
      <c r="M146" s="4" t="s">
        <v>3746</v>
      </c>
      <c r="N146" s="4" t="s">
        <v>3747</v>
      </c>
      <c r="O146" s="17">
        <f>INDEX('список ID из СУЭ с должностями'!$A:$F,MATCH(E146,'список ID из СУЭ с должностями'!$B:$B,0),5)</f>
        <v>0</v>
      </c>
    </row>
    <row r="147" spans="1:15" ht="105">
      <c r="A147" s="3" t="s">
        <v>10</v>
      </c>
      <c r="B147" s="3" t="s">
        <v>11</v>
      </c>
      <c r="C147" s="4">
        <v>2026</v>
      </c>
      <c r="D147" s="5" t="s">
        <v>12</v>
      </c>
      <c r="E147" s="4">
        <v>20</v>
      </c>
      <c r="F147" s="4" t="s">
        <v>307</v>
      </c>
      <c r="G147" s="4" t="s">
        <v>99</v>
      </c>
      <c r="H147" s="4" t="s">
        <v>15</v>
      </c>
      <c r="I147" s="4" t="s">
        <v>309</v>
      </c>
      <c r="J147" s="4" t="s">
        <v>115</v>
      </c>
      <c r="K147" s="4" t="s">
        <v>310</v>
      </c>
      <c r="L147" s="4" t="s">
        <v>3742</v>
      </c>
      <c r="M147" s="4" t="s">
        <v>3746</v>
      </c>
      <c r="N147" s="4" t="s">
        <v>3755</v>
      </c>
      <c r="O147" s="17">
        <f>INDEX('список ID из СУЭ с должностями'!$A:$F,MATCH(E147,'список ID из СУЭ с должностями'!$B:$B,0),5)</f>
        <v>0</v>
      </c>
    </row>
    <row r="148" spans="1:15" ht="195">
      <c r="A148" s="3" t="s">
        <v>10</v>
      </c>
      <c r="B148" s="3" t="s">
        <v>11</v>
      </c>
      <c r="C148" s="4">
        <v>2026</v>
      </c>
      <c r="D148" s="5" t="s">
        <v>12</v>
      </c>
      <c r="E148" s="4">
        <v>20</v>
      </c>
      <c r="F148" s="4" t="s">
        <v>307</v>
      </c>
      <c r="G148" s="4" t="s">
        <v>99</v>
      </c>
      <c r="H148" s="4" t="s">
        <v>15</v>
      </c>
      <c r="I148" s="4" t="s">
        <v>112</v>
      </c>
      <c r="J148" s="4" t="s">
        <v>113</v>
      </c>
      <c r="K148" s="4" t="s">
        <v>310</v>
      </c>
      <c r="L148" s="4" t="s">
        <v>3743</v>
      </c>
      <c r="M148" s="4" t="s">
        <v>3746</v>
      </c>
      <c r="N148" s="4" t="s">
        <v>3755</v>
      </c>
      <c r="O148" s="17">
        <f>INDEX('список ID из СУЭ с должностями'!$A:$F,MATCH(E148,'список ID из СУЭ с должностями'!$B:$B,0),5)</f>
        <v>0</v>
      </c>
    </row>
    <row r="149" spans="1:15" ht="105">
      <c r="A149" s="3" t="s">
        <v>10</v>
      </c>
      <c r="B149" s="3" t="s">
        <v>11</v>
      </c>
      <c r="C149" s="4">
        <v>2026</v>
      </c>
      <c r="D149" s="5" t="s">
        <v>12</v>
      </c>
      <c r="E149" s="4">
        <v>20</v>
      </c>
      <c r="F149" s="4" t="s">
        <v>307</v>
      </c>
      <c r="G149" s="4" t="s">
        <v>99</v>
      </c>
      <c r="H149" s="4" t="s">
        <v>15</v>
      </c>
      <c r="I149" s="4" t="s">
        <v>106</v>
      </c>
      <c r="J149" s="4" t="s">
        <v>107</v>
      </c>
      <c r="K149" s="4" t="s">
        <v>311</v>
      </c>
      <c r="L149" s="4" t="s">
        <v>3743</v>
      </c>
      <c r="M149" s="4" t="s">
        <v>3746</v>
      </c>
      <c r="N149" s="4" t="s">
        <v>3755</v>
      </c>
      <c r="O149" s="17">
        <f>INDEX('список ID из СУЭ с должностями'!$A:$F,MATCH(E149,'список ID из СУЭ с должностями'!$B:$B,0),5)</f>
        <v>0</v>
      </c>
    </row>
    <row r="150" spans="1:15" ht="105">
      <c r="A150" s="3" t="s">
        <v>10</v>
      </c>
      <c r="B150" s="3" t="s">
        <v>11</v>
      </c>
      <c r="C150" s="4">
        <v>2026</v>
      </c>
      <c r="D150" s="5" t="s">
        <v>12</v>
      </c>
      <c r="E150" s="4">
        <v>20</v>
      </c>
      <c r="F150" s="4" t="s">
        <v>307</v>
      </c>
      <c r="G150" s="4" t="s">
        <v>99</v>
      </c>
      <c r="H150" s="4" t="s">
        <v>15</v>
      </c>
      <c r="I150" s="4" t="s">
        <v>110</v>
      </c>
      <c r="J150" s="4" t="s">
        <v>111</v>
      </c>
      <c r="K150" s="4" t="s">
        <v>66</v>
      </c>
      <c r="L150" s="4" t="s">
        <v>3742</v>
      </c>
      <c r="M150" s="4" t="s">
        <v>3746</v>
      </c>
      <c r="N150" s="4" t="s">
        <v>3747</v>
      </c>
      <c r="O150" s="17">
        <f>INDEX('список ID из СУЭ с должностями'!$A:$F,MATCH(E150,'список ID из СУЭ с должностями'!$B:$B,0),5)</f>
        <v>0</v>
      </c>
    </row>
    <row r="151" spans="1:15" ht="105">
      <c r="A151" s="3" t="s">
        <v>10</v>
      </c>
      <c r="B151" s="3" t="s">
        <v>11</v>
      </c>
      <c r="C151" s="4">
        <v>2026</v>
      </c>
      <c r="D151" s="5" t="s">
        <v>12</v>
      </c>
      <c r="E151" s="4">
        <v>20</v>
      </c>
      <c r="F151" s="4" t="s">
        <v>307</v>
      </c>
      <c r="G151" s="4" t="s">
        <v>99</v>
      </c>
      <c r="H151" s="4" t="s">
        <v>15</v>
      </c>
      <c r="I151" s="4" t="s">
        <v>104</v>
      </c>
      <c r="J151" s="4" t="s">
        <v>105</v>
      </c>
      <c r="K151" s="4" t="s">
        <v>312</v>
      </c>
      <c r="L151" s="4" t="s">
        <v>3743</v>
      </c>
      <c r="M151" s="4" t="s">
        <v>3746</v>
      </c>
      <c r="N151" s="4" t="s">
        <v>3755</v>
      </c>
      <c r="O151" s="17">
        <f>INDEX('список ID из СУЭ с должностями'!$A:$F,MATCH(E151,'список ID из СУЭ с должностями'!$B:$B,0),5)</f>
        <v>0</v>
      </c>
    </row>
    <row r="152" spans="1:15" ht="105">
      <c r="A152" s="3" t="s">
        <v>10</v>
      </c>
      <c r="B152" s="3" t="s">
        <v>11</v>
      </c>
      <c r="C152" s="4">
        <v>2026</v>
      </c>
      <c r="D152" s="5" t="s">
        <v>12</v>
      </c>
      <c r="E152" s="4">
        <v>20</v>
      </c>
      <c r="F152" s="4" t="s">
        <v>307</v>
      </c>
      <c r="G152" s="4" t="s">
        <v>99</v>
      </c>
      <c r="H152" s="4" t="s">
        <v>15</v>
      </c>
      <c r="I152" s="4" t="s">
        <v>108</v>
      </c>
      <c r="J152" s="4" t="s">
        <v>109</v>
      </c>
      <c r="K152" s="4" t="s">
        <v>312</v>
      </c>
      <c r="L152" s="4" t="s">
        <v>3742</v>
      </c>
      <c r="M152" s="4" t="s">
        <v>3746</v>
      </c>
      <c r="N152" s="4" t="s">
        <v>3755</v>
      </c>
      <c r="O152" s="17">
        <f>INDEX('список ID из СУЭ с должностями'!$A:$F,MATCH(E152,'список ID из СУЭ с должностями'!$B:$B,0),5)</f>
        <v>0</v>
      </c>
    </row>
    <row r="153" spans="1:15" ht="105">
      <c r="A153" s="3" t="s">
        <v>10</v>
      </c>
      <c r="B153" s="3" t="s">
        <v>11</v>
      </c>
      <c r="C153" s="4">
        <v>2026</v>
      </c>
      <c r="D153" s="5" t="s">
        <v>12</v>
      </c>
      <c r="E153" s="4">
        <v>20</v>
      </c>
      <c r="F153" s="4" t="s">
        <v>307</v>
      </c>
      <c r="G153" s="4" t="s">
        <v>99</v>
      </c>
      <c r="H153" s="4" t="s">
        <v>15</v>
      </c>
      <c r="I153" s="4" t="s">
        <v>313</v>
      </c>
      <c r="J153" s="4" t="s">
        <v>314</v>
      </c>
      <c r="K153" s="4" t="s">
        <v>312</v>
      </c>
      <c r="L153" s="4" t="s">
        <v>3742</v>
      </c>
      <c r="M153" s="4" t="s">
        <v>3746</v>
      </c>
      <c r="N153" s="4" t="s">
        <v>3755</v>
      </c>
      <c r="O153" s="17">
        <f>INDEX('список ID из СУЭ с должностями'!$A:$F,MATCH(E153,'список ID из СУЭ с должностями'!$B:$B,0),5)</f>
        <v>0</v>
      </c>
    </row>
    <row r="154" spans="1:15" ht="105">
      <c r="A154" s="3" t="s">
        <v>10</v>
      </c>
      <c r="B154" s="3" t="s">
        <v>11</v>
      </c>
      <c r="C154" s="4">
        <v>2026</v>
      </c>
      <c r="D154" s="5" t="s">
        <v>12</v>
      </c>
      <c r="E154" s="4">
        <v>20</v>
      </c>
      <c r="F154" s="4" t="s">
        <v>307</v>
      </c>
      <c r="G154" s="4" t="s">
        <v>99</v>
      </c>
      <c r="H154" s="4" t="s">
        <v>15</v>
      </c>
      <c r="I154" s="4" t="s">
        <v>315</v>
      </c>
      <c r="J154" s="4" t="s">
        <v>182</v>
      </c>
      <c r="K154" s="4" t="s">
        <v>312</v>
      </c>
      <c r="L154" s="4" t="s">
        <v>3742</v>
      </c>
      <c r="M154" s="4" t="s">
        <v>3746</v>
      </c>
      <c r="N154" s="4" t="s">
        <v>3755</v>
      </c>
      <c r="O154" s="17">
        <f>INDEX('список ID из СУЭ с должностями'!$A:$F,MATCH(E154,'список ID из СУЭ с должностями'!$B:$B,0),5)</f>
        <v>0</v>
      </c>
    </row>
    <row r="155" spans="1:15" ht="135">
      <c r="A155" s="3" t="s">
        <v>10</v>
      </c>
      <c r="B155" s="3" t="s">
        <v>11</v>
      </c>
      <c r="C155" s="4">
        <v>2026</v>
      </c>
      <c r="D155" s="5" t="s">
        <v>12</v>
      </c>
      <c r="E155" s="4">
        <v>21</v>
      </c>
      <c r="F155" s="4" t="s">
        <v>316</v>
      </c>
      <c r="G155" s="4" t="s">
        <v>317</v>
      </c>
      <c r="H155" s="4" t="s">
        <v>15</v>
      </c>
      <c r="I155" s="4" t="s">
        <v>318</v>
      </c>
      <c r="J155" s="4" t="s">
        <v>319</v>
      </c>
      <c r="K155" s="4" t="s">
        <v>25</v>
      </c>
      <c r="L155" s="4" t="s">
        <v>3743</v>
      </c>
      <c r="M155" s="4" t="s">
        <v>3746</v>
      </c>
      <c r="N155" s="4" t="s">
        <v>3747</v>
      </c>
      <c r="O155" s="17">
        <f>INDEX('список ID из СУЭ с должностями'!$A:$F,MATCH(E155,'список ID из СУЭ с должностями'!$B:$B,0),5)</f>
        <v>0</v>
      </c>
    </row>
    <row r="156" spans="1:15" ht="105">
      <c r="A156" s="3" t="s">
        <v>10</v>
      </c>
      <c r="B156" s="3" t="s">
        <v>11</v>
      </c>
      <c r="C156" s="4">
        <v>2026</v>
      </c>
      <c r="D156" s="5" t="s">
        <v>12</v>
      </c>
      <c r="E156" s="4">
        <v>21</v>
      </c>
      <c r="F156" s="4" t="s">
        <v>316</v>
      </c>
      <c r="G156" s="4" t="s">
        <v>317</v>
      </c>
      <c r="H156" s="4" t="s">
        <v>15</v>
      </c>
      <c r="I156" s="4" t="s">
        <v>321</v>
      </c>
      <c r="J156" s="4" t="s">
        <v>322</v>
      </c>
      <c r="K156" s="4" t="s">
        <v>25</v>
      </c>
      <c r="L156" s="4" t="s">
        <v>3743</v>
      </c>
      <c r="M156" s="4" t="s">
        <v>3746</v>
      </c>
      <c r="N156" s="4" t="s">
        <v>3747</v>
      </c>
      <c r="O156" s="17">
        <f>INDEX('список ID из СУЭ с должностями'!$A:$F,MATCH(E156,'список ID из СУЭ с должностями'!$B:$B,0),5)</f>
        <v>0</v>
      </c>
    </row>
    <row r="157" spans="1:15" ht="270">
      <c r="A157" s="3" t="s">
        <v>10</v>
      </c>
      <c r="B157" s="3" t="s">
        <v>11</v>
      </c>
      <c r="C157" s="4">
        <v>2026</v>
      </c>
      <c r="D157" s="5" t="s">
        <v>12</v>
      </c>
      <c r="E157" s="4">
        <v>21</v>
      </c>
      <c r="F157" s="4" t="s">
        <v>316</v>
      </c>
      <c r="G157" s="4" t="s">
        <v>317</v>
      </c>
      <c r="H157" s="4" t="s">
        <v>15</v>
      </c>
      <c r="I157" s="4" t="s">
        <v>323</v>
      </c>
      <c r="J157" s="4" t="s">
        <v>324</v>
      </c>
      <c r="K157" s="4" t="s">
        <v>66</v>
      </c>
      <c r="L157" s="4" t="s">
        <v>3743</v>
      </c>
      <c r="M157" s="4" t="s">
        <v>3746</v>
      </c>
      <c r="N157" s="4" t="s">
        <v>3747</v>
      </c>
      <c r="O157" s="17">
        <f>INDEX('список ID из СУЭ с должностями'!$A:$F,MATCH(E157,'список ID из СУЭ с должностями'!$B:$B,0),5)</f>
        <v>0</v>
      </c>
    </row>
    <row r="158" spans="1:15" ht="105">
      <c r="A158" s="3" t="s">
        <v>10</v>
      </c>
      <c r="B158" s="3" t="s">
        <v>11</v>
      </c>
      <c r="C158" s="4">
        <v>2026</v>
      </c>
      <c r="D158" s="5" t="s">
        <v>12</v>
      </c>
      <c r="E158" s="4">
        <v>21</v>
      </c>
      <c r="F158" s="4" t="s">
        <v>316</v>
      </c>
      <c r="G158" s="4" t="s">
        <v>317</v>
      </c>
      <c r="H158" s="4" t="s">
        <v>15</v>
      </c>
      <c r="I158" s="4" t="s">
        <v>325</v>
      </c>
      <c r="J158" s="4" t="s">
        <v>326</v>
      </c>
      <c r="K158" s="4" t="s">
        <v>35</v>
      </c>
      <c r="L158" s="4" t="s">
        <v>3743</v>
      </c>
      <c r="M158" s="4" t="s">
        <v>3746</v>
      </c>
      <c r="N158" s="4" t="s">
        <v>3747</v>
      </c>
      <c r="O158" s="17">
        <f>INDEX('список ID из СУЭ с должностями'!$A:$F,MATCH(E158,'список ID из СУЭ с должностями'!$B:$B,0),5)</f>
        <v>0</v>
      </c>
    </row>
    <row r="159" spans="1:15" ht="409.5">
      <c r="A159" s="3" t="s">
        <v>10</v>
      </c>
      <c r="B159" s="3" t="s">
        <v>11</v>
      </c>
      <c r="C159" s="4">
        <v>2026</v>
      </c>
      <c r="D159" s="5" t="s">
        <v>12</v>
      </c>
      <c r="E159" s="4">
        <v>21</v>
      </c>
      <c r="F159" s="4" t="s">
        <v>316</v>
      </c>
      <c r="G159" s="4" t="s">
        <v>317</v>
      </c>
      <c r="H159" s="4" t="s">
        <v>41</v>
      </c>
      <c r="I159" s="4" t="s">
        <v>327</v>
      </c>
      <c r="J159" s="4" t="s">
        <v>328</v>
      </c>
      <c r="K159" s="4" t="s">
        <v>25</v>
      </c>
      <c r="L159" s="4" t="s">
        <v>3743</v>
      </c>
      <c r="M159" s="4" t="s">
        <v>3746</v>
      </c>
      <c r="N159" s="4" t="s">
        <v>3747</v>
      </c>
      <c r="O159" s="17">
        <f>INDEX('список ID из СУЭ с должностями'!$A:$F,MATCH(E159,'список ID из СУЭ с должностями'!$B:$B,0),5)</f>
        <v>0</v>
      </c>
    </row>
    <row r="160" spans="1:15" ht="45">
      <c r="A160" s="3" t="s">
        <v>10</v>
      </c>
      <c r="B160" s="3" t="s">
        <v>11</v>
      </c>
      <c r="C160" s="4">
        <v>2026</v>
      </c>
      <c r="D160" s="5" t="s">
        <v>12</v>
      </c>
      <c r="E160" s="4">
        <v>22</v>
      </c>
      <c r="F160" s="4" t="s">
        <v>116</v>
      </c>
      <c r="G160" s="4" t="s">
        <v>45</v>
      </c>
      <c r="H160" s="4" t="s">
        <v>15</v>
      </c>
      <c r="I160" s="4" t="s">
        <v>203</v>
      </c>
      <c r="J160" s="4" t="s">
        <v>187</v>
      </c>
      <c r="K160" s="4" t="s">
        <v>35</v>
      </c>
      <c r="L160" s="4" t="s">
        <v>3743</v>
      </c>
      <c r="M160" s="4" t="s">
        <v>3746</v>
      </c>
      <c r="N160" s="4" t="s">
        <v>3747</v>
      </c>
      <c r="O160" s="17">
        <f>INDEX('список ID из СУЭ с должностями'!$A:$F,MATCH(E160,'список ID из СУЭ с должностями'!$B:$B,0),5)</f>
        <v>0</v>
      </c>
    </row>
    <row r="161" spans="1:15" ht="60">
      <c r="A161" s="3" t="s">
        <v>10</v>
      </c>
      <c r="B161" s="3" t="s">
        <v>11</v>
      </c>
      <c r="C161" s="4">
        <v>2026</v>
      </c>
      <c r="D161" s="5" t="s">
        <v>12</v>
      </c>
      <c r="E161" s="4">
        <v>22</v>
      </c>
      <c r="F161" s="4" t="s">
        <v>116</v>
      </c>
      <c r="G161" s="4" t="s">
        <v>45</v>
      </c>
      <c r="H161" s="4" t="s">
        <v>21</v>
      </c>
      <c r="I161" s="4" t="s">
        <v>329</v>
      </c>
      <c r="J161" s="4" t="s">
        <v>330</v>
      </c>
      <c r="K161" s="4" t="s">
        <v>30</v>
      </c>
      <c r="L161" s="4" t="s">
        <v>3743</v>
      </c>
      <c r="M161" s="4" t="s">
        <v>3746</v>
      </c>
      <c r="N161" s="4" t="s">
        <v>3747</v>
      </c>
      <c r="O161" s="17">
        <f>INDEX('список ID из СУЭ с должностями'!$A:$F,MATCH(E161,'список ID из СУЭ с должностями'!$B:$B,0),5)</f>
        <v>0</v>
      </c>
    </row>
    <row r="162" spans="1:15" ht="60">
      <c r="A162" s="3" t="s">
        <v>10</v>
      </c>
      <c r="B162" s="3" t="s">
        <v>11</v>
      </c>
      <c r="C162" s="4">
        <v>2026</v>
      </c>
      <c r="D162" s="5" t="s">
        <v>12</v>
      </c>
      <c r="E162" s="4">
        <v>22</v>
      </c>
      <c r="F162" s="4" t="s">
        <v>116</v>
      </c>
      <c r="G162" s="4" t="s">
        <v>45</v>
      </c>
      <c r="H162" s="4" t="s">
        <v>41</v>
      </c>
      <c r="I162" s="4" t="s">
        <v>331</v>
      </c>
      <c r="J162" s="4"/>
      <c r="K162" s="4" t="s">
        <v>38</v>
      </c>
      <c r="L162" s="4" t="s">
        <v>3743</v>
      </c>
      <c r="M162" s="4" t="s">
        <v>3746</v>
      </c>
      <c r="N162" s="4" t="s">
        <v>3747</v>
      </c>
      <c r="O162" s="17">
        <f>INDEX('список ID из СУЭ с должностями'!$A:$F,MATCH(E162,'список ID из СУЭ с должностями'!$B:$B,0),5)</f>
        <v>0</v>
      </c>
    </row>
    <row r="163" spans="1:15" ht="60">
      <c r="A163" s="3" t="s">
        <v>10</v>
      </c>
      <c r="B163" s="3" t="s">
        <v>11</v>
      </c>
      <c r="C163" s="4">
        <v>2026</v>
      </c>
      <c r="D163" s="5" t="s">
        <v>12</v>
      </c>
      <c r="E163" s="4">
        <v>22</v>
      </c>
      <c r="F163" s="4" t="s">
        <v>116</v>
      </c>
      <c r="G163" s="4" t="s">
        <v>45</v>
      </c>
      <c r="H163" s="4" t="s">
        <v>15</v>
      </c>
      <c r="I163" s="4" t="s">
        <v>332</v>
      </c>
      <c r="J163" s="4" t="s">
        <v>333</v>
      </c>
      <c r="K163" s="4" t="s">
        <v>38</v>
      </c>
      <c r="L163" s="4" t="s">
        <v>3743</v>
      </c>
      <c r="M163" s="4" t="s">
        <v>3746</v>
      </c>
      <c r="N163" s="4" t="s">
        <v>3747</v>
      </c>
      <c r="O163" s="17">
        <f>INDEX('список ID из СУЭ с должностями'!$A:$F,MATCH(E163,'список ID из СУЭ с должностями'!$B:$B,0),5)</f>
        <v>0</v>
      </c>
    </row>
    <row r="164" spans="1:15" ht="60">
      <c r="A164" s="3" t="s">
        <v>10</v>
      </c>
      <c r="B164" s="3" t="s">
        <v>11</v>
      </c>
      <c r="C164" s="4">
        <v>2026</v>
      </c>
      <c r="D164" s="5" t="s">
        <v>12</v>
      </c>
      <c r="E164" s="4">
        <v>23</v>
      </c>
      <c r="F164" s="4" t="s">
        <v>334</v>
      </c>
      <c r="G164" s="4" t="s">
        <v>158</v>
      </c>
      <c r="H164" s="4" t="s">
        <v>41</v>
      </c>
      <c r="I164" s="4" t="s">
        <v>218</v>
      </c>
      <c r="J164" s="4" t="s">
        <v>219</v>
      </c>
      <c r="K164" s="4" t="s">
        <v>220</v>
      </c>
      <c r="L164" s="4" t="s">
        <v>3743</v>
      </c>
      <c r="M164" s="4" t="s">
        <v>3753</v>
      </c>
      <c r="N164" s="4" t="s">
        <v>3747</v>
      </c>
      <c r="O164" s="17">
        <f>INDEX('список ID из СУЭ с должностями'!$A:$F,MATCH(E164,'список ID из СУЭ с должностями'!$B:$B,0),5)</f>
        <v>0</v>
      </c>
    </row>
    <row r="165" spans="1:15" ht="60">
      <c r="A165" s="3" t="s">
        <v>10</v>
      </c>
      <c r="B165" s="3" t="s">
        <v>11</v>
      </c>
      <c r="C165" s="4">
        <v>2026</v>
      </c>
      <c r="D165" s="5" t="s">
        <v>12</v>
      </c>
      <c r="E165" s="4">
        <v>23</v>
      </c>
      <c r="F165" s="4" t="s">
        <v>334</v>
      </c>
      <c r="G165" s="4" t="s">
        <v>158</v>
      </c>
      <c r="H165" s="4" t="s">
        <v>15</v>
      </c>
      <c r="I165" s="4" t="s">
        <v>335</v>
      </c>
      <c r="J165" s="4" t="s">
        <v>336</v>
      </c>
      <c r="K165" s="4" t="s">
        <v>151</v>
      </c>
      <c r="L165" s="4" t="s">
        <v>3743</v>
      </c>
      <c r="M165" s="4" t="s">
        <v>3746</v>
      </c>
      <c r="N165" s="4" t="s">
        <v>3747</v>
      </c>
      <c r="O165" s="17">
        <f>INDEX('список ID из СУЭ с должностями'!$A:$F,MATCH(E165,'список ID из СУЭ с должностями'!$B:$B,0),5)</f>
        <v>0</v>
      </c>
    </row>
    <row r="166" spans="1:15" ht="60">
      <c r="A166" s="3" t="s">
        <v>10</v>
      </c>
      <c r="B166" s="3" t="s">
        <v>11</v>
      </c>
      <c r="C166" s="4">
        <v>2026</v>
      </c>
      <c r="D166" s="5" t="s">
        <v>12</v>
      </c>
      <c r="E166" s="4">
        <v>23</v>
      </c>
      <c r="F166" s="4" t="s">
        <v>334</v>
      </c>
      <c r="G166" s="4" t="s">
        <v>158</v>
      </c>
      <c r="H166" s="4" t="s">
        <v>21</v>
      </c>
      <c r="I166" s="4" t="s">
        <v>259</v>
      </c>
      <c r="J166" s="4" t="s">
        <v>337</v>
      </c>
      <c r="K166" s="4" t="s">
        <v>38</v>
      </c>
      <c r="L166" s="4" t="s">
        <v>3743</v>
      </c>
      <c r="M166" s="4" t="s">
        <v>3746</v>
      </c>
      <c r="N166" s="4" t="s">
        <v>3747</v>
      </c>
      <c r="O166" s="17">
        <f>INDEX('список ID из СУЭ с должностями'!$A:$F,MATCH(E166,'список ID из СУЭ с должностями'!$B:$B,0),5)</f>
        <v>0</v>
      </c>
    </row>
    <row r="167" spans="1:15" ht="75">
      <c r="A167" s="3" t="s">
        <v>10</v>
      </c>
      <c r="B167" s="3" t="s">
        <v>11</v>
      </c>
      <c r="C167" s="4">
        <v>2026</v>
      </c>
      <c r="D167" s="5" t="s">
        <v>12</v>
      </c>
      <c r="E167" s="4">
        <v>23</v>
      </c>
      <c r="F167" s="4" t="s">
        <v>334</v>
      </c>
      <c r="G167" s="4" t="s">
        <v>158</v>
      </c>
      <c r="H167" s="4" t="s">
        <v>21</v>
      </c>
      <c r="I167" s="4" t="s">
        <v>338</v>
      </c>
      <c r="J167" s="4" t="s">
        <v>339</v>
      </c>
      <c r="K167" s="4" t="s">
        <v>151</v>
      </c>
      <c r="L167" s="4" t="s">
        <v>3743</v>
      </c>
      <c r="M167" s="4" t="s">
        <v>3746</v>
      </c>
      <c r="N167" s="4" t="s">
        <v>3747</v>
      </c>
      <c r="O167" s="17">
        <f>INDEX('список ID из СУЭ с должностями'!$A:$F,MATCH(E167,'список ID из СУЭ с должностями'!$B:$B,0),5)</f>
        <v>0</v>
      </c>
    </row>
    <row r="168" spans="1:15" ht="60">
      <c r="A168" s="3" t="s">
        <v>10</v>
      </c>
      <c r="B168" s="3" t="s">
        <v>11</v>
      </c>
      <c r="C168" s="4">
        <v>2026</v>
      </c>
      <c r="D168" s="5" t="s">
        <v>12</v>
      </c>
      <c r="E168" s="4">
        <v>23</v>
      </c>
      <c r="F168" s="4" t="s">
        <v>334</v>
      </c>
      <c r="G168" s="4" t="s">
        <v>158</v>
      </c>
      <c r="H168" s="4" t="s">
        <v>21</v>
      </c>
      <c r="I168" s="4" t="s">
        <v>340</v>
      </c>
      <c r="J168" s="4" t="s">
        <v>341</v>
      </c>
      <c r="K168" s="4" t="s">
        <v>151</v>
      </c>
      <c r="L168" s="4" t="s">
        <v>3743</v>
      </c>
      <c r="M168" s="4" t="s">
        <v>3746</v>
      </c>
      <c r="N168" s="4" t="s">
        <v>3747</v>
      </c>
      <c r="O168" s="17">
        <f>INDEX('список ID из СУЭ с должностями'!$A:$F,MATCH(E168,'список ID из СУЭ с должностями'!$B:$B,0),5)</f>
        <v>0</v>
      </c>
    </row>
    <row r="169" spans="1:15" ht="60">
      <c r="A169" s="3" t="s">
        <v>10</v>
      </c>
      <c r="B169" s="3" t="s">
        <v>11</v>
      </c>
      <c r="C169" s="4">
        <v>2026</v>
      </c>
      <c r="D169" s="5" t="s">
        <v>12</v>
      </c>
      <c r="E169" s="4">
        <v>23</v>
      </c>
      <c r="F169" s="4" t="s">
        <v>334</v>
      </c>
      <c r="G169" s="4" t="s">
        <v>158</v>
      </c>
      <c r="H169" s="4" t="s">
        <v>15</v>
      </c>
      <c r="I169" s="4" t="s">
        <v>342</v>
      </c>
      <c r="J169" s="4" t="s">
        <v>343</v>
      </c>
      <c r="K169" s="4" t="s">
        <v>151</v>
      </c>
      <c r="L169" s="4" t="s">
        <v>3743</v>
      </c>
      <c r="M169" s="4" t="s">
        <v>3746</v>
      </c>
      <c r="N169" s="4" t="s">
        <v>3747</v>
      </c>
      <c r="O169" s="17">
        <f>INDEX('список ID из СУЭ с должностями'!$A:$F,MATCH(E169,'список ID из СУЭ с должностями'!$B:$B,0),5)</f>
        <v>0</v>
      </c>
    </row>
    <row r="170" spans="1:15" ht="45">
      <c r="A170" s="3" t="s">
        <v>10</v>
      </c>
      <c r="B170" s="3" t="s">
        <v>11</v>
      </c>
      <c r="C170" s="4">
        <v>2026</v>
      </c>
      <c r="D170" s="5" t="s">
        <v>12</v>
      </c>
      <c r="E170" s="4">
        <v>23</v>
      </c>
      <c r="F170" s="4" t="s">
        <v>334</v>
      </c>
      <c r="G170" s="4" t="s">
        <v>158</v>
      </c>
      <c r="H170" s="4" t="s">
        <v>15</v>
      </c>
      <c r="I170" s="4" t="s">
        <v>262</v>
      </c>
      <c r="J170" s="4" t="s">
        <v>344</v>
      </c>
      <c r="K170" s="4" t="s">
        <v>35</v>
      </c>
      <c r="L170" s="4" t="s">
        <v>3743</v>
      </c>
      <c r="M170" s="4" t="s">
        <v>3746</v>
      </c>
      <c r="N170" s="4" t="s">
        <v>3747</v>
      </c>
      <c r="O170" s="17">
        <f>INDEX('список ID из СУЭ с должностями'!$A:$F,MATCH(E170,'список ID из СУЭ с должностями'!$B:$B,0),5)</f>
        <v>0</v>
      </c>
    </row>
    <row r="171" spans="1:15" ht="75">
      <c r="A171" s="3" t="s">
        <v>10</v>
      </c>
      <c r="B171" s="3" t="s">
        <v>11</v>
      </c>
      <c r="C171" s="4">
        <v>2026</v>
      </c>
      <c r="D171" s="5" t="s">
        <v>12</v>
      </c>
      <c r="E171" s="4">
        <v>23</v>
      </c>
      <c r="F171" s="4" t="s">
        <v>334</v>
      </c>
      <c r="G171" s="4" t="s">
        <v>158</v>
      </c>
      <c r="H171" s="4" t="s">
        <v>21</v>
      </c>
      <c r="I171" s="4" t="s">
        <v>345</v>
      </c>
      <c r="J171" s="4" t="s">
        <v>346</v>
      </c>
      <c r="K171" s="4" t="s">
        <v>20</v>
      </c>
      <c r="L171" s="4" t="s">
        <v>3743</v>
      </c>
      <c r="M171" s="4" t="s">
        <v>3746</v>
      </c>
      <c r="N171" s="4" t="s">
        <v>3747</v>
      </c>
      <c r="O171" s="17">
        <f>INDEX('список ID из СУЭ с должностями'!$A:$F,MATCH(E171,'список ID из СУЭ с должностями'!$B:$B,0),5)</f>
        <v>0</v>
      </c>
    </row>
    <row r="172" spans="1:15" ht="60">
      <c r="A172" s="3" t="s">
        <v>10</v>
      </c>
      <c r="B172" s="3" t="s">
        <v>11</v>
      </c>
      <c r="C172" s="4">
        <v>2026</v>
      </c>
      <c r="D172" s="5" t="s">
        <v>12</v>
      </c>
      <c r="E172" s="4">
        <v>23</v>
      </c>
      <c r="F172" s="4" t="s">
        <v>334</v>
      </c>
      <c r="G172" s="4" t="s">
        <v>158</v>
      </c>
      <c r="H172" s="4" t="s">
        <v>15</v>
      </c>
      <c r="I172" s="4" t="s">
        <v>226</v>
      </c>
      <c r="J172" s="4" t="s">
        <v>227</v>
      </c>
      <c r="K172" s="4" t="s">
        <v>25</v>
      </c>
      <c r="L172" s="4" t="s">
        <v>3743</v>
      </c>
      <c r="M172" s="4" t="s">
        <v>3746</v>
      </c>
      <c r="N172" s="4" t="s">
        <v>3747</v>
      </c>
      <c r="O172" s="17">
        <f>INDEX('список ID из СУЭ с должностями'!$A:$F,MATCH(E172,'список ID из СУЭ с должностями'!$B:$B,0),5)</f>
        <v>0</v>
      </c>
    </row>
    <row r="173" spans="1:15" ht="60">
      <c r="A173" s="3" t="s">
        <v>10</v>
      </c>
      <c r="B173" s="3" t="s">
        <v>11</v>
      </c>
      <c r="C173" s="4">
        <v>2026</v>
      </c>
      <c r="D173" s="5" t="s">
        <v>12</v>
      </c>
      <c r="E173" s="4">
        <v>23</v>
      </c>
      <c r="F173" s="4" t="s">
        <v>334</v>
      </c>
      <c r="G173" s="4" t="s">
        <v>158</v>
      </c>
      <c r="H173" s="4" t="s">
        <v>21</v>
      </c>
      <c r="I173" s="4" t="s">
        <v>235</v>
      </c>
      <c r="J173" s="4" t="s">
        <v>347</v>
      </c>
      <c r="K173" s="4" t="s">
        <v>52</v>
      </c>
      <c r="L173" s="4" t="s">
        <v>3743</v>
      </c>
      <c r="M173" s="4" t="s">
        <v>3746</v>
      </c>
      <c r="N173" s="4" t="s">
        <v>3747</v>
      </c>
      <c r="O173" s="17">
        <f>INDEX('список ID из СУЭ с должностями'!$A:$F,MATCH(E173,'список ID из СУЭ с должностями'!$B:$B,0),5)</f>
        <v>0</v>
      </c>
    </row>
    <row r="174" spans="1:15" ht="105">
      <c r="A174" s="3" t="s">
        <v>10</v>
      </c>
      <c r="B174" s="3" t="s">
        <v>11</v>
      </c>
      <c r="C174" s="4">
        <v>2026</v>
      </c>
      <c r="D174" s="5" t="s">
        <v>12</v>
      </c>
      <c r="E174" s="4">
        <v>24</v>
      </c>
      <c r="F174" s="4" t="s">
        <v>348</v>
      </c>
      <c r="G174" s="4" t="s">
        <v>349</v>
      </c>
      <c r="H174" s="4" t="s">
        <v>15</v>
      </c>
      <c r="I174" s="4" t="s">
        <v>350</v>
      </c>
      <c r="J174" s="4" t="s">
        <v>351</v>
      </c>
      <c r="K174" s="4" t="s">
        <v>52</v>
      </c>
      <c r="L174" s="4" t="s">
        <v>3743</v>
      </c>
      <c r="M174" s="4" t="s">
        <v>3746</v>
      </c>
      <c r="N174" s="4" t="s">
        <v>3747</v>
      </c>
      <c r="O174" s="17">
        <f>INDEX('список ID из СУЭ с должностями'!$A:$F,MATCH(E174,'список ID из СУЭ с должностями'!$B:$B,0),5)</f>
        <v>0</v>
      </c>
    </row>
    <row r="175" spans="1:15" ht="150">
      <c r="A175" s="3" t="s">
        <v>10</v>
      </c>
      <c r="B175" s="3" t="s">
        <v>11</v>
      </c>
      <c r="C175" s="4">
        <v>2026</v>
      </c>
      <c r="D175" s="5" t="s">
        <v>12</v>
      </c>
      <c r="E175" s="4">
        <v>24</v>
      </c>
      <c r="F175" s="4" t="s">
        <v>348</v>
      </c>
      <c r="G175" s="4" t="s">
        <v>349</v>
      </c>
      <c r="H175" s="4" t="s">
        <v>15</v>
      </c>
      <c r="I175" s="4" t="s">
        <v>352</v>
      </c>
      <c r="J175" s="4" t="s">
        <v>353</v>
      </c>
      <c r="K175" s="4" t="s">
        <v>25</v>
      </c>
      <c r="L175" s="4" t="s">
        <v>3743</v>
      </c>
      <c r="M175" s="4" t="s">
        <v>3746</v>
      </c>
      <c r="N175" s="4" t="s">
        <v>3747</v>
      </c>
      <c r="O175" s="17">
        <f>INDEX('список ID из СУЭ с должностями'!$A:$F,MATCH(E175,'список ID из СУЭ с должностями'!$B:$B,0),5)</f>
        <v>0</v>
      </c>
    </row>
    <row r="176" spans="1:15" ht="150">
      <c r="A176" s="3" t="s">
        <v>10</v>
      </c>
      <c r="B176" s="3" t="s">
        <v>11</v>
      </c>
      <c r="C176" s="4">
        <v>2026</v>
      </c>
      <c r="D176" s="5" t="s">
        <v>12</v>
      </c>
      <c r="E176" s="4">
        <v>24</v>
      </c>
      <c r="F176" s="4" t="s">
        <v>348</v>
      </c>
      <c r="G176" s="4" t="s">
        <v>349</v>
      </c>
      <c r="H176" s="4" t="s">
        <v>15</v>
      </c>
      <c r="I176" s="4" t="s">
        <v>354</v>
      </c>
      <c r="J176" s="4" t="s">
        <v>355</v>
      </c>
      <c r="K176" s="4" t="s">
        <v>25</v>
      </c>
      <c r="L176" s="4" t="s">
        <v>3743</v>
      </c>
      <c r="M176" s="4" t="s">
        <v>3746</v>
      </c>
      <c r="N176" s="4" t="s">
        <v>3747</v>
      </c>
      <c r="O176" s="17">
        <f>INDEX('список ID из СУЭ с должностями'!$A:$F,MATCH(E176,'список ID из СУЭ с должностями'!$B:$B,0),5)</f>
        <v>0</v>
      </c>
    </row>
    <row r="177" spans="1:15" ht="105">
      <c r="A177" s="3" t="s">
        <v>10</v>
      </c>
      <c r="B177" s="3" t="s">
        <v>11</v>
      </c>
      <c r="C177" s="4">
        <v>2026</v>
      </c>
      <c r="D177" s="5" t="s">
        <v>12</v>
      </c>
      <c r="E177" s="4">
        <v>24</v>
      </c>
      <c r="F177" s="4" t="s">
        <v>348</v>
      </c>
      <c r="G177" s="4" t="s">
        <v>349</v>
      </c>
      <c r="H177" s="4" t="s">
        <v>15</v>
      </c>
      <c r="I177" s="4" t="s">
        <v>356</v>
      </c>
      <c r="J177" s="4" t="s">
        <v>357</v>
      </c>
      <c r="K177" s="4" t="s">
        <v>25</v>
      </c>
      <c r="L177" s="4" t="s">
        <v>3743</v>
      </c>
      <c r="M177" s="4" t="s">
        <v>3746</v>
      </c>
      <c r="N177" s="4" t="s">
        <v>3747</v>
      </c>
      <c r="O177" s="17">
        <f>INDEX('список ID из СУЭ с должностями'!$A:$F,MATCH(E177,'список ID из СУЭ с должностями'!$B:$B,0),5)</f>
        <v>0</v>
      </c>
    </row>
    <row r="178" spans="1:15" ht="105">
      <c r="A178" s="3" t="s">
        <v>10</v>
      </c>
      <c r="B178" s="3" t="s">
        <v>11</v>
      </c>
      <c r="C178" s="4">
        <v>2026</v>
      </c>
      <c r="D178" s="5" t="s">
        <v>12</v>
      </c>
      <c r="E178" s="4">
        <v>24</v>
      </c>
      <c r="F178" s="4" t="s">
        <v>348</v>
      </c>
      <c r="G178" s="4" t="s">
        <v>349</v>
      </c>
      <c r="H178" s="4" t="s">
        <v>15</v>
      </c>
      <c r="I178" s="4" t="s">
        <v>358</v>
      </c>
      <c r="J178" s="4" t="s">
        <v>359</v>
      </c>
      <c r="K178" s="4" t="s">
        <v>55</v>
      </c>
      <c r="L178" s="4" t="s">
        <v>3743</v>
      </c>
      <c r="M178" s="4" t="s">
        <v>3746</v>
      </c>
      <c r="N178" s="4" t="s">
        <v>3747</v>
      </c>
      <c r="O178" s="17">
        <f>INDEX('список ID из СУЭ с должностями'!$A:$F,MATCH(E178,'список ID из СУЭ с должностями'!$B:$B,0),5)</f>
        <v>0</v>
      </c>
    </row>
    <row r="179" spans="1:15" ht="315">
      <c r="A179" s="3" t="s">
        <v>10</v>
      </c>
      <c r="B179" s="3" t="s">
        <v>11</v>
      </c>
      <c r="C179" s="4">
        <v>2026</v>
      </c>
      <c r="D179" s="5" t="s">
        <v>12</v>
      </c>
      <c r="E179" s="4">
        <v>24</v>
      </c>
      <c r="F179" s="4" t="s">
        <v>348</v>
      </c>
      <c r="G179" s="4" t="s">
        <v>349</v>
      </c>
      <c r="H179" s="4" t="s">
        <v>15</v>
      </c>
      <c r="I179" s="4" t="s">
        <v>28</v>
      </c>
      <c r="J179" s="4" t="s">
        <v>360</v>
      </c>
      <c r="K179" s="4" t="s">
        <v>52</v>
      </c>
      <c r="L179" s="4" t="s">
        <v>3743</v>
      </c>
      <c r="M179" s="4" t="s">
        <v>3746</v>
      </c>
      <c r="N179" s="4" t="s">
        <v>3747</v>
      </c>
      <c r="O179" s="17">
        <f>INDEX('список ID из СУЭ с должностями'!$A:$F,MATCH(E179,'список ID из СУЭ с должностями'!$B:$B,0),5)</f>
        <v>0</v>
      </c>
    </row>
    <row r="180" spans="1:15" ht="240">
      <c r="A180" s="3" t="s">
        <v>10</v>
      </c>
      <c r="B180" s="3" t="s">
        <v>11</v>
      </c>
      <c r="C180" s="4">
        <v>2026</v>
      </c>
      <c r="D180" s="5" t="s">
        <v>12</v>
      </c>
      <c r="E180" s="4">
        <v>24</v>
      </c>
      <c r="F180" s="4" t="s">
        <v>348</v>
      </c>
      <c r="G180" s="4" t="s">
        <v>349</v>
      </c>
      <c r="H180" s="4" t="s">
        <v>15</v>
      </c>
      <c r="I180" s="4" t="s">
        <v>361</v>
      </c>
      <c r="J180" s="4" t="s">
        <v>362</v>
      </c>
      <c r="K180" s="4" t="s">
        <v>35</v>
      </c>
      <c r="L180" s="4" t="s">
        <v>3743</v>
      </c>
      <c r="M180" s="4" t="s">
        <v>3746</v>
      </c>
      <c r="N180" s="4" t="s">
        <v>3747</v>
      </c>
      <c r="O180" s="17">
        <f>INDEX('список ID из СУЭ с должностями'!$A:$F,MATCH(E180,'список ID из СУЭ с должностями'!$B:$B,0),5)</f>
        <v>0</v>
      </c>
    </row>
    <row r="181" spans="1:15" ht="195">
      <c r="A181" s="3" t="s">
        <v>10</v>
      </c>
      <c r="B181" s="3" t="s">
        <v>11</v>
      </c>
      <c r="C181" s="4">
        <v>2026</v>
      </c>
      <c r="D181" s="5" t="s">
        <v>12</v>
      </c>
      <c r="E181" s="4">
        <v>24</v>
      </c>
      <c r="F181" s="4" t="s">
        <v>348</v>
      </c>
      <c r="G181" s="4" t="s">
        <v>349</v>
      </c>
      <c r="H181" s="4" t="s">
        <v>15</v>
      </c>
      <c r="I181" s="4" t="s">
        <v>318</v>
      </c>
      <c r="J181" s="4" t="s">
        <v>363</v>
      </c>
      <c r="K181" s="4" t="s">
        <v>52</v>
      </c>
      <c r="L181" s="4" t="s">
        <v>3743</v>
      </c>
      <c r="M181" s="4" t="s">
        <v>3746</v>
      </c>
      <c r="N181" s="4" t="s">
        <v>3747</v>
      </c>
      <c r="O181" s="17">
        <f>INDEX('список ID из СУЭ с должностями'!$A:$F,MATCH(E181,'список ID из СУЭ с должностями'!$B:$B,0),5)</f>
        <v>0</v>
      </c>
    </row>
    <row r="182" spans="1:15" ht="150">
      <c r="A182" s="3" t="s">
        <v>10</v>
      </c>
      <c r="B182" s="3" t="s">
        <v>11</v>
      </c>
      <c r="C182" s="4">
        <v>2026</v>
      </c>
      <c r="D182" s="5" t="s">
        <v>12</v>
      </c>
      <c r="E182" s="4">
        <v>24</v>
      </c>
      <c r="F182" s="4" t="s">
        <v>348</v>
      </c>
      <c r="G182" s="4" t="s">
        <v>349</v>
      </c>
      <c r="H182" s="4" t="s">
        <v>15</v>
      </c>
      <c r="I182" s="4" t="s">
        <v>323</v>
      </c>
      <c r="J182" s="4" t="s">
        <v>364</v>
      </c>
      <c r="K182" s="4" t="s">
        <v>52</v>
      </c>
      <c r="L182" s="4" t="s">
        <v>3743</v>
      </c>
      <c r="M182" s="4" t="s">
        <v>3746</v>
      </c>
      <c r="N182" s="4" t="s">
        <v>3747</v>
      </c>
      <c r="O182" s="17">
        <f>INDEX('список ID из СУЭ с должностями'!$A:$F,MATCH(E182,'список ID из СУЭ с должностями'!$B:$B,0),5)</f>
        <v>0</v>
      </c>
    </row>
    <row r="183" spans="1:15" ht="75">
      <c r="A183" s="3" t="s">
        <v>10</v>
      </c>
      <c r="B183" s="3" t="s">
        <v>11</v>
      </c>
      <c r="C183" s="4">
        <v>2026</v>
      </c>
      <c r="D183" s="5" t="s">
        <v>12</v>
      </c>
      <c r="E183" s="4">
        <v>25</v>
      </c>
      <c r="F183" s="4" t="s">
        <v>67</v>
      </c>
      <c r="G183" s="4" t="s">
        <v>365</v>
      </c>
      <c r="H183" s="4" t="s">
        <v>21</v>
      </c>
      <c r="I183" s="4" t="s">
        <v>366</v>
      </c>
      <c r="J183" s="4" t="s">
        <v>367</v>
      </c>
      <c r="K183" s="4" t="s">
        <v>368</v>
      </c>
      <c r="L183" s="4" t="s">
        <v>3743</v>
      </c>
      <c r="M183" s="4" t="s">
        <v>3750</v>
      </c>
      <c r="N183" s="4" t="s">
        <v>3756</v>
      </c>
      <c r="O183" s="17">
        <f>INDEX('список ID из СУЭ с должностями'!$A:$F,MATCH(E183,'список ID из СУЭ с должностями'!$B:$B,0),5)</f>
        <v>0</v>
      </c>
    </row>
    <row r="184" spans="1:15" ht="75">
      <c r="A184" s="3" t="s">
        <v>10</v>
      </c>
      <c r="B184" s="3" t="s">
        <v>11</v>
      </c>
      <c r="C184" s="4">
        <v>2026</v>
      </c>
      <c r="D184" s="5" t="s">
        <v>12</v>
      </c>
      <c r="E184" s="4">
        <v>25</v>
      </c>
      <c r="F184" s="4" t="s">
        <v>67</v>
      </c>
      <c r="G184" s="4" t="s">
        <v>365</v>
      </c>
      <c r="H184" s="4" t="s">
        <v>15</v>
      </c>
      <c r="I184" s="4" t="s">
        <v>369</v>
      </c>
      <c r="J184" s="4" t="s">
        <v>370</v>
      </c>
      <c r="K184" s="4" t="s">
        <v>23</v>
      </c>
      <c r="L184" s="4" t="s">
        <v>3743</v>
      </c>
      <c r="M184" s="4" t="s">
        <v>3748</v>
      </c>
      <c r="N184" s="4" t="s">
        <v>3749</v>
      </c>
      <c r="O184" s="17">
        <f>INDEX('список ID из СУЭ с должностями'!$A:$F,MATCH(E184,'список ID из СУЭ с должностями'!$B:$B,0),5)</f>
        <v>0</v>
      </c>
    </row>
    <row r="185" spans="1:15" ht="75">
      <c r="A185" s="3" t="s">
        <v>10</v>
      </c>
      <c r="B185" s="3" t="s">
        <v>11</v>
      </c>
      <c r="C185" s="4">
        <v>2026</v>
      </c>
      <c r="D185" s="5" t="s">
        <v>12</v>
      </c>
      <c r="E185" s="4">
        <v>25</v>
      </c>
      <c r="F185" s="4" t="s">
        <v>67</v>
      </c>
      <c r="G185" s="4" t="s">
        <v>365</v>
      </c>
      <c r="H185" s="4" t="s">
        <v>15</v>
      </c>
      <c r="I185" s="4" t="s">
        <v>371</v>
      </c>
      <c r="J185" s="4" t="s">
        <v>372</v>
      </c>
      <c r="K185" s="4" t="s">
        <v>23</v>
      </c>
      <c r="L185" s="4" t="s">
        <v>3743</v>
      </c>
      <c r="M185" s="4" t="s">
        <v>3748</v>
      </c>
      <c r="N185" s="4" t="s">
        <v>3749</v>
      </c>
      <c r="O185" s="17">
        <f>INDEX('список ID из СУЭ с должностями'!$A:$F,MATCH(E185,'список ID из СУЭ с должностями'!$B:$B,0),5)</f>
        <v>0</v>
      </c>
    </row>
    <row r="186" spans="1:15" ht="75">
      <c r="A186" s="3" t="s">
        <v>10</v>
      </c>
      <c r="B186" s="3" t="s">
        <v>11</v>
      </c>
      <c r="C186" s="4">
        <v>2026</v>
      </c>
      <c r="D186" s="5" t="s">
        <v>12</v>
      </c>
      <c r="E186" s="4">
        <v>25</v>
      </c>
      <c r="F186" s="4" t="s">
        <v>67</v>
      </c>
      <c r="G186" s="4" t="s">
        <v>365</v>
      </c>
      <c r="H186" s="4" t="s">
        <v>15</v>
      </c>
      <c r="I186" s="4" t="s">
        <v>373</v>
      </c>
      <c r="J186" s="4" t="s">
        <v>374</v>
      </c>
      <c r="K186" s="4" t="s">
        <v>35</v>
      </c>
      <c r="L186" s="4" t="s">
        <v>3743</v>
      </c>
      <c r="M186" s="4" t="s">
        <v>3746</v>
      </c>
      <c r="N186" s="4" t="s">
        <v>3747</v>
      </c>
      <c r="O186" s="17">
        <f>INDEX('список ID из СУЭ с должностями'!$A:$F,MATCH(E186,'список ID из СУЭ с должностями'!$B:$B,0),5)</f>
        <v>0</v>
      </c>
    </row>
    <row r="187" spans="1:15" ht="90">
      <c r="A187" s="3" t="s">
        <v>10</v>
      </c>
      <c r="B187" s="3" t="s">
        <v>11</v>
      </c>
      <c r="C187" s="4">
        <v>2026</v>
      </c>
      <c r="D187" s="5" t="s">
        <v>12</v>
      </c>
      <c r="E187" s="4">
        <v>25</v>
      </c>
      <c r="F187" s="4" t="s">
        <v>67</v>
      </c>
      <c r="G187" s="4" t="s">
        <v>365</v>
      </c>
      <c r="H187" s="4" t="s">
        <v>21</v>
      </c>
      <c r="I187" s="4" t="s">
        <v>375</v>
      </c>
      <c r="J187" s="4" t="s">
        <v>115</v>
      </c>
      <c r="K187" s="4" t="s">
        <v>376</v>
      </c>
      <c r="L187" s="4" t="s">
        <v>3742</v>
      </c>
      <c r="M187" s="4" t="s">
        <v>3750</v>
      </c>
      <c r="N187" s="4" t="s">
        <v>3756</v>
      </c>
      <c r="O187" s="17">
        <f>INDEX('список ID из СУЭ с должностями'!$A:$F,MATCH(E187,'список ID из СУЭ с должностями'!$B:$B,0),5)</f>
        <v>0</v>
      </c>
    </row>
    <row r="188" spans="1:15" ht="90">
      <c r="A188" s="3" t="s">
        <v>10</v>
      </c>
      <c r="B188" s="3" t="s">
        <v>11</v>
      </c>
      <c r="C188" s="4">
        <v>2026</v>
      </c>
      <c r="D188" s="5" t="s">
        <v>12</v>
      </c>
      <c r="E188" s="4">
        <v>25</v>
      </c>
      <c r="F188" s="4" t="s">
        <v>67</v>
      </c>
      <c r="G188" s="4" t="s">
        <v>365</v>
      </c>
      <c r="H188" s="4" t="s">
        <v>15</v>
      </c>
      <c r="I188" s="4" t="s">
        <v>377</v>
      </c>
      <c r="J188" s="4" t="s">
        <v>378</v>
      </c>
      <c r="K188" s="4" t="s">
        <v>379</v>
      </c>
      <c r="L188" s="4" t="s">
        <v>3742</v>
      </c>
      <c r="M188" s="4" t="s">
        <v>3750</v>
      </c>
      <c r="N188" s="4" t="s">
        <v>3756</v>
      </c>
      <c r="O188" s="17">
        <f>INDEX('список ID из СУЭ с должностями'!$A:$F,MATCH(E188,'список ID из СУЭ с должностями'!$B:$B,0),5)</f>
        <v>0</v>
      </c>
    </row>
    <row r="189" spans="1:15" ht="105">
      <c r="A189" s="3" t="s">
        <v>10</v>
      </c>
      <c r="B189" s="3" t="s">
        <v>11</v>
      </c>
      <c r="C189" s="4">
        <v>2026</v>
      </c>
      <c r="D189" s="5" t="s">
        <v>12</v>
      </c>
      <c r="E189" s="4">
        <v>25</v>
      </c>
      <c r="F189" s="4" t="s">
        <v>67</v>
      </c>
      <c r="G189" s="4" t="s">
        <v>365</v>
      </c>
      <c r="H189" s="4" t="s">
        <v>15</v>
      </c>
      <c r="I189" s="4" t="s">
        <v>380</v>
      </c>
      <c r="J189" s="4" t="s">
        <v>381</v>
      </c>
      <c r="K189" s="4" t="s">
        <v>382</v>
      </c>
      <c r="L189" s="4" t="s">
        <v>3742</v>
      </c>
      <c r="M189" s="4" t="s">
        <v>3750</v>
      </c>
      <c r="N189" s="4" t="s">
        <v>3756</v>
      </c>
      <c r="O189" s="17">
        <f>INDEX('список ID из СУЭ с должностями'!$A:$F,MATCH(E189,'список ID из СУЭ с должностями'!$B:$B,0),5)</f>
        <v>0</v>
      </c>
    </row>
    <row r="190" spans="1:15" ht="75">
      <c r="A190" s="3" t="s">
        <v>10</v>
      </c>
      <c r="B190" s="3" t="s">
        <v>11</v>
      </c>
      <c r="C190" s="4">
        <v>2026</v>
      </c>
      <c r="D190" s="5" t="s">
        <v>12</v>
      </c>
      <c r="E190" s="4">
        <v>25</v>
      </c>
      <c r="F190" s="4" t="s">
        <v>67</v>
      </c>
      <c r="G190" s="4" t="s">
        <v>365</v>
      </c>
      <c r="H190" s="4" t="s">
        <v>15</v>
      </c>
      <c r="I190" s="4" t="s">
        <v>383</v>
      </c>
      <c r="J190" s="4" t="s">
        <v>109</v>
      </c>
      <c r="K190" s="4" t="s">
        <v>384</v>
      </c>
      <c r="L190" s="4" t="s">
        <v>3742</v>
      </c>
      <c r="M190" s="4" t="s">
        <v>3750</v>
      </c>
      <c r="N190" s="4" t="s">
        <v>3756</v>
      </c>
      <c r="O190" s="17">
        <f>INDEX('список ID из СУЭ с должностями'!$A:$F,MATCH(E190,'список ID из СУЭ с должностями'!$B:$B,0),5)</f>
        <v>0</v>
      </c>
    </row>
    <row r="191" spans="1:15" ht="45">
      <c r="A191" s="3" t="s">
        <v>10</v>
      </c>
      <c r="B191" s="3" t="s">
        <v>11</v>
      </c>
      <c r="C191" s="4">
        <v>2026</v>
      </c>
      <c r="D191" s="5" t="s">
        <v>12</v>
      </c>
      <c r="E191" s="4">
        <v>26</v>
      </c>
      <c r="F191" s="4" t="s">
        <v>385</v>
      </c>
      <c r="G191" s="4" t="s">
        <v>386</v>
      </c>
      <c r="H191" s="4" t="s">
        <v>15</v>
      </c>
      <c r="I191" s="4" t="s">
        <v>387</v>
      </c>
      <c r="J191" s="4" t="s">
        <v>388</v>
      </c>
      <c r="K191" s="4" t="s">
        <v>66</v>
      </c>
      <c r="L191" s="4" t="s">
        <v>3742</v>
      </c>
      <c r="M191" s="4" t="s">
        <v>3746</v>
      </c>
      <c r="N191" s="4" t="s">
        <v>3747</v>
      </c>
      <c r="O191" s="17">
        <f>INDEX('список ID из СУЭ с должностями'!$A:$F,MATCH(E191,'список ID из СУЭ с должностями'!$B:$B,0),5)</f>
        <v>0</v>
      </c>
    </row>
    <row r="192" spans="1:15" ht="45">
      <c r="A192" s="3" t="s">
        <v>10</v>
      </c>
      <c r="B192" s="3" t="s">
        <v>11</v>
      </c>
      <c r="C192" s="4">
        <v>2026</v>
      </c>
      <c r="D192" s="5" t="s">
        <v>12</v>
      </c>
      <c r="E192" s="4">
        <v>26</v>
      </c>
      <c r="F192" s="4" t="s">
        <v>385</v>
      </c>
      <c r="G192" s="4" t="s">
        <v>386</v>
      </c>
      <c r="H192" s="4" t="s">
        <v>15</v>
      </c>
      <c r="I192" s="4" t="s">
        <v>390</v>
      </c>
      <c r="J192" s="4" t="s">
        <v>182</v>
      </c>
      <c r="K192" s="4" t="s">
        <v>52</v>
      </c>
      <c r="L192" s="4" t="s">
        <v>3742</v>
      </c>
      <c r="M192" s="4" t="s">
        <v>3746</v>
      </c>
      <c r="N192" s="4" t="s">
        <v>3747</v>
      </c>
      <c r="O192" s="17">
        <f>INDEX('список ID из СУЭ с должностями'!$A:$F,MATCH(E192,'список ID из СУЭ с должностями'!$B:$B,0),5)</f>
        <v>0</v>
      </c>
    </row>
    <row r="193" spans="1:15" ht="45">
      <c r="A193" s="3" t="s">
        <v>10</v>
      </c>
      <c r="B193" s="3" t="s">
        <v>11</v>
      </c>
      <c r="C193" s="4">
        <v>2026</v>
      </c>
      <c r="D193" s="5" t="s">
        <v>12</v>
      </c>
      <c r="E193" s="4">
        <v>26</v>
      </c>
      <c r="F193" s="4" t="s">
        <v>385</v>
      </c>
      <c r="G193" s="4" t="s">
        <v>386</v>
      </c>
      <c r="H193" s="4" t="s">
        <v>15</v>
      </c>
      <c r="I193" s="4" t="s">
        <v>391</v>
      </c>
      <c r="J193" s="4" t="s">
        <v>392</v>
      </c>
      <c r="K193" s="4" t="s">
        <v>35</v>
      </c>
      <c r="L193" s="4" t="s">
        <v>3742</v>
      </c>
      <c r="M193" s="4" t="s">
        <v>3746</v>
      </c>
      <c r="N193" s="4" t="s">
        <v>3747</v>
      </c>
      <c r="O193" s="17">
        <f>INDEX('список ID из СУЭ с должностями'!$A:$F,MATCH(E193,'список ID из СУЭ с должностями'!$B:$B,0),5)</f>
        <v>0</v>
      </c>
    </row>
    <row r="194" spans="1:15" ht="60">
      <c r="A194" s="3" t="s">
        <v>10</v>
      </c>
      <c r="B194" s="3" t="s">
        <v>11</v>
      </c>
      <c r="C194" s="4">
        <v>2026</v>
      </c>
      <c r="D194" s="5" t="s">
        <v>12</v>
      </c>
      <c r="E194" s="4">
        <v>26</v>
      </c>
      <c r="F194" s="4" t="s">
        <v>385</v>
      </c>
      <c r="G194" s="4" t="s">
        <v>386</v>
      </c>
      <c r="H194" s="4" t="s">
        <v>21</v>
      </c>
      <c r="I194" s="4" t="s">
        <v>393</v>
      </c>
      <c r="J194" s="4" t="s">
        <v>394</v>
      </c>
      <c r="K194" s="4" t="s">
        <v>151</v>
      </c>
      <c r="L194" s="4" t="s">
        <v>3742</v>
      </c>
      <c r="M194" s="4" t="s">
        <v>3746</v>
      </c>
      <c r="N194" s="4" t="s">
        <v>3747</v>
      </c>
      <c r="O194" s="17">
        <f>INDEX('список ID из СУЭ с должностями'!$A:$F,MATCH(E194,'список ID из СУЭ с должностями'!$B:$B,0),5)</f>
        <v>0</v>
      </c>
    </row>
    <row r="195" spans="1:15" ht="45">
      <c r="A195" s="3" t="s">
        <v>10</v>
      </c>
      <c r="B195" s="3" t="s">
        <v>11</v>
      </c>
      <c r="C195" s="4">
        <v>2026</v>
      </c>
      <c r="D195" s="5" t="s">
        <v>12</v>
      </c>
      <c r="E195" s="4">
        <v>26</v>
      </c>
      <c r="F195" s="4" t="s">
        <v>385</v>
      </c>
      <c r="G195" s="4" t="s">
        <v>386</v>
      </c>
      <c r="H195" s="4" t="s">
        <v>15</v>
      </c>
      <c r="I195" s="4" t="s">
        <v>395</v>
      </c>
      <c r="J195" s="4" t="s">
        <v>164</v>
      </c>
      <c r="K195" s="4" t="s">
        <v>23</v>
      </c>
      <c r="L195" s="4" t="s">
        <v>3742</v>
      </c>
      <c r="M195" s="4" t="s">
        <v>3748</v>
      </c>
      <c r="N195" s="4" t="s">
        <v>3752</v>
      </c>
      <c r="O195" s="17">
        <f>INDEX('список ID из СУЭ с должностями'!$A:$F,MATCH(E195,'список ID из СУЭ с должностями'!$B:$B,0),5)</f>
        <v>0</v>
      </c>
    </row>
    <row r="196" spans="1:15" ht="45">
      <c r="A196" s="3" t="s">
        <v>10</v>
      </c>
      <c r="B196" s="3" t="s">
        <v>11</v>
      </c>
      <c r="C196" s="4">
        <v>2026</v>
      </c>
      <c r="D196" s="5" t="s">
        <v>12</v>
      </c>
      <c r="E196" s="4">
        <v>26</v>
      </c>
      <c r="F196" s="4" t="s">
        <v>385</v>
      </c>
      <c r="G196" s="4" t="s">
        <v>386</v>
      </c>
      <c r="H196" s="4" t="s">
        <v>21</v>
      </c>
      <c r="I196" s="4" t="s">
        <v>396</v>
      </c>
      <c r="J196" s="4" t="s">
        <v>132</v>
      </c>
      <c r="K196" s="4" t="s">
        <v>66</v>
      </c>
      <c r="L196" s="4" t="s">
        <v>3742</v>
      </c>
      <c r="M196" s="4" t="s">
        <v>3746</v>
      </c>
      <c r="N196" s="4" t="s">
        <v>3747</v>
      </c>
      <c r="O196" s="17">
        <f>INDEX('список ID из СУЭ с должностями'!$A:$F,MATCH(E196,'список ID из СУЭ с должностями'!$B:$B,0),5)</f>
        <v>0</v>
      </c>
    </row>
    <row r="197" spans="1:15" ht="60">
      <c r="A197" s="3" t="s">
        <v>10</v>
      </c>
      <c r="B197" s="3" t="s">
        <v>11</v>
      </c>
      <c r="C197" s="4">
        <v>2026</v>
      </c>
      <c r="D197" s="5" t="s">
        <v>12</v>
      </c>
      <c r="E197" s="4">
        <v>26</v>
      </c>
      <c r="F197" s="4" t="s">
        <v>385</v>
      </c>
      <c r="G197" s="4" t="s">
        <v>386</v>
      </c>
      <c r="H197" s="4" t="s">
        <v>21</v>
      </c>
      <c r="I197" s="4" t="s">
        <v>397</v>
      </c>
      <c r="J197" s="4" t="s">
        <v>398</v>
      </c>
      <c r="K197" s="4" t="s">
        <v>188</v>
      </c>
      <c r="L197" s="4" t="s">
        <v>3742</v>
      </c>
      <c r="M197" s="4" t="s">
        <v>3746</v>
      </c>
      <c r="N197" s="4" t="s">
        <v>3747</v>
      </c>
      <c r="O197" s="17">
        <f>INDEX('список ID из СУЭ с должностями'!$A:$F,MATCH(E197,'список ID из СУЭ с должностями'!$B:$B,0),5)</f>
        <v>0</v>
      </c>
    </row>
    <row r="198" spans="1:15" ht="45">
      <c r="A198" s="3" t="s">
        <v>10</v>
      </c>
      <c r="B198" s="3" t="s">
        <v>11</v>
      </c>
      <c r="C198" s="4">
        <v>2026</v>
      </c>
      <c r="D198" s="5" t="s">
        <v>12</v>
      </c>
      <c r="E198" s="4">
        <v>26</v>
      </c>
      <c r="F198" s="4" t="s">
        <v>385</v>
      </c>
      <c r="G198" s="4" t="s">
        <v>386</v>
      </c>
      <c r="H198" s="4" t="s">
        <v>15</v>
      </c>
      <c r="I198" s="4" t="s">
        <v>399</v>
      </c>
      <c r="J198" s="4" t="s">
        <v>182</v>
      </c>
      <c r="K198" s="4" t="s">
        <v>23</v>
      </c>
      <c r="L198" s="4" t="s">
        <v>3742</v>
      </c>
      <c r="M198" s="4" t="s">
        <v>3748</v>
      </c>
      <c r="N198" s="4" t="s">
        <v>3749</v>
      </c>
      <c r="O198" s="17">
        <f>INDEX('список ID из СУЭ с должностями'!$A:$F,MATCH(E198,'список ID из СУЭ с должностями'!$B:$B,0),5)</f>
        <v>0</v>
      </c>
    </row>
    <row r="199" spans="1:15" ht="45">
      <c r="A199" s="3" t="s">
        <v>10</v>
      </c>
      <c r="B199" s="3" t="s">
        <v>11</v>
      </c>
      <c r="C199" s="4">
        <v>2026</v>
      </c>
      <c r="D199" s="5" t="s">
        <v>12</v>
      </c>
      <c r="E199" s="4">
        <v>26</v>
      </c>
      <c r="F199" s="4" t="s">
        <v>385</v>
      </c>
      <c r="G199" s="4" t="s">
        <v>386</v>
      </c>
      <c r="H199" s="4" t="s">
        <v>21</v>
      </c>
      <c r="I199" s="4" t="s">
        <v>400</v>
      </c>
      <c r="J199" s="4" t="s">
        <v>182</v>
      </c>
      <c r="K199" s="4" t="s">
        <v>66</v>
      </c>
      <c r="L199" s="4" t="s">
        <v>3742</v>
      </c>
      <c r="M199" s="4" t="s">
        <v>3746</v>
      </c>
      <c r="N199" s="4" t="s">
        <v>3747</v>
      </c>
      <c r="O199" s="17">
        <f>INDEX('список ID из СУЭ с должностями'!$A:$F,MATCH(E199,'список ID из СУЭ с должностями'!$B:$B,0),5)</f>
        <v>0</v>
      </c>
    </row>
    <row r="200" spans="1:15" ht="45">
      <c r="A200" s="3" t="s">
        <v>10</v>
      </c>
      <c r="B200" s="3" t="s">
        <v>11</v>
      </c>
      <c r="C200" s="4">
        <v>2026</v>
      </c>
      <c r="D200" s="5" t="s">
        <v>12</v>
      </c>
      <c r="E200" s="4">
        <v>26</v>
      </c>
      <c r="F200" s="4" t="s">
        <v>385</v>
      </c>
      <c r="G200" s="4" t="s">
        <v>386</v>
      </c>
      <c r="H200" s="4" t="s">
        <v>41</v>
      </c>
      <c r="I200" s="4" t="s">
        <v>401</v>
      </c>
      <c r="J200" s="4" t="s">
        <v>402</v>
      </c>
      <c r="K200" s="4" t="s">
        <v>66</v>
      </c>
      <c r="L200" s="4" t="s">
        <v>3742</v>
      </c>
      <c r="M200" s="4" t="s">
        <v>3746</v>
      </c>
      <c r="N200" s="4" t="s">
        <v>3747</v>
      </c>
      <c r="O200" s="17">
        <f>INDEX('список ID из СУЭ с должностями'!$A:$F,MATCH(E200,'список ID из СУЭ с должностями'!$B:$B,0),5)</f>
        <v>0</v>
      </c>
    </row>
    <row r="201" spans="1:15" ht="150">
      <c r="A201" s="3" t="s">
        <v>10</v>
      </c>
      <c r="B201" s="3" t="s">
        <v>11</v>
      </c>
      <c r="C201" s="4">
        <v>2026</v>
      </c>
      <c r="D201" s="5" t="s">
        <v>12</v>
      </c>
      <c r="E201" s="4">
        <v>27</v>
      </c>
      <c r="F201" s="4" t="s">
        <v>403</v>
      </c>
      <c r="G201" s="4" t="s">
        <v>404</v>
      </c>
      <c r="H201" s="4" t="s">
        <v>15</v>
      </c>
      <c r="I201" s="4" t="s">
        <v>405</v>
      </c>
      <c r="J201" s="4" t="s">
        <v>406</v>
      </c>
      <c r="K201" s="4" t="s">
        <v>52</v>
      </c>
      <c r="L201" s="4" t="s">
        <v>3743</v>
      </c>
      <c r="M201" s="4" t="s">
        <v>3746</v>
      </c>
      <c r="N201" s="4" t="s">
        <v>3747</v>
      </c>
      <c r="O201" s="17">
        <f>INDEX('список ID из СУЭ с должностями'!$A:$F,MATCH(E201,'список ID из СУЭ с должностями'!$B:$B,0),5)</f>
        <v>0</v>
      </c>
    </row>
    <row r="202" spans="1:15" ht="150">
      <c r="A202" s="3" t="s">
        <v>10</v>
      </c>
      <c r="B202" s="3" t="s">
        <v>11</v>
      </c>
      <c r="C202" s="4">
        <v>2026</v>
      </c>
      <c r="D202" s="5" t="s">
        <v>12</v>
      </c>
      <c r="E202" s="4">
        <v>27</v>
      </c>
      <c r="F202" s="4" t="s">
        <v>403</v>
      </c>
      <c r="G202" s="4" t="s">
        <v>404</v>
      </c>
      <c r="H202" s="4" t="s">
        <v>15</v>
      </c>
      <c r="I202" s="4" t="s">
        <v>408</v>
      </c>
      <c r="J202" s="4" t="s">
        <v>409</v>
      </c>
      <c r="K202" s="4" t="s">
        <v>35</v>
      </c>
      <c r="L202" s="4" t="s">
        <v>3743</v>
      </c>
      <c r="M202" s="4" t="s">
        <v>3746</v>
      </c>
      <c r="N202" s="4" t="s">
        <v>3747</v>
      </c>
      <c r="O202" s="17">
        <f>INDEX('список ID из СУЭ с должностями'!$A:$F,MATCH(E202,'список ID из СУЭ с должностями'!$B:$B,0),5)</f>
        <v>0</v>
      </c>
    </row>
    <row r="203" spans="1:15" ht="75">
      <c r="A203" s="3" t="s">
        <v>10</v>
      </c>
      <c r="B203" s="3" t="s">
        <v>11</v>
      </c>
      <c r="C203" s="4">
        <v>2026</v>
      </c>
      <c r="D203" s="5" t="s">
        <v>12</v>
      </c>
      <c r="E203" s="4">
        <v>27</v>
      </c>
      <c r="F203" s="4" t="s">
        <v>403</v>
      </c>
      <c r="G203" s="4" t="s">
        <v>404</v>
      </c>
      <c r="H203" s="4" t="s">
        <v>21</v>
      </c>
      <c r="I203" s="4" t="s">
        <v>410</v>
      </c>
      <c r="J203" s="4" t="s">
        <v>411</v>
      </c>
      <c r="K203" s="4" t="s">
        <v>52</v>
      </c>
      <c r="L203" s="4" t="s">
        <v>3743</v>
      </c>
      <c r="M203" s="4" t="s">
        <v>3746</v>
      </c>
      <c r="N203" s="4" t="s">
        <v>3747</v>
      </c>
      <c r="O203" s="17">
        <f>INDEX('список ID из СУЭ с должностями'!$A:$F,MATCH(E203,'список ID из СУЭ с должностями'!$B:$B,0),5)</f>
        <v>0</v>
      </c>
    </row>
    <row r="204" spans="1:15" ht="135">
      <c r="A204" s="3" t="s">
        <v>10</v>
      </c>
      <c r="B204" s="3" t="s">
        <v>11</v>
      </c>
      <c r="C204" s="4">
        <v>2026</v>
      </c>
      <c r="D204" s="5" t="s">
        <v>12</v>
      </c>
      <c r="E204" s="4">
        <v>27</v>
      </c>
      <c r="F204" s="4" t="s">
        <v>403</v>
      </c>
      <c r="G204" s="4" t="s">
        <v>404</v>
      </c>
      <c r="H204" s="4" t="s">
        <v>21</v>
      </c>
      <c r="I204" s="4" t="s">
        <v>412</v>
      </c>
      <c r="J204" s="4" t="s">
        <v>413</v>
      </c>
      <c r="K204" s="4" t="s">
        <v>52</v>
      </c>
      <c r="L204" s="4" t="s">
        <v>3743</v>
      </c>
      <c r="M204" s="4" t="s">
        <v>3746</v>
      </c>
      <c r="N204" s="4" t="s">
        <v>3747</v>
      </c>
      <c r="O204" s="17">
        <f>INDEX('список ID из СУЭ с должностями'!$A:$F,MATCH(E204,'список ID из СУЭ с должностями'!$B:$B,0),5)</f>
        <v>0</v>
      </c>
    </row>
    <row r="205" spans="1:15" ht="409.5">
      <c r="A205" s="3" t="s">
        <v>10</v>
      </c>
      <c r="B205" s="3" t="s">
        <v>11</v>
      </c>
      <c r="C205" s="4">
        <v>2026</v>
      </c>
      <c r="D205" s="5" t="s">
        <v>12</v>
      </c>
      <c r="E205" s="4">
        <v>27</v>
      </c>
      <c r="F205" s="4" t="s">
        <v>403</v>
      </c>
      <c r="G205" s="4" t="s">
        <v>404</v>
      </c>
      <c r="H205" s="4" t="s">
        <v>21</v>
      </c>
      <c r="I205" s="4" t="s">
        <v>55</v>
      </c>
      <c r="J205" s="4" t="s">
        <v>414</v>
      </c>
      <c r="K205" s="4" t="s">
        <v>55</v>
      </c>
      <c r="L205" s="4" t="s">
        <v>3743</v>
      </c>
      <c r="M205" s="4" t="s">
        <v>3746</v>
      </c>
      <c r="N205" s="4" t="s">
        <v>3747</v>
      </c>
      <c r="O205" s="17">
        <f>INDEX('список ID из СУЭ с должностями'!$A:$F,MATCH(E205,'список ID из СУЭ с должностями'!$B:$B,0),5)</f>
        <v>0</v>
      </c>
    </row>
    <row r="206" spans="1:15" ht="330">
      <c r="A206" s="3" t="s">
        <v>10</v>
      </c>
      <c r="B206" s="3" t="s">
        <v>11</v>
      </c>
      <c r="C206" s="4">
        <v>2026</v>
      </c>
      <c r="D206" s="5" t="s">
        <v>12</v>
      </c>
      <c r="E206" s="4">
        <v>27</v>
      </c>
      <c r="F206" s="4" t="s">
        <v>403</v>
      </c>
      <c r="G206" s="4" t="s">
        <v>404</v>
      </c>
      <c r="H206" s="4" t="s">
        <v>21</v>
      </c>
      <c r="I206" s="4" t="s">
        <v>52</v>
      </c>
      <c r="J206" s="4" t="s">
        <v>415</v>
      </c>
      <c r="K206" s="4" t="s">
        <v>52</v>
      </c>
      <c r="L206" s="4" t="s">
        <v>3743</v>
      </c>
      <c r="M206" s="4" t="s">
        <v>3746</v>
      </c>
      <c r="N206" s="4" t="s">
        <v>3747</v>
      </c>
      <c r="O206" s="17">
        <f>INDEX('список ID из СУЭ с должностями'!$A:$F,MATCH(E206,'список ID из СУЭ с должностями'!$B:$B,0),5)</f>
        <v>0</v>
      </c>
    </row>
    <row r="207" spans="1:15" ht="60">
      <c r="A207" s="3" t="s">
        <v>10</v>
      </c>
      <c r="B207" s="3" t="s">
        <v>11</v>
      </c>
      <c r="C207" s="4">
        <v>2026</v>
      </c>
      <c r="D207" s="5" t="s">
        <v>12</v>
      </c>
      <c r="E207" s="4">
        <v>28</v>
      </c>
      <c r="F207" s="4" t="s">
        <v>416</v>
      </c>
      <c r="G207" s="4" t="s">
        <v>417</v>
      </c>
      <c r="H207" s="4" t="s">
        <v>21</v>
      </c>
      <c r="I207" s="4" t="s">
        <v>418</v>
      </c>
      <c r="J207" s="4" t="s">
        <v>419</v>
      </c>
      <c r="K207" s="4" t="s">
        <v>52</v>
      </c>
      <c r="L207" s="4" t="s">
        <v>3743</v>
      </c>
      <c r="M207" s="4" t="s">
        <v>3746</v>
      </c>
      <c r="N207" s="4" t="s">
        <v>3747</v>
      </c>
      <c r="O207" s="17">
        <f>INDEX('список ID из СУЭ с должностями'!$A:$F,MATCH(E207,'список ID из СУЭ с должностями'!$B:$B,0),5)</f>
        <v>0</v>
      </c>
    </row>
    <row r="208" spans="1:15" ht="165">
      <c r="A208" s="3" t="s">
        <v>10</v>
      </c>
      <c r="B208" s="3" t="s">
        <v>11</v>
      </c>
      <c r="C208" s="4">
        <v>2026</v>
      </c>
      <c r="D208" s="5" t="s">
        <v>12</v>
      </c>
      <c r="E208" s="4">
        <v>28</v>
      </c>
      <c r="F208" s="4" t="s">
        <v>416</v>
      </c>
      <c r="G208" s="4" t="s">
        <v>417</v>
      </c>
      <c r="H208" s="4" t="s">
        <v>15</v>
      </c>
      <c r="I208" s="4" t="s">
        <v>421</v>
      </c>
      <c r="J208" s="4" t="s">
        <v>422</v>
      </c>
      <c r="K208" s="4" t="s">
        <v>52</v>
      </c>
      <c r="L208" s="4" t="s">
        <v>3743</v>
      </c>
      <c r="M208" s="4" t="s">
        <v>3746</v>
      </c>
      <c r="N208" s="4" t="s">
        <v>3747</v>
      </c>
      <c r="O208" s="17">
        <f>INDEX('список ID из СУЭ с должностями'!$A:$F,MATCH(E208,'список ID из СУЭ с должностями'!$B:$B,0),5)</f>
        <v>0</v>
      </c>
    </row>
    <row r="209" spans="1:15" ht="195">
      <c r="A209" s="3" t="s">
        <v>10</v>
      </c>
      <c r="B209" s="3" t="s">
        <v>11</v>
      </c>
      <c r="C209" s="4">
        <v>2026</v>
      </c>
      <c r="D209" s="5" t="s">
        <v>12</v>
      </c>
      <c r="E209" s="4">
        <v>28</v>
      </c>
      <c r="F209" s="4" t="s">
        <v>416</v>
      </c>
      <c r="G209" s="4" t="s">
        <v>417</v>
      </c>
      <c r="H209" s="4" t="s">
        <v>15</v>
      </c>
      <c r="I209" s="4" t="s">
        <v>423</v>
      </c>
      <c r="J209" s="4" t="s">
        <v>424</v>
      </c>
      <c r="K209" s="4" t="s">
        <v>35</v>
      </c>
      <c r="L209" s="4" t="s">
        <v>3743</v>
      </c>
      <c r="M209" s="4" t="s">
        <v>3746</v>
      </c>
      <c r="N209" s="4" t="s">
        <v>3747</v>
      </c>
      <c r="O209" s="17">
        <f>INDEX('список ID из СУЭ с должностями'!$A:$F,MATCH(E209,'список ID из СУЭ с должностями'!$B:$B,0),5)</f>
        <v>0</v>
      </c>
    </row>
    <row r="210" spans="1:15" ht="105">
      <c r="A210" s="3" t="s">
        <v>10</v>
      </c>
      <c r="B210" s="3" t="s">
        <v>11</v>
      </c>
      <c r="C210" s="4">
        <v>2026</v>
      </c>
      <c r="D210" s="5" t="s">
        <v>12</v>
      </c>
      <c r="E210" s="4">
        <v>28</v>
      </c>
      <c r="F210" s="4" t="s">
        <v>416</v>
      </c>
      <c r="G210" s="4" t="s">
        <v>417</v>
      </c>
      <c r="H210" s="4" t="s">
        <v>15</v>
      </c>
      <c r="I210" s="4" t="s">
        <v>425</v>
      </c>
      <c r="J210" s="4" t="s">
        <v>426</v>
      </c>
      <c r="K210" s="4" t="s">
        <v>55</v>
      </c>
      <c r="L210" s="4" t="s">
        <v>3743</v>
      </c>
      <c r="M210" s="4" t="s">
        <v>3746</v>
      </c>
      <c r="N210" s="4" t="s">
        <v>3747</v>
      </c>
      <c r="O210" s="17">
        <f>INDEX('список ID из СУЭ с должностями'!$A:$F,MATCH(E210,'список ID из СУЭ с должностями'!$B:$B,0),5)</f>
        <v>0</v>
      </c>
    </row>
    <row r="211" spans="1:15" ht="60">
      <c r="A211" s="3" t="s">
        <v>10</v>
      </c>
      <c r="B211" s="3" t="s">
        <v>11</v>
      </c>
      <c r="C211" s="4">
        <v>2026</v>
      </c>
      <c r="D211" s="5" t="s">
        <v>12</v>
      </c>
      <c r="E211" s="4">
        <v>28</v>
      </c>
      <c r="F211" s="4" t="s">
        <v>416</v>
      </c>
      <c r="G211" s="4" t="s">
        <v>417</v>
      </c>
      <c r="H211" s="4" t="s">
        <v>15</v>
      </c>
      <c r="I211" s="4" t="s">
        <v>427</v>
      </c>
      <c r="J211" s="4" t="s">
        <v>428</v>
      </c>
      <c r="K211" s="4" t="s">
        <v>52</v>
      </c>
      <c r="L211" s="4" t="s">
        <v>3743</v>
      </c>
      <c r="M211" s="4" t="s">
        <v>3746</v>
      </c>
      <c r="N211" s="4" t="s">
        <v>3747</v>
      </c>
      <c r="O211" s="17">
        <f>INDEX('список ID из СУЭ с должностями'!$A:$F,MATCH(E211,'список ID из СУЭ с должностями'!$B:$B,0),5)</f>
        <v>0</v>
      </c>
    </row>
    <row r="212" spans="1:15" ht="60">
      <c r="A212" s="3" t="s">
        <v>10</v>
      </c>
      <c r="B212" s="3" t="s">
        <v>11</v>
      </c>
      <c r="C212" s="4">
        <v>2026</v>
      </c>
      <c r="D212" s="5" t="s">
        <v>12</v>
      </c>
      <c r="E212" s="4">
        <v>28</v>
      </c>
      <c r="F212" s="4" t="s">
        <v>416</v>
      </c>
      <c r="G212" s="4" t="s">
        <v>417</v>
      </c>
      <c r="H212" s="4" t="s">
        <v>15</v>
      </c>
      <c r="I212" s="4" t="s">
        <v>429</v>
      </c>
      <c r="J212" s="4" t="s">
        <v>430</v>
      </c>
      <c r="K212" s="4" t="s">
        <v>52</v>
      </c>
      <c r="L212" s="4" t="s">
        <v>3743</v>
      </c>
      <c r="M212" s="4" t="s">
        <v>3746</v>
      </c>
      <c r="N212" s="4" t="s">
        <v>3747</v>
      </c>
      <c r="O212" s="17">
        <f>INDEX('список ID из СУЭ с должностями'!$A:$F,MATCH(E212,'список ID из СУЭ с должностями'!$B:$B,0),5)</f>
        <v>0</v>
      </c>
    </row>
    <row r="213" spans="1:15" ht="120">
      <c r="A213" s="3" t="s">
        <v>10</v>
      </c>
      <c r="B213" s="3" t="s">
        <v>11</v>
      </c>
      <c r="C213" s="4">
        <v>2026</v>
      </c>
      <c r="D213" s="5" t="s">
        <v>12</v>
      </c>
      <c r="E213" s="4">
        <v>28</v>
      </c>
      <c r="F213" s="4" t="s">
        <v>416</v>
      </c>
      <c r="G213" s="4" t="s">
        <v>417</v>
      </c>
      <c r="H213" s="4" t="s">
        <v>15</v>
      </c>
      <c r="I213" s="4" t="s">
        <v>431</v>
      </c>
      <c r="J213" s="4" t="s">
        <v>432</v>
      </c>
      <c r="K213" s="4" t="s">
        <v>52</v>
      </c>
      <c r="L213" s="4" t="s">
        <v>3743</v>
      </c>
      <c r="M213" s="4" t="s">
        <v>3746</v>
      </c>
      <c r="N213" s="4" t="s">
        <v>3747</v>
      </c>
      <c r="O213" s="17">
        <f>INDEX('список ID из СУЭ с должностями'!$A:$F,MATCH(E213,'список ID из СУЭ с должностями'!$B:$B,0),5)</f>
        <v>0</v>
      </c>
    </row>
    <row r="214" spans="1:15" ht="165">
      <c r="A214" s="3" t="s">
        <v>10</v>
      </c>
      <c r="B214" s="3" t="s">
        <v>11</v>
      </c>
      <c r="C214" s="4">
        <v>2026</v>
      </c>
      <c r="D214" s="5" t="s">
        <v>12</v>
      </c>
      <c r="E214" s="4">
        <v>28</v>
      </c>
      <c r="F214" s="4" t="s">
        <v>416</v>
      </c>
      <c r="G214" s="4" t="s">
        <v>417</v>
      </c>
      <c r="H214" s="4" t="s">
        <v>15</v>
      </c>
      <c r="I214" s="4" t="s">
        <v>433</v>
      </c>
      <c r="J214" s="4" t="s">
        <v>434</v>
      </c>
      <c r="K214" s="4" t="s">
        <v>52</v>
      </c>
      <c r="L214" s="4" t="s">
        <v>3743</v>
      </c>
      <c r="M214" s="4" t="s">
        <v>3746</v>
      </c>
      <c r="N214" s="4" t="s">
        <v>3747</v>
      </c>
      <c r="O214" s="17">
        <f>INDEX('список ID из СУЭ с должностями'!$A:$F,MATCH(E214,'список ID из СУЭ с должностями'!$B:$B,0),5)</f>
        <v>0</v>
      </c>
    </row>
    <row r="215" spans="1:15" ht="60">
      <c r="A215" s="3" t="s">
        <v>10</v>
      </c>
      <c r="B215" s="3" t="s">
        <v>11</v>
      </c>
      <c r="C215" s="4">
        <v>2026</v>
      </c>
      <c r="D215" s="5" t="s">
        <v>12</v>
      </c>
      <c r="E215" s="4">
        <v>29</v>
      </c>
      <c r="F215" s="4" t="s">
        <v>153</v>
      </c>
      <c r="G215" s="4" t="s">
        <v>435</v>
      </c>
      <c r="H215" s="4" t="s">
        <v>15</v>
      </c>
      <c r="I215" s="4" t="s">
        <v>175</v>
      </c>
      <c r="J215" s="4" t="s">
        <v>207</v>
      </c>
      <c r="K215" s="4" t="s">
        <v>38</v>
      </c>
      <c r="L215" s="4" t="s">
        <v>3743</v>
      </c>
      <c r="M215" s="4" t="s">
        <v>3746</v>
      </c>
      <c r="N215" s="4" t="s">
        <v>3747</v>
      </c>
      <c r="O215" s="17">
        <f>INDEX('список ID из СУЭ с должностями'!$A:$F,MATCH(E215,'список ID из СУЭ с должностями'!$B:$B,0),5)</f>
        <v>0</v>
      </c>
    </row>
    <row r="216" spans="1:15" ht="90">
      <c r="A216" s="3" t="s">
        <v>10</v>
      </c>
      <c r="B216" s="3" t="s">
        <v>11</v>
      </c>
      <c r="C216" s="4">
        <v>2026</v>
      </c>
      <c r="D216" s="5" t="s">
        <v>12</v>
      </c>
      <c r="E216" s="4">
        <v>29</v>
      </c>
      <c r="F216" s="4" t="s">
        <v>153</v>
      </c>
      <c r="G216" s="4" t="s">
        <v>435</v>
      </c>
      <c r="H216" s="4" t="s">
        <v>15</v>
      </c>
      <c r="I216" s="4" t="s">
        <v>155</v>
      </c>
      <c r="J216" s="4" t="s">
        <v>156</v>
      </c>
      <c r="K216" s="4" t="s">
        <v>30</v>
      </c>
      <c r="L216" s="4" t="s">
        <v>3743</v>
      </c>
      <c r="M216" s="4" t="s">
        <v>3746</v>
      </c>
      <c r="N216" s="4" t="s">
        <v>3747</v>
      </c>
      <c r="O216" s="17">
        <f>INDEX('список ID из СУЭ с должностями'!$A:$F,MATCH(E216,'список ID из СУЭ с должностями'!$B:$B,0),5)</f>
        <v>0</v>
      </c>
    </row>
    <row r="217" spans="1:15" ht="90">
      <c r="A217" s="3" t="s">
        <v>10</v>
      </c>
      <c r="B217" s="3" t="s">
        <v>11</v>
      </c>
      <c r="C217" s="4">
        <v>2026</v>
      </c>
      <c r="D217" s="5" t="s">
        <v>12</v>
      </c>
      <c r="E217" s="4">
        <v>29</v>
      </c>
      <c r="F217" s="4" t="s">
        <v>153</v>
      </c>
      <c r="G217" s="4" t="s">
        <v>435</v>
      </c>
      <c r="H217" s="4" t="s">
        <v>15</v>
      </c>
      <c r="I217" s="4" t="s">
        <v>159</v>
      </c>
      <c r="J217" s="4" t="s">
        <v>213</v>
      </c>
      <c r="K217" s="4" t="s">
        <v>20</v>
      </c>
      <c r="L217" s="4" t="s">
        <v>3743</v>
      </c>
      <c r="M217" s="4" t="s">
        <v>3746</v>
      </c>
      <c r="N217" s="4" t="s">
        <v>3747</v>
      </c>
      <c r="O217" s="17">
        <f>INDEX('список ID из СУЭ с должностями'!$A:$F,MATCH(E217,'список ID из СУЭ с должностями'!$B:$B,0),5)</f>
        <v>0</v>
      </c>
    </row>
    <row r="218" spans="1:15" ht="60">
      <c r="A218" s="3" t="s">
        <v>10</v>
      </c>
      <c r="B218" s="3" t="s">
        <v>11</v>
      </c>
      <c r="C218" s="4">
        <v>2026</v>
      </c>
      <c r="D218" s="5" t="s">
        <v>12</v>
      </c>
      <c r="E218" s="4">
        <v>29</v>
      </c>
      <c r="F218" s="4" t="s">
        <v>153</v>
      </c>
      <c r="G218" s="4" t="s">
        <v>435</v>
      </c>
      <c r="H218" s="4" t="s">
        <v>15</v>
      </c>
      <c r="I218" s="4" t="s">
        <v>161</v>
      </c>
      <c r="J218" s="4" t="s">
        <v>162</v>
      </c>
      <c r="K218" s="4" t="s">
        <v>151</v>
      </c>
      <c r="L218" s="4" t="s">
        <v>3743</v>
      </c>
      <c r="M218" s="4" t="s">
        <v>3746</v>
      </c>
      <c r="N218" s="4" t="s">
        <v>3747</v>
      </c>
      <c r="O218" s="17">
        <f>INDEX('список ID из СУЭ с должностями'!$A:$F,MATCH(E218,'список ID из СУЭ с должностями'!$B:$B,0),5)</f>
        <v>0</v>
      </c>
    </row>
    <row r="219" spans="1:15" ht="60">
      <c r="A219" s="3" t="s">
        <v>10</v>
      </c>
      <c r="B219" s="3" t="s">
        <v>11</v>
      </c>
      <c r="C219" s="4">
        <v>2026</v>
      </c>
      <c r="D219" s="5" t="s">
        <v>12</v>
      </c>
      <c r="E219" s="4">
        <v>29</v>
      </c>
      <c r="F219" s="4" t="s">
        <v>153</v>
      </c>
      <c r="G219" s="4" t="s">
        <v>435</v>
      </c>
      <c r="H219" s="4" t="s">
        <v>41</v>
      </c>
      <c r="I219" s="4" t="s">
        <v>165</v>
      </c>
      <c r="J219" s="4" t="s">
        <v>166</v>
      </c>
      <c r="K219" s="4" t="s">
        <v>151</v>
      </c>
      <c r="L219" s="4" t="s">
        <v>3743</v>
      </c>
      <c r="M219" s="4" t="s">
        <v>3746</v>
      </c>
      <c r="N219" s="4" t="s">
        <v>3747</v>
      </c>
      <c r="O219" s="17">
        <f>INDEX('список ID из СУЭ с должностями'!$A:$F,MATCH(E219,'список ID из СУЭ с должностями'!$B:$B,0),5)</f>
        <v>0</v>
      </c>
    </row>
    <row r="220" spans="1:15" ht="90">
      <c r="A220" s="3" t="s">
        <v>10</v>
      </c>
      <c r="B220" s="3" t="s">
        <v>11</v>
      </c>
      <c r="C220" s="4">
        <v>2026</v>
      </c>
      <c r="D220" s="5" t="s">
        <v>12</v>
      </c>
      <c r="E220" s="4">
        <v>29</v>
      </c>
      <c r="F220" s="4" t="s">
        <v>153</v>
      </c>
      <c r="G220" s="4" t="s">
        <v>435</v>
      </c>
      <c r="H220" s="4" t="s">
        <v>21</v>
      </c>
      <c r="I220" s="4" t="s">
        <v>171</v>
      </c>
      <c r="J220" s="4" t="s">
        <v>172</v>
      </c>
      <c r="K220" s="4" t="s">
        <v>52</v>
      </c>
      <c r="L220" s="4" t="s">
        <v>3743</v>
      </c>
      <c r="M220" s="4" t="s">
        <v>3746</v>
      </c>
      <c r="N220" s="4" t="s">
        <v>3747</v>
      </c>
      <c r="O220" s="17">
        <f>INDEX('список ID из СУЭ с должностями'!$A:$F,MATCH(E220,'список ID из СУЭ с должностями'!$B:$B,0),5)</f>
        <v>0</v>
      </c>
    </row>
    <row r="221" spans="1:15" ht="135">
      <c r="A221" s="3" t="s">
        <v>10</v>
      </c>
      <c r="B221" s="3" t="s">
        <v>11</v>
      </c>
      <c r="C221" s="4">
        <v>2026</v>
      </c>
      <c r="D221" s="5" t="s">
        <v>12</v>
      </c>
      <c r="E221" s="4">
        <v>29</v>
      </c>
      <c r="F221" s="4" t="s">
        <v>153</v>
      </c>
      <c r="G221" s="4" t="s">
        <v>435</v>
      </c>
      <c r="H221" s="4" t="s">
        <v>15</v>
      </c>
      <c r="I221" s="4" t="s">
        <v>167</v>
      </c>
      <c r="J221" s="4" t="s">
        <v>214</v>
      </c>
      <c r="K221" s="4" t="s">
        <v>20</v>
      </c>
      <c r="L221" s="4" t="s">
        <v>3743</v>
      </c>
      <c r="M221" s="4" t="s">
        <v>3746</v>
      </c>
      <c r="N221" s="4" t="s">
        <v>3747</v>
      </c>
      <c r="O221" s="17">
        <f>INDEX('список ID из СУЭ с должностями'!$A:$F,MATCH(E221,'список ID из СУЭ с должностями'!$B:$B,0),5)</f>
        <v>0</v>
      </c>
    </row>
    <row r="222" spans="1:15" ht="60">
      <c r="A222" s="3" t="s">
        <v>10</v>
      </c>
      <c r="B222" s="3" t="s">
        <v>11</v>
      </c>
      <c r="C222" s="4">
        <v>2026</v>
      </c>
      <c r="D222" s="5" t="s">
        <v>12</v>
      </c>
      <c r="E222" s="4">
        <v>29</v>
      </c>
      <c r="F222" s="4" t="s">
        <v>153</v>
      </c>
      <c r="G222" s="4" t="s">
        <v>435</v>
      </c>
      <c r="H222" s="4" t="s">
        <v>15</v>
      </c>
      <c r="I222" s="4" t="s">
        <v>163</v>
      </c>
      <c r="J222" s="4" t="s">
        <v>206</v>
      </c>
      <c r="K222" s="4" t="s">
        <v>38</v>
      </c>
      <c r="L222" s="4" t="s">
        <v>3742</v>
      </c>
      <c r="M222" s="4" t="s">
        <v>3746</v>
      </c>
      <c r="N222" s="4" t="s">
        <v>3747</v>
      </c>
      <c r="O222" s="17">
        <f>INDEX('список ID из СУЭ с должностями'!$A:$F,MATCH(E222,'список ID из СУЭ с должностями'!$B:$B,0),5)</f>
        <v>0</v>
      </c>
    </row>
    <row r="223" spans="1:15" ht="60">
      <c r="A223" s="3" t="s">
        <v>10</v>
      </c>
      <c r="B223" s="3" t="s">
        <v>11</v>
      </c>
      <c r="C223" s="4">
        <v>2026</v>
      </c>
      <c r="D223" s="5" t="s">
        <v>12</v>
      </c>
      <c r="E223" s="4">
        <v>29</v>
      </c>
      <c r="F223" s="4" t="s">
        <v>153</v>
      </c>
      <c r="G223" s="4" t="s">
        <v>435</v>
      </c>
      <c r="H223" s="4" t="s">
        <v>15</v>
      </c>
      <c r="I223" s="4" t="s">
        <v>215</v>
      </c>
      <c r="J223" s="4" t="s">
        <v>211</v>
      </c>
      <c r="K223" s="4" t="s">
        <v>151</v>
      </c>
      <c r="L223" s="4" t="s">
        <v>3743</v>
      </c>
      <c r="M223" s="4" t="s">
        <v>3746</v>
      </c>
      <c r="N223" s="4" t="s">
        <v>3747</v>
      </c>
      <c r="O223" s="17">
        <f>INDEX('список ID из СУЭ с должностями'!$A:$F,MATCH(E223,'список ID из СУЭ с должностями'!$B:$B,0),5)</f>
        <v>0</v>
      </c>
    </row>
    <row r="224" spans="1:15" ht="60">
      <c r="A224" s="3" t="s">
        <v>10</v>
      </c>
      <c r="B224" s="3" t="s">
        <v>11</v>
      </c>
      <c r="C224" s="4">
        <v>2026</v>
      </c>
      <c r="D224" s="5" t="s">
        <v>12</v>
      </c>
      <c r="E224" s="4">
        <v>29</v>
      </c>
      <c r="F224" s="4" t="s">
        <v>153</v>
      </c>
      <c r="G224" s="4" t="s">
        <v>435</v>
      </c>
      <c r="H224" s="4" t="s">
        <v>15</v>
      </c>
      <c r="I224" s="4" t="s">
        <v>216</v>
      </c>
      <c r="J224" s="4" t="s">
        <v>170</v>
      </c>
      <c r="K224" s="4" t="s">
        <v>55</v>
      </c>
      <c r="L224" s="4" t="s">
        <v>3743</v>
      </c>
      <c r="M224" s="4" t="s">
        <v>3746</v>
      </c>
      <c r="N224" s="4" t="s">
        <v>3747</v>
      </c>
      <c r="O224" s="17">
        <f>INDEX('список ID из СУЭ с должностями'!$A:$F,MATCH(E224,'список ID из СУЭ с должностями'!$B:$B,0),5)</f>
        <v>0</v>
      </c>
    </row>
    <row r="225" spans="1:15" ht="75">
      <c r="A225" s="3" t="s">
        <v>10</v>
      </c>
      <c r="B225" s="3" t="s">
        <v>11</v>
      </c>
      <c r="C225" s="4">
        <v>2026</v>
      </c>
      <c r="D225" s="5" t="s">
        <v>12</v>
      </c>
      <c r="E225" s="4">
        <v>30</v>
      </c>
      <c r="F225" s="4" t="s">
        <v>416</v>
      </c>
      <c r="G225" s="4" t="s">
        <v>436</v>
      </c>
      <c r="H225" s="4" t="s">
        <v>15</v>
      </c>
      <c r="I225" s="4" t="s">
        <v>437</v>
      </c>
      <c r="J225" s="4" t="s">
        <v>438</v>
      </c>
      <c r="K225" s="4" t="s">
        <v>52</v>
      </c>
      <c r="L225" s="4" t="s">
        <v>3743</v>
      </c>
      <c r="M225" s="4" t="s">
        <v>3746</v>
      </c>
      <c r="N225" s="4" t="s">
        <v>3747</v>
      </c>
      <c r="O225" s="17">
        <f>INDEX('список ID из СУЭ с должностями'!$A:$F,MATCH(E225,'список ID из СУЭ с должностями'!$B:$B,0),5)</f>
        <v>0</v>
      </c>
    </row>
    <row r="226" spans="1:15" ht="165">
      <c r="A226" s="3" t="s">
        <v>10</v>
      </c>
      <c r="B226" s="3" t="s">
        <v>11</v>
      </c>
      <c r="C226" s="4">
        <v>2026</v>
      </c>
      <c r="D226" s="5" t="s">
        <v>12</v>
      </c>
      <c r="E226" s="4">
        <v>30</v>
      </c>
      <c r="F226" s="4" t="s">
        <v>416</v>
      </c>
      <c r="G226" s="4" t="s">
        <v>436</v>
      </c>
      <c r="H226" s="4" t="s">
        <v>15</v>
      </c>
      <c r="I226" s="4" t="s">
        <v>439</v>
      </c>
      <c r="J226" s="4" t="s">
        <v>440</v>
      </c>
      <c r="K226" s="4" t="s">
        <v>52</v>
      </c>
      <c r="L226" s="4" t="s">
        <v>3743</v>
      </c>
      <c r="M226" s="4" t="s">
        <v>3746</v>
      </c>
      <c r="N226" s="4" t="s">
        <v>3747</v>
      </c>
      <c r="O226" s="17">
        <f>INDEX('список ID из СУЭ с должностями'!$A:$F,MATCH(E226,'список ID из СУЭ с должностями'!$B:$B,0),5)</f>
        <v>0</v>
      </c>
    </row>
    <row r="227" spans="1:15" ht="150">
      <c r="A227" s="3" t="s">
        <v>10</v>
      </c>
      <c r="B227" s="3" t="s">
        <v>11</v>
      </c>
      <c r="C227" s="4">
        <v>2026</v>
      </c>
      <c r="D227" s="5" t="s">
        <v>12</v>
      </c>
      <c r="E227" s="4">
        <v>30</v>
      </c>
      <c r="F227" s="4" t="s">
        <v>416</v>
      </c>
      <c r="G227" s="4" t="s">
        <v>436</v>
      </c>
      <c r="H227" s="4" t="s">
        <v>15</v>
      </c>
      <c r="I227" s="4" t="s">
        <v>441</v>
      </c>
      <c r="J227" s="4" t="s">
        <v>442</v>
      </c>
      <c r="K227" s="4" t="s">
        <v>35</v>
      </c>
      <c r="L227" s="4" t="s">
        <v>3743</v>
      </c>
      <c r="M227" s="4" t="s">
        <v>3746</v>
      </c>
      <c r="N227" s="4" t="s">
        <v>3747</v>
      </c>
      <c r="O227" s="17">
        <f>INDEX('список ID из СУЭ с должностями'!$A:$F,MATCH(E227,'список ID из СУЭ с должностями'!$B:$B,0),5)</f>
        <v>0</v>
      </c>
    </row>
    <row r="228" spans="1:15" ht="60">
      <c r="A228" s="3" t="s">
        <v>10</v>
      </c>
      <c r="B228" s="3" t="s">
        <v>11</v>
      </c>
      <c r="C228" s="4">
        <v>2026</v>
      </c>
      <c r="D228" s="5" t="s">
        <v>12</v>
      </c>
      <c r="E228" s="4">
        <v>31</v>
      </c>
      <c r="F228" s="4" t="s">
        <v>67</v>
      </c>
      <c r="G228" s="4" t="s">
        <v>443</v>
      </c>
      <c r="H228" s="4" t="s">
        <v>15</v>
      </c>
      <c r="I228" s="4" t="s">
        <v>444</v>
      </c>
      <c r="J228" s="4" t="s">
        <v>445</v>
      </c>
      <c r="K228" s="4" t="s">
        <v>25</v>
      </c>
      <c r="L228" s="4" t="s">
        <v>3743</v>
      </c>
      <c r="M228" s="4" t="s">
        <v>3746</v>
      </c>
      <c r="N228" s="4" t="s">
        <v>3747</v>
      </c>
      <c r="O228" s="17">
        <f>INDEX('список ID из СУЭ с должностями'!$A:$F,MATCH(E228,'список ID из СУЭ с должностями'!$B:$B,0),5)</f>
        <v>0</v>
      </c>
    </row>
    <row r="229" spans="1:15" ht="60">
      <c r="A229" s="3" t="s">
        <v>10</v>
      </c>
      <c r="B229" s="3" t="s">
        <v>11</v>
      </c>
      <c r="C229" s="4">
        <v>2026</v>
      </c>
      <c r="D229" s="5" t="s">
        <v>12</v>
      </c>
      <c r="E229" s="4">
        <v>31</v>
      </c>
      <c r="F229" s="4" t="s">
        <v>67</v>
      </c>
      <c r="G229" s="4" t="s">
        <v>443</v>
      </c>
      <c r="H229" s="4" t="s">
        <v>15</v>
      </c>
      <c r="I229" s="4" t="s">
        <v>446</v>
      </c>
      <c r="J229" s="4" t="s">
        <v>446</v>
      </c>
      <c r="K229" s="4" t="s">
        <v>25</v>
      </c>
      <c r="L229" s="4" t="s">
        <v>3743</v>
      </c>
      <c r="M229" s="4" t="s">
        <v>3746</v>
      </c>
      <c r="N229" s="4" t="s">
        <v>3747</v>
      </c>
      <c r="O229" s="17">
        <f>INDEX('список ID из СУЭ с должностями'!$A:$F,MATCH(E229,'список ID из СУЭ с должностями'!$B:$B,0),5)</f>
        <v>0</v>
      </c>
    </row>
    <row r="230" spans="1:15" ht="75">
      <c r="A230" s="3" t="s">
        <v>10</v>
      </c>
      <c r="B230" s="3" t="s">
        <v>11</v>
      </c>
      <c r="C230" s="4">
        <v>2026</v>
      </c>
      <c r="D230" s="5" t="s">
        <v>12</v>
      </c>
      <c r="E230" s="4">
        <v>31</v>
      </c>
      <c r="F230" s="4" t="s">
        <v>67</v>
      </c>
      <c r="G230" s="4" t="s">
        <v>443</v>
      </c>
      <c r="H230" s="4" t="s">
        <v>15</v>
      </c>
      <c r="I230" s="4" t="s">
        <v>447</v>
      </c>
      <c r="J230" s="4" t="s">
        <v>184</v>
      </c>
      <c r="K230" s="4" t="s">
        <v>20</v>
      </c>
      <c r="L230" s="4" t="s">
        <v>3743</v>
      </c>
      <c r="M230" s="4" t="s">
        <v>3746</v>
      </c>
      <c r="N230" s="4" t="s">
        <v>3747</v>
      </c>
      <c r="O230" s="17">
        <f>INDEX('список ID из СУЭ с должностями'!$A:$F,MATCH(E230,'список ID из СУЭ с должностями'!$B:$B,0),5)</f>
        <v>0</v>
      </c>
    </row>
    <row r="231" spans="1:15" ht="60">
      <c r="A231" s="3" t="s">
        <v>10</v>
      </c>
      <c r="B231" s="3" t="s">
        <v>11</v>
      </c>
      <c r="C231" s="4">
        <v>2026</v>
      </c>
      <c r="D231" s="5" t="s">
        <v>12</v>
      </c>
      <c r="E231" s="4">
        <v>31</v>
      </c>
      <c r="F231" s="4" t="s">
        <v>67</v>
      </c>
      <c r="G231" s="4" t="s">
        <v>443</v>
      </c>
      <c r="H231" s="4" t="s">
        <v>15</v>
      </c>
      <c r="I231" s="4" t="s">
        <v>448</v>
      </c>
      <c r="J231" s="4" t="s">
        <v>449</v>
      </c>
      <c r="K231" s="4" t="s">
        <v>25</v>
      </c>
      <c r="L231" s="4" t="s">
        <v>3742</v>
      </c>
      <c r="M231" s="4" t="s">
        <v>3746</v>
      </c>
      <c r="N231" s="4" t="s">
        <v>3747</v>
      </c>
      <c r="O231" s="17">
        <f>INDEX('список ID из СУЭ с должностями'!$A:$F,MATCH(E231,'список ID из СУЭ с должностями'!$B:$B,0),5)</f>
        <v>0</v>
      </c>
    </row>
    <row r="232" spans="1:15" ht="60">
      <c r="A232" s="3" t="s">
        <v>10</v>
      </c>
      <c r="B232" s="3" t="s">
        <v>11</v>
      </c>
      <c r="C232" s="4">
        <v>2026</v>
      </c>
      <c r="D232" s="5" t="s">
        <v>12</v>
      </c>
      <c r="E232" s="4">
        <v>31</v>
      </c>
      <c r="F232" s="4" t="s">
        <v>67</v>
      </c>
      <c r="G232" s="4" t="s">
        <v>443</v>
      </c>
      <c r="H232" s="4" t="s">
        <v>15</v>
      </c>
      <c r="I232" s="4" t="s">
        <v>450</v>
      </c>
      <c r="J232" s="4" t="s">
        <v>451</v>
      </c>
      <c r="K232" s="4" t="s">
        <v>38</v>
      </c>
      <c r="L232" s="4" t="s">
        <v>3743</v>
      </c>
      <c r="M232" s="4" t="s">
        <v>3746</v>
      </c>
      <c r="N232" s="4" t="s">
        <v>3747</v>
      </c>
      <c r="O232" s="17">
        <f>INDEX('список ID из СУЭ с должностями'!$A:$F,MATCH(E232,'список ID из СУЭ с должностями'!$B:$B,0),5)</f>
        <v>0</v>
      </c>
    </row>
    <row r="233" spans="1:15" ht="75">
      <c r="A233" s="3" t="s">
        <v>10</v>
      </c>
      <c r="B233" s="3" t="s">
        <v>11</v>
      </c>
      <c r="C233" s="4">
        <v>2026</v>
      </c>
      <c r="D233" s="5" t="s">
        <v>12</v>
      </c>
      <c r="E233" s="4">
        <v>31</v>
      </c>
      <c r="F233" s="4" t="s">
        <v>67</v>
      </c>
      <c r="G233" s="4" t="s">
        <v>443</v>
      </c>
      <c r="H233" s="4" t="s">
        <v>41</v>
      </c>
      <c r="I233" s="4" t="s">
        <v>452</v>
      </c>
      <c r="J233" s="4" t="s">
        <v>453</v>
      </c>
      <c r="K233" s="4" t="s">
        <v>20</v>
      </c>
      <c r="L233" s="4" t="s">
        <v>3742</v>
      </c>
      <c r="M233" s="4" t="s">
        <v>3746</v>
      </c>
      <c r="N233" s="4" t="s">
        <v>3747</v>
      </c>
      <c r="O233" s="17">
        <f>INDEX('список ID из СУЭ с должностями'!$A:$F,MATCH(E233,'список ID из СУЭ с должностями'!$B:$B,0),5)</f>
        <v>0</v>
      </c>
    </row>
    <row r="234" spans="1:15" ht="120">
      <c r="A234" s="3" t="s">
        <v>10</v>
      </c>
      <c r="B234" s="3" t="s">
        <v>11</v>
      </c>
      <c r="C234" s="4">
        <v>2026</v>
      </c>
      <c r="D234" s="5" t="s">
        <v>12</v>
      </c>
      <c r="E234" s="4">
        <v>32</v>
      </c>
      <c r="F234" s="4" t="s">
        <v>454</v>
      </c>
      <c r="G234" s="4" t="s">
        <v>455</v>
      </c>
      <c r="H234" s="4" t="s">
        <v>15</v>
      </c>
      <c r="I234" s="4" t="s">
        <v>456</v>
      </c>
      <c r="J234" s="4" t="s">
        <v>457</v>
      </c>
      <c r="K234" s="4" t="s">
        <v>23</v>
      </c>
      <c r="L234" s="4" t="s">
        <v>3743</v>
      </c>
      <c r="M234" s="4" t="s">
        <v>3748</v>
      </c>
      <c r="N234" s="4" t="s">
        <v>3752</v>
      </c>
      <c r="O234" s="17">
        <f>INDEX('список ID из СУЭ с должностями'!$A:$F,MATCH(E234,'список ID из СУЭ с должностями'!$B:$B,0),5)</f>
        <v>0</v>
      </c>
    </row>
    <row r="235" spans="1:15" ht="375">
      <c r="A235" s="3" t="s">
        <v>10</v>
      </c>
      <c r="B235" s="3" t="s">
        <v>11</v>
      </c>
      <c r="C235" s="4">
        <v>2026</v>
      </c>
      <c r="D235" s="5" t="s">
        <v>12</v>
      </c>
      <c r="E235" s="4">
        <v>32</v>
      </c>
      <c r="F235" s="4" t="s">
        <v>454</v>
      </c>
      <c r="G235" s="4" t="s">
        <v>455</v>
      </c>
      <c r="H235" s="4" t="s">
        <v>15</v>
      </c>
      <c r="I235" s="4" t="s">
        <v>460</v>
      </c>
      <c r="J235" s="4" t="s">
        <v>461</v>
      </c>
      <c r="K235" s="4" t="s">
        <v>38</v>
      </c>
      <c r="L235" s="4" t="s">
        <v>3743</v>
      </c>
      <c r="M235" s="4" t="s">
        <v>3746</v>
      </c>
      <c r="N235" s="4" t="s">
        <v>3747</v>
      </c>
      <c r="O235" s="17">
        <f>INDEX('список ID из СУЭ с должностями'!$A:$F,MATCH(E235,'список ID из СУЭ с должностями'!$B:$B,0),5)</f>
        <v>0</v>
      </c>
    </row>
    <row r="236" spans="1:15" ht="120">
      <c r="A236" s="3" t="s">
        <v>10</v>
      </c>
      <c r="B236" s="3" t="s">
        <v>11</v>
      </c>
      <c r="C236" s="4">
        <v>2026</v>
      </c>
      <c r="D236" s="5" t="s">
        <v>12</v>
      </c>
      <c r="E236" s="4">
        <v>32</v>
      </c>
      <c r="F236" s="4" t="s">
        <v>454</v>
      </c>
      <c r="G236" s="4" t="s">
        <v>455</v>
      </c>
      <c r="H236" s="4" t="s">
        <v>15</v>
      </c>
      <c r="I236" s="4" t="s">
        <v>462</v>
      </c>
      <c r="J236" s="4" t="s">
        <v>463</v>
      </c>
      <c r="K236" s="4" t="s">
        <v>35</v>
      </c>
      <c r="L236" s="4" t="s">
        <v>3742</v>
      </c>
      <c r="M236" s="4" t="s">
        <v>3746</v>
      </c>
      <c r="N236" s="4" t="s">
        <v>3747</v>
      </c>
      <c r="O236" s="17">
        <f>INDEX('список ID из СУЭ с должностями'!$A:$F,MATCH(E236,'список ID из СУЭ с должностями'!$B:$B,0),5)</f>
        <v>0</v>
      </c>
    </row>
    <row r="237" spans="1:15" ht="409.5">
      <c r="A237" s="3" t="s">
        <v>10</v>
      </c>
      <c r="B237" s="3" t="s">
        <v>11</v>
      </c>
      <c r="C237" s="4">
        <v>2026</v>
      </c>
      <c r="D237" s="5" t="s">
        <v>12</v>
      </c>
      <c r="E237" s="4">
        <v>32</v>
      </c>
      <c r="F237" s="4" t="s">
        <v>454</v>
      </c>
      <c r="G237" s="4" t="s">
        <v>455</v>
      </c>
      <c r="H237" s="4" t="s">
        <v>15</v>
      </c>
      <c r="I237" s="4" t="s">
        <v>464</v>
      </c>
      <c r="J237" s="4" t="s">
        <v>465</v>
      </c>
      <c r="K237" s="4" t="s">
        <v>66</v>
      </c>
      <c r="L237" s="4" t="s">
        <v>3743</v>
      </c>
      <c r="M237" s="4" t="s">
        <v>3746</v>
      </c>
      <c r="N237" s="4" t="s">
        <v>3747</v>
      </c>
      <c r="O237" s="17">
        <f>INDEX('список ID из СУЭ с должностями'!$A:$F,MATCH(E237,'список ID из СУЭ с должностями'!$B:$B,0),5)</f>
        <v>0</v>
      </c>
    </row>
    <row r="238" spans="1:15" ht="120">
      <c r="A238" s="3" t="s">
        <v>10</v>
      </c>
      <c r="B238" s="3" t="s">
        <v>11</v>
      </c>
      <c r="C238" s="4">
        <v>2026</v>
      </c>
      <c r="D238" s="5" t="s">
        <v>12</v>
      </c>
      <c r="E238" s="4">
        <v>32</v>
      </c>
      <c r="F238" s="4" t="s">
        <v>454</v>
      </c>
      <c r="G238" s="4" t="s">
        <v>455</v>
      </c>
      <c r="H238" s="4" t="s">
        <v>15</v>
      </c>
      <c r="I238" s="4" t="s">
        <v>466</v>
      </c>
      <c r="J238" s="4" t="s">
        <v>467</v>
      </c>
      <c r="K238" s="4" t="s">
        <v>30</v>
      </c>
      <c r="L238" s="4" t="s">
        <v>3742</v>
      </c>
      <c r="M238" s="4" t="s">
        <v>3746</v>
      </c>
      <c r="N238" s="4" t="s">
        <v>3747</v>
      </c>
      <c r="O238" s="17">
        <f>INDEX('список ID из СУЭ с должностями'!$A:$F,MATCH(E238,'список ID из СУЭ с должностями'!$B:$B,0),5)</f>
        <v>0</v>
      </c>
    </row>
    <row r="239" spans="1:15" ht="120">
      <c r="A239" s="3" t="s">
        <v>10</v>
      </c>
      <c r="B239" s="3" t="s">
        <v>11</v>
      </c>
      <c r="C239" s="4">
        <v>2026</v>
      </c>
      <c r="D239" s="5" t="s">
        <v>12</v>
      </c>
      <c r="E239" s="4">
        <v>32</v>
      </c>
      <c r="F239" s="4" t="s">
        <v>454</v>
      </c>
      <c r="G239" s="4" t="s">
        <v>455</v>
      </c>
      <c r="H239" s="4" t="s">
        <v>15</v>
      </c>
      <c r="I239" s="4" t="s">
        <v>468</v>
      </c>
      <c r="J239" s="4" t="s">
        <v>79</v>
      </c>
      <c r="K239" s="4" t="s">
        <v>30</v>
      </c>
      <c r="L239" s="4" t="s">
        <v>3742</v>
      </c>
      <c r="M239" s="4" t="s">
        <v>3746</v>
      </c>
      <c r="N239" s="4" t="s">
        <v>3747</v>
      </c>
      <c r="O239" s="17">
        <f>INDEX('список ID из СУЭ с должностями'!$A:$F,MATCH(E239,'список ID из СУЭ с должностями'!$B:$B,0),5)</f>
        <v>0</v>
      </c>
    </row>
    <row r="240" spans="1:15" ht="210">
      <c r="A240" s="3" t="s">
        <v>10</v>
      </c>
      <c r="B240" s="3" t="s">
        <v>11</v>
      </c>
      <c r="C240" s="4">
        <v>2026</v>
      </c>
      <c r="D240" s="5" t="s">
        <v>12</v>
      </c>
      <c r="E240" s="4">
        <v>32</v>
      </c>
      <c r="F240" s="4" t="s">
        <v>454</v>
      </c>
      <c r="G240" s="4" t="s">
        <v>455</v>
      </c>
      <c r="H240" s="4" t="s">
        <v>15</v>
      </c>
      <c r="I240" s="4" t="s">
        <v>469</v>
      </c>
      <c r="J240" s="4" t="s">
        <v>470</v>
      </c>
      <c r="K240" s="4" t="s">
        <v>30</v>
      </c>
      <c r="L240" s="4" t="s">
        <v>3743</v>
      </c>
      <c r="M240" s="4" t="s">
        <v>3746</v>
      </c>
      <c r="N240" s="4" t="s">
        <v>3747</v>
      </c>
      <c r="O240" s="17">
        <f>INDEX('список ID из СУЭ с должностями'!$A:$F,MATCH(E240,'список ID из СУЭ с должностями'!$B:$B,0),5)</f>
        <v>0</v>
      </c>
    </row>
    <row r="241" spans="1:15" ht="120">
      <c r="A241" s="3" t="s">
        <v>10</v>
      </c>
      <c r="B241" s="3" t="s">
        <v>11</v>
      </c>
      <c r="C241" s="4">
        <v>2026</v>
      </c>
      <c r="D241" s="5" t="s">
        <v>12</v>
      </c>
      <c r="E241" s="4">
        <v>32</v>
      </c>
      <c r="F241" s="4" t="s">
        <v>454</v>
      </c>
      <c r="G241" s="4" t="s">
        <v>455</v>
      </c>
      <c r="H241" s="4" t="s">
        <v>15</v>
      </c>
      <c r="I241" s="4" t="s">
        <v>471</v>
      </c>
      <c r="J241" s="4" t="s">
        <v>463</v>
      </c>
      <c r="K241" s="4" t="s">
        <v>188</v>
      </c>
      <c r="L241" s="4" t="s">
        <v>3742</v>
      </c>
      <c r="M241" s="4" t="s">
        <v>3746</v>
      </c>
      <c r="N241" s="4" t="s">
        <v>3747</v>
      </c>
      <c r="O241" s="17">
        <f>INDEX('список ID из СУЭ с должностями'!$A:$F,MATCH(E241,'список ID из СУЭ с должностями'!$B:$B,0),5)</f>
        <v>0</v>
      </c>
    </row>
    <row r="242" spans="1:15" ht="409.5">
      <c r="A242" s="3" t="s">
        <v>10</v>
      </c>
      <c r="B242" s="3" t="s">
        <v>11</v>
      </c>
      <c r="C242" s="4">
        <v>2026</v>
      </c>
      <c r="D242" s="5" t="s">
        <v>12</v>
      </c>
      <c r="E242" s="4">
        <v>32</v>
      </c>
      <c r="F242" s="4" t="s">
        <v>454</v>
      </c>
      <c r="G242" s="4" t="s">
        <v>455</v>
      </c>
      <c r="H242" s="4" t="s">
        <v>15</v>
      </c>
      <c r="I242" s="4" t="s">
        <v>472</v>
      </c>
      <c r="J242" s="4" t="s">
        <v>473</v>
      </c>
      <c r="K242" s="4" t="s">
        <v>25</v>
      </c>
      <c r="L242" s="4" t="s">
        <v>3743</v>
      </c>
      <c r="M242" s="4" t="s">
        <v>3746</v>
      </c>
      <c r="N242" s="4" t="s">
        <v>3747</v>
      </c>
      <c r="O242" s="17">
        <f>INDEX('список ID из СУЭ с должностями'!$A:$F,MATCH(E242,'список ID из СУЭ с должностями'!$B:$B,0),5)</f>
        <v>0</v>
      </c>
    </row>
    <row r="243" spans="1:15" ht="60">
      <c r="A243" s="3" t="s">
        <v>10</v>
      </c>
      <c r="B243" s="3" t="s">
        <v>11</v>
      </c>
      <c r="C243" s="4">
        <v>2026</v>
      </c>
      <c r="D243" s="5" t="s">
        <v>12</v>
      </c>
      <c r="E243" s="4">
        <v>33</v>
      </c>
      <c r="F243" s="4" t="s">
        <v>458</v>
      </c>
      <c r="G243" s="4" t="s">
        <v>474</v>
      </c>
      <c r="H243" s="4" t="s">
        <v>21</v>
      </c>
      <c r="I243" s="4" t="s">
        <v>475</v>
      </c>
      <c r="J243" s="4" t="s">
        <v>476</v>
      </c>
      <c r="K243" s="4" t="s">
        <v>52</v>
      </c>
      <c r="L243" s="4" t="s">
        <v>3743</v>
      </c>
      <c r="M243" s="4" t="s">
        <v>3746</v>
      </c>
      <c r="N243" s="4" t="s">
        <v>3747</v>
      </c>
      <c r="O243" s="17">
        <f>INDEX('список ID из СУЭ с должностями'!$A:$F,MATCH(E243,'список ID из СУЭ с должностями'!$B:$B,0),5)</f>
        <v>0</v>
      </c>
    </row>
    <row r="244" spans="1:15" ht="60">
      <c r="A244" s="3" t="s">
        <v>10</v>
      </c>
      <c r="B244" s="3" t="s">
        <v>11</v>
      </c>
      <c r="C244" s="4">
        <v>2026</v>
      </c>
      <c r="D244" s="5" t="s">
        <v>12</v>
      </c>
      <c r="E244" s="4">
        <v>33</v>
      </c>
      <c r="F244" s="4" t="s">
        <v>458</v>
      </c>
      <c r="G244" s="4" t="s">
        <v>474</v>
      </c>
      <c r="H244" s="4" t="s">
        <v>21</v>
      </c>
      <c r="I244" s="4" t="s">
        <v>478</v>
      </c>
      <c r="J244" s="4" t="s">
        <v>479</v>
      </c>
      <c r="K244" s="4" t="s">
        <v>52</v>
      </c>
      <c r="L244" s="4" t="s">
        <v>3743</v>
      </c>
      <c r="M244" s="4" t="s">
        <v>3746</v>
      </c>
      <c r="N244" s="4" t="s">
        <v>3747</v>
      </c>
      <c r="O244" s="17">
        <f>INDEX('список ID из СУЭ с должностями'!$A:$F,MATCH(E244,'список ID из СУЭ с должностями'!$B:$B,0),5)</f>
        <v>0</v>
      </c>
    </row>
    <row r="245" spans="1:15" ht="60">
      <c r="A245" s="3" t="s">
        <v>10</v>
      </c>
      <c r="B245" s="3" t="s">
        <v>11</v>
      </c>
      <c r="C245" s="4">
        <v>2026</v>
      </c>
      <c r="D245" s="5" t="s">
        <v>12</v>
      </c>
      <c r="E245" s="4">
        <v>33</v>
      </c>
      <c r="F245" s="4" t="s">
        <v>458</v>
      </c>
      <c r="G245" s="4" t="s">
        <v>474</v>
      </c>
      <c r="H245" s="4" t="s">
        <v>21</v>
      </c>
      <c r="I245" s="4" t="s">
        <v>480</v>
      </c>
      <c r="J245" s="4" t="s">
        <v>481</v>
      </c>
      <c r="K245" s="4" t="s">
        <v>52</v>
      </c>
      <c r="L245" s="4" t="s">
        <v>3743</v>
      </c>
      <c r="M245" s="4" t="s">
        <v>3746</v>
      </c>
      <c r="N245" s="4" t="s">
        <v>3747</v>
      </c>
      <c r="O245" s="17">
        <f>INDEX('список ID из СУЭ с должностями'!$A:$F,MATCH(E245,'список ID из СУЭ с должностями'!$B:$B,0),5)</f>
        <v>0</v>
      </c>
    </row>
    <row r="246" spans="1:15" ht="60">
      <c r="A246" s="3" t="s">
        <v>10</v>
      </c>
      <c r="B246" s="3" t="s">
        <v>11</v>
      </c>
      <c r="C246" s="4">
        <v>2026</v>
      </c>
      <c r="D246" s="5" t="s">
        <v>12</v>
      </c>
      <c r="E246" s="4">
        <v>33</v>
      </c>
      <c r="F246" s="4" t="s">
        <v>458</v>
      </c>
      <c r="G246" s="4" t="s">
        <v>474</v>
      </c>
      <c r="H246" s="4" t="s">
        <v>21</v>
      </c>
      <c r="I246" s="4" t="s">
        <v>482</v>
      </c>
      <c r="J246" s="4" t="s">
        <v>483</v>
      </c>
      <c r="K246" s="4" t="s">
        <v>52</v>
      </c>
      <c r="L246" s="4" t="s">
        <v>3743</v>
      </c>
      <c r="M246" s="4" t="s">
        <v>3746</v>
      </c>
      <c r="N246" s="4" t="s">
        <v>3747</v>
      </c>
      <c r="O246" s="17">
        <f>INDEX('список ID из СУЭ с должностями'!$A:$F,MATCH(E246,'список ID из СУЭ с должностями'!$B:$B,0),5)</f>
        <v>0</v>
      </c>
    </row>
    <row r="247" spans="1:15" ht="60">
      <c r="A247" s="3" t="s">
        <v>10</v>
      </c>
      <c r="B247" s="3" t="s">
        <v>11</v>
      </c>
      <c r="C247" s="4">
        <v>2026</v>
      </c>
      <c r="D247" s="5" t="s">
        <v>12</v>
      </c>
      <c r="E247" s="4">
        <v>33</v>
      </c>
      <c r="F247" s="4" t="s">
        <v>458</v>
      </c>
      <c r="G247" s="4" t="s">
        <v>474</v>
      </c>
      <c r="H247" s="4" t="s">
        <v>21</v>
      </c>
      <c r="I247" s="4" t="s">
        <v>484</v>
      </c>
      <c r="J247" s="4" t="s">
        <v>483</v>
      </c>
      <c r="K247" s="4" t="s">
        <v>52</v>
      </c>
      <c r="L247" s="4" t="s">
        <v>3743</v>
      </c>
      <c r="M247" s="4" t="s">
        <v>3746</v>
      </c>
      <c r="N247" s="4" t="s">
        <v>3747</v>
      </c>
      <c r="O247" s="17">
        <f>INDEX('список ID из СУЭ с должностями'!$A:$F,MATCH(E247,'список ID из СУЭ с должностями'!$B:$B,0),5)</f>
        <v>0</v>
      </c>
    </row>
    <row r="248" spans="1:15" ht="60">
      <c r="A248" s="3" t="s">
        <v>10</v>
      </c>
      <c r="B248" s="3" t="s">
        <v>11</v>
      </c>
      <c r="C248" s="4">
        <v>2026</v>
      </c>
      <c r="D248" s="5" t="s">
        <v>12</v>
      </c>
      <c r="E248" s="4">
        <v>33</v>
      </c>
      <c r="F248" s="4" t="s">
        <v>458</v>
      </c>
      <c r="G248" s="4" t="s">
        <v>474</v>
      </c>
      <c r="H248" s="4" t="s">
        <v>21</v>
      </c>
      <c r="I248" s="4" t="s">
        <v>485</v>
      </c>
      <c r="J248" s="4" t="s">
        <v>486</v>
      </c>
      <c r="K248" s="4" t="s">
        <v>52</v>
      </c>
      <c r="L248" s="4" t="s">
        <v>3743</v>
      </c>
      <c r="M248" s="4" t="s">
        <v>3746</v>
      </c>
      <c r="N248" s="4" t="s">
        <v>3747</v>
      </c>
      <c r="O248" s="17">
        <f>INDEX('список ID из СУЭ с должностями'!$A:$F,MATCH(E248,'список ID из СУЭ с должностями'!$B:$B,0),5)</f>
        <v>0</v>
      </c>
    </row>
    <row r="249" spans="1:15" ht="60">
      <c r="A249" s="3" t="s">
        <v>10</v>
      </c>
      <c r="B249" s="3" t="s">
        <v>11</v>
      </c>
      <c r="C249" s="4">
        <v>2026</v>
      </c>
      <c r="D249" s="5" t="s">
        <v>12</v>
      </c>
      <c r="E249" s="4">
        <v>33</v>
      </c>
      <c r="F249" s="4" t="s">
        <v>458</v>
      </c>
      <c r="G249" s="4" t="s">
        <v>474</v>
      </c>
      <c r="H249" s="4" t="s">
        <v>21</v>
      </c>
      <c r="I249" s="4" t="s">
        <v>487</v>
      </c>
      <c r="J249" s="4" t="s">
        <v>483</v>
      </c>
      <c r="K249" s="4" t="s">
        <v>66</v>
      </c>
      <c r="L249" s="4" t="s">
        <v>3743</v>
      </c>
      <c r="M249" s="4" t="s">
        <v>3746</v>
      </c>
      <c r="N249" s="4" t="s">
        <v>3747</v>
      </c>
      <c r="O249" s="17">
        <f>INDEX('список ID из СУЭ с должностями'!$A:$F,MATCH(E249,'список ID из СУЭ с должностями'!$B:$B,0),5)</f>
        <v>0</v>
      </c>
    </row>
    <row r="250" spans="1:15" ht="60">
      <c r="A250" s="3" t="s">
        <v>10</v>
      </c>
      <c r="B250" s="3" t="s">
        <v>11</v>
      </c>
      <c r="C250" s="4">
        <v>2026</v>
      </c>
      <c r="D250" s="5" t="s">
        <v>12</v>
      </c>
      <c r="E250" s="4">
        <v>34</v>
      </c>
      <c r="F250" s="4" t="s">
        <v>488</v>
      </c>
      <c r="G250" s="4" t="s">
        <v>417</v>
      </c>
      <c r="H250" s="4" t="s">
        <v>21</v>
      </c>
      <c r="I250" s="4" t="s">
        <v>410</v>
      </c>
      <c r="J250" s="4" t="s">
        <v>489</v>
      </c>
      <c r="K250" s="4" t="s">
        <v>23</v>
      </c>
      <c r="L250" s="4" t="s">
        <v>3743</v>
      </c>
      <c r="M250" s="4" t="s">
        <v>3748</v>
      </c>
      <c r="N250" s="4" t="s">
        <v>3752</v>
      </c>
      <c r="O250" s="17">
        <f>INDEX('список ID из СУЭ с должностями'!$A:$F,MATCH(E250,'список ID из СУЭ с должностями'!$B:$B,0),5)</f>
        <v>0</v>
      </c>
    </row>
    <row r="251" spans="1:15" ht="60">
      <c r="A251" s="3" t="s">
        <v>10</v>
      </c>
      <c r="B251" s="3" t="s">
        <v>11</v>
      </c>
      <c r="C251" s="4">
        <v>2026</v>
      </c>
      <c r="D251" s="5" t="s">
        <v>12</v>
      </c>
      <c r="E251" s="4">
        <v>34</v>
      </c>
      <c r="F251" s="4" t="s">
        <v>488</v>
      </c>
      <c r="G251" s="4" t="s">
        <v>417</v>
      </c>
      <c r="H251" s="4" t="s">
        <v>21</v>
      </c>
      <c r="I251" s="4" t="s">
        <v>490</v>
      </c>
      <c r="J251" s="4" t="s">
        <v>491</v>
      </c>
      <c r="K251" s="4" t="s">
        <v>30</v>
      </c>
      <c r="L251" s="4" t="s">
        <v>3743</v>
      </c>
      <c r="M251" s="4" t="s">
        <v>3746</v>
      </c>
      <c r="N251" s="4" t="s">
        <v>3747</v>
      </c>
      <c r="O251" s="17">
        <f>INDEX('список ID из СУЭ с должностями'!$A:$F,MATCH(E251,'список ID из СУЭ с должностями'!$B:$B,0),5)</f>
        <v>0</v>
      </c>
    </row>
    <row r="252" spans="1:15" ht="195">
      <c r="A252" s="3" t="s">
        <v>10</v>
      </c>
      <c r="B252" s="3" t="s">
        <v>11</v>
      </c>
      <c r="C252" s="4">
        <v>2026</v>
      </c>
      <c r="D252" s="5" t="s">
        <v>12</v>
      </c>
      <c r="E252" s="4">
        <v>34</v>
      </c>
      <c r="F252" s="4" t="s">
        <v>488</v>
      </c>
      <c r="G252" s="4" t="s">
        <v>417</v>
      </c>
      <c r="H252" s="4" t="s">
        <v>15</v>
      </c>
      <c r="I252" s="4" t="s">
        <v>492</v>
      </c>
      <c r="J252" s="4" t="s">
        <v>493</v>
      </c>
      <c r="K252" s="4" t="s">
        <v>23</v>
      </c>
      <c r="L252" s="4" t="s">
        <v>3743</v>
      </c>
      <c r="M252" s="4" t="s">
        <v>3748</v>
      </c>
      <c r="N252" s="4" t="s">
        <v>3752</v>
      </c>
      <c r="O252" s="17">
        <f>INDEX('список ID из СУЭ с должностями'!$A:$F,MATCH(E252,'список ID из СУЭ с должностями'!$B:$B,0),5)</f>
        <v>0</v>
      </c>
    </row>
    <row r="253" spans="1:15" ht="90">
      <c r="A253" s="3" t="s">
        <v>10</v>
      </c>
      <c r="B253" s="3" t="s">
        <v>11</v>
      </c>
      <c r="C253" s="4">
        <v>2026</v>
      </c>
      <c r="D253" s="5" t="s">
        <v>12</v>
      </c>
      <c r="E253" s="4">
        <v>34</v>
      </c>
      <c r="F253" s="4" t="s">
        <v>488</v>
      </c>
      <c r="G253" s="4" t="s">
        <v>417</v>
      </c>
      <c r="H253" s="4" t="s">
        <v>15</v>
      </c>
      <c r="I253" s="4" t="s">
        <v>494</v>
      </c>
      <c r="J253" s="4" t="s">
        <v>495</v>
      </c>
      <c r="K253" s="4" t="s">
        <v>23</v>
      </c>
      <c r="L253" s="4" t="s">
        <v>3743</v>
      </c>
      <c r="M253" s="4" t="s">
        <v>3748</v>
      </c>
      <c r="N253" s="4" t="s">
        <v>3752</v>
      </c>
      <c r="O253" s="17">
        <f>INDEX('список ID из СУЭ с должностями'!$A:$F,MATCH(E253,'список ID из СУЭ с должностями'!$B:$B,0),5)</f>
        <v>0</v>
      </c>
    </row>
    <row r="254" spans="1:15" ht="75">
      <c r="A254" s="3" t="s">
        <v>10</v>
      </c>
      <c r="B254" s="3" t="s">
        <v>11</v>
      </c>
      <c r="C254" s="4">
        <v>2026</v>
      </c>
      <c r="D254" s="5" t="s">
        <v>12</v>
      </c>
      <c r="E254" s="4">
        <v>34</v>
      </c>
      <c r="F254" s="4" t="s">
        <v>488</v>
      </c>
      <c r="G254" s="4" t="s">
        <v>417</v>
      </c>
      <c r="H254" s="4" t="s">
        <v>15</v>
      </c>
      <c r="I254" s="4" t="s">
        <v>423</v>
      </c>
      <c r="J254" s="4" t="s">
        <v>496</v>
      </c>
      <c r="K254" s="4" t="s">
        <v>35</v>
      </c>
      <c r="L254" s="4" t="s">
        <v>3743</v>
      </c>
      <c r="M254" s="4" t="s">
        <v>3746</v>
      </c>
      <c r="N254" s="4" t="s">
        <v>3747</v>
      </c>
      <c r="O254" s="17">
        <f>INDEX('список ID из СУЭ с должностями'!$A:$F,MATCH(E254,'список ID из СУЭ с должностями'!$B:$B,0),5)</f>
        <v>0</v>
      </c>
    </row>
    <row r="255" spans="1:15" ht="60">
      <c r="A255" s="3" t="s">
        <v>10</v>
      </c>
      <c r="B255" s="3" t="s">
        <v>11</v>
      </c>
      <c r="C255" s="4">
        <v>2026</v>
      </c>
      <c r="D255" s="5" t="s">
        <v>12</v>
      </c>
      <c r="E255" s="4">
        <v>34</v>
      </c>
      <c r="F255" s="4" t="s">
        <v>488</v>
      </c>
      <c r="G255" s="4" t="s">
        <v>417</v>
      </c>
      <c r="H255" s="4" t="s">
        <v>15</v>
      </c>
      <c r="I255" s="4" t="s">
        <v>497</v>
      </c>
      <c r="J255" s="4" t="s">
        <v>498</v>
      </c>
      <c r="K255" s="4" t="s">
        <v>23</v>
      </c>
      <c r="L255" s="4" t="s">
        <v>3743</v>
      </c>
      <c r="M255" s="4" t="s">
        <v>3748</v>
      </c>
      <c r="N255" s="4" t="s">
        <v>3749</v>
      </c>
      <c r="O255" s="17">
        <f>INDEX('список ID из СУЭ с должностями'!$A:$F,MATCH(E255,'список ID из СУЭ с должностями'!$B:$B,0),5)</f>
        <v>0</v>
      </c>
    </row>
    <row r="256" spans="1:15" ht="60">
      <c r="A256" s="3" t="s">
        <v>10</v>
      </c>
      <c r="B256" s="3" t="s">
        <v>11</v>
      </c>
      <c r="C256" s="4">
        <v>2026</v>
      </c>
      <c r="D256" s="5" t="s">
        <v>12</v>
      </c>
      <c r="E256" s="4">
        <v>34</v>
      </c>
      <c r="F256" s="4" t="s">
        <v>488</v>
      </c>
      <c r="G256" s="4" t="s">
        <v>417</v>
      </c>
      <c r="H256" s="4" t="s">
        <v>15</v>
      </c>
      <c r="I256" s="4" t="s">
        <v>499</v>
      </c>
      <c r="J256" s="4" t="s">
        <v>500</v>
      </c>
      <c r="K256" s="4" t="s">
        <v>23</v>
      </c>
      <c r="L256" s="4" t="s">
        <v>3743</v>
      </c>
      <c r="M256" s="4" t="s">
        <v>3748</v>
      </c>
      <c r="N256" s="4" t="s">
        <v>3752</v>
      </c>
      <c r="O256" s="17">
        <f>INDEX('список ID из СУЭ с должностями'!$A:$F,MATCH(E256,'список ID из СУЭ с должностями'!$B:$B,0),5)</f>
        <v>0</v>
      </c>
    </row>
    <row r="257" spans="1:15" ht="60">
      <c r="A257" s="3" t="s">
        <v>10</v>
      </c>
      <c r="B257" s="3" t="s">
        <v>11</v>
      </c>
      <c r="C257" s="4">
        <v>2026</v>
      </c>
      <c r="D257" s="5" t="s">
        <v>12</v>
      </c>
      <c r="E257" s="4">
        <v>34</v>
      </c>
      <c r="F257" s="4" t="s">
        <v>488</v>
      </c>
      <c r="G257" s="4" t="s">
        <v>417</v>
      </c>
      <c r="H257" s="4" t="s">
        <v>21</v>
      </c>
      <c r="I257" s="4" t="s">
        <v>501</v>
      </c>
      <c r="J257" s="4" t="s">
        <v>501</v>
      </c>
      <c r="K257" s="4" t="s">
        <v>30</v>
      </c>
      <c r="L257" s="4" t="s">
        <v>3743</v>
      </c>
      <c r="M257" s="4" t="s">
        <v>3746</v>
      </c>
      <c r="N257" s="4" t="s">
        <v>3747</v>
      </c>
      <c r="O257" s="17">
        <f>INDEX('список ID из СУЭ с должностями'!$A:$F,MATCH(E257,'список ID из СУЭ с должностями'!$B:$B,0),5)</f>
        <v>0</v>
      </c>
    </row>
    <row r="258" spans="1:15" ht="75">
      <c r="A258" s="3" t="s">
        <v>10</v>
      </c>
      <c r="B258" s="3" t="s">
        <v>11</v>
      </c>
      <c r="C258" s="4">
        <v>2026</v>
      </c>
      <c r="D258" s="5" t="s">
        <v>12</v>
      </c>
      <c r="E258" s="4">
        <v>34</v>
      </c>
      <c r="F258" s="4" t="s">
        <v>488</v>
      </c>
      <c r="G258" s="4" t="s">
        <v>417</v>
      </c>
      <c r="H258" s="4" t="s">
        <v>15</v>
      </c>
      <c r="I258" s="4" t="s">
        <v>502</v>
      </c>
      <c r="J258" s="4" t="s">
        <v>503</v>
      </c>
      <c r="K258" s="4" t="s">
        <v>23</v>
      </c>
      <c r="L258" s="4" t="s">
        <v>3743</v>
      </c>
      <c r="M258" s="4" t="s">
        <v>3748</v>
      </c>
      <c r="N258" s="4" t="s">
        <v>3752</v>
      </c>
      <c r="O258" s="17">
        <f>INDEX('список ID из СУЭ с должностями'!$A:$F,MATCH(E258,'список ID из СУЭ с должностями'!$B:$B,0),5)</f>
        <v>0</v>
      </c>
    </row>
    <row r="259" spans="1:15" ht="60">
      <c r="A259" s="3" t="s">
        <v>10</v>
      </c>
      <c r="B259" s="3" t="s">
        <v>11</v>
      </c>
      <c r="C259" s="4">
        <v>2026</v>
      </c>
      <c r="D259" s="5" t="s">
        <v>12</v>
      </c>
      <c r="E259" s="4">
        <v>34</v>
      </c>
      <c r="F259" s="4" t="s">
        <v>488</v>
      </c>
      <c r="G259" s="4" t="s">
        <v>417</v>
      </c>
      <c r="H259" s="4" t="s">
        <v>15</v>
      </c>
      <c r="I259" s="4" t="s">
        <v>504</v>
      </c>
      <c r="J259" s="4" t="s">
        <v>505</v>
      </c>
      <c r="K259" s="4" t="s">
        <v>23</v>
      </c>
      <c r="L259" s="4" t="s">
        <v>3743</v>
      </c>
      <c r="M259" s="4" t="s">
        <v>3748</v>
      </c>
      <c r="N259" s="4" t="s">
        <v>3752</v>
      </c>
      <c r="O259" s="17">
        <f>INDEX('список ID из СУЭ с должностями'!$A:$F,MATCH(E259,'список ID из СУЭ с должностями'!$B:$B,0),5)</f>
        <v>0</v>
      </c>
    </row>
    <row r="260" spans="1:15" ht="90">
      <c r="A260" s="3" t="s">
        <v>10</v>
      </c>
      <c r="B260" s="3" t="s">
        <v>11</v>
      </c>
      <c r="C260" s="4">
        <v>2026</v>
      </c>
      <c r="D260" s="5" t="s">
        <v>12</v>
      </c>
      <c r="E260" s="4">
        <v>35</v>
      </c>
      <c r="F260" s="4" t="s">
        <v>67</v>
      </c>
      <c r="G260" s="4" t="s">
        <v>506</v>
      </c>
      <c r="H260" s="4" t="s">
        <v>15</v>
      </c>
      <c r="I260" s="4" t="s">
        <v>507</v>
      </c>
      <c r="J260" s="4" t="s">
        <v>508</v>
      </c>
      <c r="K260" s="4" t="s">
        <v>25</v>
      </c>
      <c r="L260" s="4" t="s">
        <v>3743</v>
      </c>
      <c r="M260" s="4" t="s">
        <v>3746</v>
      </c>
      <c r="N260" s="4" t="s">
        <v>3747</v>
      </c>
      <c r="O260" s="17">
        <f>INDEX('список ID из СУЭ с должностями'!$A:$F,MATCH(E260,'список ID из СУЭ с должностями'!$B:$B,0),5)</f>
        <v>0</v>
      </c>
    </row>
    <row r="261" spans="1:15" ht="45">
      <c r="A261" s="3" t="s">
        <v>10</v>
      </c>
      <c r="B261" s="3" t="s">
        <v>11</v>
      </c>
      <c r="C261" s="4">
        <v>2026</v>
      </c>
      <c r="D261" s="5" t="s">
        <v>12</v>
      </c>
      <c r="E261" s="4">
        <v>35</v>
      </c>
      <c r="F261" s="4" t="s">
        <v>67</v>
      </c>
      <c r="G261" s="4" t="s">
        <v>506</v>
      </c>
      <c r="H261" s="4" t="s">
        <v>15</v>
      </c>
      <c r="I261" s="4" t="s">
        <v>509</v>
      </c>
      <c r="J261" s="4" t="s">
        <v>299</v>
      </c>
      <c r="K261" s="4" t="s">
        <v>55</v>
      </c>
      <c r="L261" s="4" t="s">
        <v>3742</v>
      </c>
      <c r="M261" s="4" t="s">
        <v>3746</v>
      </c>
      <c r="N261" s="4" t="s">
        <v>3747</v>
      </c>
      <c r="O261" s="17">
        <f>INDEX('список ID из СУЭ с должностями'!$A:$F,MATCH(E261,'список ID из СУЭ с должностями'!$B:$B,0),5)</f>
        <v>0</v>
      </c>
    </row>
    <row r="262" spans="1:15" ht="60">
      <c r="A262" s="3" t="s">
        <v>10</v>
      </c>
      <c r="B262" s="3" t="s">
        <v>11</v>
      </c>
      <c r="C262" s="4">
        <v>2026</v>
      </c>
      <c r="D262" s="5" t="s">
        <v>12</v>
      </c>
      <c r="E262" s="4">
        <v>35</v>
      </c>
      <c r="F262" s="4" t="s">
        <v>67</v>
      </c>
      <c r="G262" s="4" t="s">
        <v>506</v>
      </c>
      <c r="H262" s="4" t="s">
        <v>15</v>
      </c>
      <c r="I262" s="4" t="s">
        <v>25</v>
      </c>
      <c r="J262" s="4" t="s">
        <v>79</v>
      </c>
      <c r="K262" s="4" t="s">
        <v>25</v>
      </c>
      <c r="L262" s="4" t="s">
        <v>3742</v>
      </c>
      <c r="M262" s="4" t="s">
        <v>3746</v>
      </c>
      <c r="N262" s="4" t="s">
        <v>3747</v>
      </c>
      <c r="O262" s="17">
        <f>INDEX('список ID из СУЭ с должностями'!$A:$F,MATCH(E262,'список ID из СУЭ с должностями'!$B:$B,0),5)</f>
        <v>0</v>
      </c>
    </row>
    <row r="263" spans="1:15" ht="45">
      <c r="A263" s="3" t="s">
        <v>10</v>
      </c>
      <c r="B263" s="3" t="s">
        <v>11</v>
      </c>
      <c r="C263" s="4">
        <v>2026</v>
      </c>
      <c r="D263" s="5" t="s">
        <v>12</v>
      </c>
      <c r="E263" s="4">
        <v>35</v>
      </c>
      <c r="F263" s="4" t="s">
        <v>67</v>
      </c>
      <c r="G263" s="4" t="s">
        <v>506</v>
      </c>
      <c r="H263" s="4" t="s">
        <v>15</v>
      </c>
      <c r="I263" s="4" t="s">
        <v>48</v>
      </c>
      <c r="J263" s="4" t="s">
        <v>510</v>
      </c>
      <c r="K263" s="4" t="s">
        <v>35</v>
      </c>
      <c r="L263" s="4" t="s">
        <v>3743</v>
      </c>
      <c r="M263" s="4" t="s">
        <v>3746</v>
      </c>
      <c r="N263" s="4" t="s">
        <v>3747</v>
      </c>
      <c r="O263" s="17">
        <f>INDEX('список ID из СУЭ с должностями'!$A:$F,MATCH(E263,'список ID из СУЭ с должностями'!$B:$B,0),5)</f>
        <v>0</v>
      </c>
    </row>
    <row r="264" spans="1:15" ht="45">
      <c r="A264" s="3" t="s">
        <v>10</v>
      </c>
      <c r="B264" s="3" t="s">
        <v>11</v>
      </c>
      <c r="C264" s="4">
        <v>2026</v>
      </c>
      <c r="D264" s="5" t="s">
        <v>12</v>
      </c>
      <c r="E264" s="4">
        <v>36</v>
      </c>
      <c r="F264" s="4" t="s">
        <v>67</v>
      </c>
      <c r="G264" s="4" t="s">
        <v>511</v>
      </c>
      <c r="H264" s="4" t="s">
        <v>15</v>
      </c>
      <c r="I264" s="4" t="s">
        <v>512</v>
      </c>
      <c r="J264" s="4" t="s">
        <v>513</v>
      </c>
      <c r="K264" s="4" t="s">
        <v>35</v>
      </c>
      <c r="L264" s="4" t="s">
        <v>3743</v>
      </c>
      <c r="M264" s="4" t="s">
        <v>3746</v>
      </c>
      <c r="N264" s="4" t="s">
        <v>3747</v>
      </c>
      <c r="O264" s="17">
        <f>INDEX('список ID из СУЭ с должностями'!$A:$F,MATCH(E264,'список ID из СУЭ с должностями'!$B:$B,0),5)</f>
        <v>0</v>
      </c>
    </row>
    <row r="265" spans="1:15" ht="90">
      <c r="A265" s="3" t="s">
        <v>10</v>
      </c>
      <c r="B265" s="3" t="s">
        <v>11</v>
      </c>
      <c r="C265" s="4">
        <v>2026</v>
      </c>
      <c r="D265" s="5" t="s">
        <v>12</v>
      </c>
      <c r="E265" s="4">
        <v>36</v>
      </c>
      <c r="F265" s="4" t="s">
        <v>67</v>
      </c>
      <c r="G265" s="4" t="s">
        <v>511</v>
      </c>
      <c r="H265" s="4" t="s">
        <v>21</v>
      </c>
      <c r="I265" s="4" t="s">
        <v>515</v>
      </c>
      <c r="J265" s="4" t="s">
        <v>516</v>
      </c>
      <c r="K265" s="4" t="s">
        <v>517</v>
      </c>
      <c r="L265" s="4" t="s">
        <v>3743</v>
      </c>
      <c r="M265" s="4" t="s">
        <v>3746</v>
      </c>
      <c r="N265" s="4" t="s">
        <v>3757</v>
      </c>
      <c r="O265" s="17">
        <f>INDEX('список ID из СУЭ с должностями'!$A:$F,MATCH(E265,'список ID из СУЭ с должностями'!$B:$B,0),5)</f>
        <v>0</v>
      </c>
    </row>
    <row r="266" spans="1:15" ht="90">
      <c r="A266" s="3" t="s">
        <v>10</v>
      </c>
      <c r="B266" s="3" t="s">
        <v>11</v>
      </c>
      <c r="C266" s="4">
        <v>2026</v>
      </c>
      <c r="D266" s="5" t="s">
        <v>12</v>
      </c>
      <c r="E266" s="4">
        <v>36</v>
      </c>
      <c r="F266" s="4" t="s">
        <v>67</v>
      </c>
      <c r="G266" s="4" t="s">
        <v>511</v>
      </c>
      <c r="H266" s="4" t="s">
        <v>15</v>
      </c>
      <c r="I266" s="4" t="s">
        <v>518</v>
      </c>
      <c r="J266" s="4" t="s">
        <v>519</v>
      </c>
      <c r="K266" s="4" t="s">
        <v>35</v>
      </c>
      <c r="L266" s="4" t="s">
        <v>3743</v>
      </c>
      <c r="M266" s="4" t="s">
        <v>3746</v>
      </c>
      <c r="N266" s="4" t="s">
        <v>3747</v>
      </c>
      <c r="O266" s="17">
        <f>INDEX('список ID из СУЭ с должностями'!$A:$F,MATCH(E266,'список ID из СУЭ с должностями'!$B:$B,0),5)</f>
        <v>0</v>
      </c>
    </row>
    <row r="267" spans="1:15" ht="105">
      <c r="A267" s="3" t="s">
        <v>10</v>
      </c>
      <c r="B267" s="3" t="s">
        <v>11</v>
      </c>
      <c r="C267" s="4">
        <v>2026</v>
      </c>
      <c r="D267" s="5" t="s">
        <v>12</v>
      </c>
      <c r="E267" s="4">
        <v>36</v>
      </c>
      <c r="F267" s="4" t="s">
        <v>67</v>
      </c>
      <c r="G267" s="4" t="s">
        <v>511</v>
      </c>
      <c r="H267" s="4" t="s">
        <v>21</v>
      </c>
      <c r="I267" s="4" t="s">
        <v>520</v>
      </c>
      <c r="J267" s="4" t="s">
        <v>521</v>
      </c>
      <c r="K267" s="4" t="s">
        <v>522</v>
      </c>
      <c r="L267" s="4" t="s">
        <v>3743</v>
      </c>
      <c r="M267" s="4" t="s">
        <v>3746</v>
      </c>
      <c r="N267" s="4" t="s">
        <v>3757</v>
      </c>
      <c r="O267" s="17">
        <f>INDEX('список ID из СУЭ с должностями'!$A:$F,MATCH(E267,'список ID из СУЭ с должностями'!$B:$B,0),5)</f>
        <v>0</v>
      </c>
    </row>
    <row r="268" spans="1:15" ht="60">
      <c r="A268" s="3" t="s">
        <v>10</v>
      </c>
      <c r="B268" s="3" t="s">
        <v>11</v>
      </c>
      <c r="C268" s="4">
        <v>2026</v>
      </c>
      <c r="D268" s="5" t="s">
        <v>12</v>
      </c>
      <c r="E268" s="4">
        <v>36</v>
      </c>
      <c r="F268" s="4" t="s">
        <v>67</v>
      </c>
      <c r="G268" s="4" t="s">
        <v>511</v>
      </c>
      <c r="H268" s="4" t="s">
        <v>15</v>
      </c>
      <c r="I268" s="4" t="s">
        <v>523</v>
      </c>
      <c r="J268" s="4" t="s">
        <v>109</v>
      </c>
      <c r="K268" s="4" t="s">
        <v>524</v>
      </c>
      <c r="L268" s="4" t="s">
        <v>3742</v>
      </c>
      <c r="M268" s="4" t="s">
        <v>3746</v>
      </c>
      <c r="N268" s="4" t="s">
        <v>3757</v>
      </c>
      <c r="O268" s="17">
        <f>INDEX('список ID из СУЭ с должностями'!$A:$F,MATCH(E268,'список ID из СУЭ с должностями'!$B:$B,0),5)</f>
        <v>0</v>
      </c>
    </row>
    <row r="269" spans="1:15" ht="90">
      <c r="A269" s="3" t="s">
        <v>10</v>
      </c>
      <c r="B269" s="3" t="s">
        <v>11</v>
      </c>
      <c r="C269" s="4">
        <v>2026</v>
      </c>
      <c r="D269" s="5" t="s">
        <v>12</v>
      </c>
      <c r="E269" s="4">
        <v>36</v>
      </c>
      <c r="F269" s="4" t="s">
        <v>67</v>
      </c>
      <c r="G269" s="4" t="s">
        <v>511</v>
      </c>
      <c r="H269" s="4" t="s">
        <v>15</v>
      </c>
      <c r="I269" s="4" t="s">
        <v>525</v>
      </c>
      <c r="J269" s="4" t="s">
        <v>526</v>
      </c>
      <c r="K269" s="4" t="s">
        <v>30</v>
      </c>
      <c r="L269" s="4" t="s">
        <v>3743</v>
      </c>
      <c r="M269" s="4" t="s">
        <v>3746</v>
      </c>
      <c r="N269" s="4" t="s">
        <v>3747</v>
      </c>
      <c r="O269" s="17">
        <f>INDEX('список ID из СУЭ с должностями'!$A:$F,MATCH(E269,'список ID из СУЭ с должностями'!$B:$B,0),5)</f>
        <v>0</v>
      </c>
    </row>
    <row r="270" spans="1:15" ht="60">
      <c r="A270" s="3" t="s">
        <v>10</v>
      </c>
      <c r="B270" s="3" t="s">
        <v>11</v>
      </c>
      <c r="C270" s="4">
        <v>2026</v>
      </c>
      <c r="D270" s="5" t="s">
        <v>12</v>
      </c>
      <c r="E270" s="4">
        <v>37</v>
      </c>
      <c r="F270" s="4" t="s">
        <v>247</v>
      </c>
      <c r="G270" s="4" t="s">
        <v>158</v>
      </c>
      <c r="H270" s="4" t="s">
        <v>21</v>
      </c>
      <c r="I270" s="4" t="s">
        <v>221</v>
      </c>
      <c r="J270" s="4" t="s">
        <v>527</v>
      </c>
      <c r="K270" s="4" t="s">
        <v>151</v>
      </c>
      <c r="L270" s="4" t="s">
        <v>3743</v>
      </c>
      <c r="M270" s="4" t="s">
        <v>3746</v>
      </c>
      <c r="N270" s="4" t="s">
        <v>3747</v>
      </c>
      <c r="O270" s="17">
        <f>INDEX('список ID из СУЭ с должностями'!$A:$F,MATCH(E270,'список ID из СУЭ с должностями'!$B:$B,0),5)</f>
        <v>0</v>
      </c>
    </row>
    <row r="271" spans="1:15" ht="60">
      <c r="A271" s="3" t="s">
        <v>10</v>
      </c>
      <c r="B271" s="3" t="s">
        <v>11</v>
      </c>
      <c r="C271" s="4">
        <v>2026</v>
      </c>
      <c r="D271" s="5" t="s">
        <v>12</v>
      </c>
      <c r="E271" s="4">
        <v>37</v>
      </c>
      <c r="F271" s="4" t="s">
        <v>247</v>
      </c>
      <c r="G271" s="4" t="s">
        <v>158</v>
      </c>
      <c r="H271" s="4" t="s">
        <v>21</v>
      </c>
      <c r="I271" s="4" t="s">
        <v>528</v>
      </c>
      <c r="J271" s="4" t="s">
        <v>529</v>
      </c>
      <c r="K271" s="4" t="s">
        <v>151</v>
      </c>
      <c r="L271" s="4" t="s">
        <v>3743</v>
      </c>
      <c r="M271" s="4" t="s">
        <v>3746</v>
      </c>
      <c r="N271" s="4" t="s">
        <v>3747</v>
      </c>
      <c r="O271" s="17">
        <f>INDEX('список ID из СУЭ с должностями'!$A:$F,MATCH(E271,'список ID из СУЭ с должностями'!$B:$B,0),5)</f>
        <v>0</v>
      </c>
    </row>
    <row r="272" spans="1:15" ht="60">
      <c r="A272" s="3" t="s">
        <v>10</v>
      </c>
      <c r="B272" s="3" t="s">
        <v>11</v>
      </c>
      <c r="C272" s="4">
        <v>2026</v>
      </c>
      <c r="D272" s="5" t="s">
        <v>12</v>
      </c>
      <c r="E272" s="4">
        <v>37</v>
      </c>
      <c r="F272" s="4" t="s">
        <v>247</v>
      </c>
      <c r="G272" s="4" t="s">
        <v>158</v>
      </c>
      <c r="H272" s="4" t="s">
        <v>21</v>
      </c>
      <c r="I272" s="4" t="s">
        <v>171</v>
      </c>
      <c r="J272" s="4" t="s">
        <v>530</v>
      </c>
      <c r="K272" s="4" t="s">
        <v>25</v>
      </c>
      <c r="L272" s="4" t="s">
        <v>3743</v>
      </c>
      <c r="M272" s="4" t="s">
        <v>3746</v>
      </c>
      <c r="N272" s="4" t="s">
        <v>3747</v>
      </c>
      <c r="O272" s="17">
        <f>INDEX('список ID из СУЭ с должностями'!$A:$F,MATCH(E272,'список ID из СУЭ с должностями'!$B:$B,0),5)</f>
        <v>0</v>
      </c>
    </row>
    <row r="273" spans="1:15" ht="105">
      <c r="A273" s="3" t="s">
        <v>10</v>
      </c>
      <c r="B273" s="3" t="s">
        <v>11</v>
      </c>
      <c r="C273" s="4">
        <v>2026</v>
      </c>
      <c r="D273" s="5" t="s">
        <v>12</v>
      </c>
      <c r="E273" s="4">
        <v>37</v>
      </c>
      <c r="F273" s="4" t="s">
        <v>247</v>
      </c>
      <c r="G273" s="4" t="s">
        <v>158</v>
      </c>
      <c r="H273" s="4" t="s">
        <v>15</v>
      </c>
      <c r="I273" s="4" t="s">
        <v>262</v>
      </c>
      <c r="J273" s="4" t="s">
        <v>531</v>
      </c>
      <c r="K273" s="4" t="s">
        <v>35</v>
      </c>
      <c r="L273" s="4" t="s">
        <v>3743</v>
      </c>
      <c r="M273" s="4" t="s">
        <v>3746</v>
      </c>
      <c r="N273" s="4" t="s">
        <v>3747</v>
      </c>
      <c r="O273" s="17">
        <f>INDEX('список ID из СУЭ с должностями'!$A:$F,MATCH(E273,'список ID из СУЭ с должностями'!$B:$B,0),5)</f>
        <v>0</v>
      </c>
    </row>
    <row r="274" spans="1:15" ht="60">
      <c r="A274" s="3" t="s">
        <v>10</v>
      </c>
      <c r="B274" s="3" t="s">
        <v>11</v>
      </c>
      <c r="C274" s="4">
        <v>2026</v>
      </c>
      <c r="D274" s="5" t="s">
        <v>12</v>
      </c>
      <c r="E274" s="4">
        <v>37</v>
      </c>
      <c r="F274" s="4" t="s">
        <v>247</v>
      </c>
      <c r="G274" s="4" t="s">
        <v>158</v>
      </c>
      <c r="H274" s="4" t="s">
        <v>15</v>
      </c>
      <c r="I274" s="4" t="s">
        <v>532</v>
      </c>
      <c r="J274" s="4" t="s">
        <v>533</v>
      </c>
      <c r="K274" s="4" t="s">
        <v>151</v>
      </c>
      <c r="L274" s="4" t="s">
        <v>3743</v>
      </c>
      <c r="M274" s="4" t="s">
        <v>3746</v>
      </c>
      <c r="N274" s="4" t="s">
        <v>3747</v>
      </c>
      <c r="O274" s="17">
        <f>INDEX('список ID из СУЭ с должностями'!$A:$F,MATCH(E274,'список ID из СУЭ с должностями'!$B:$B,0),5)</f>
        <v>0</v>
      </c>
    </row>
    <row r="275" spans="1:15" ht="45">
      <c r="A275" s="3" t="s">
        <v>10</v>
      </c>
      <c r="B275" s="3" t="s">
        <v>11</v>
      </c>
      <c r="C275" s="4">
        <v>2026</v>
      </c>
      <c r="D275" s="5" t="s">
        <v>12</v>
      </c>
      <c r="E275" s="4">
        <v>37</v>
      </c>
      <c r="F275" s="4" t="s">
        <v>247</v>
      </c>
      <c r="G275" s="4" t="s">
        <v>158</v>
      </c>
      <c r="H275" s="4" t="s">
        <v>15</v>
      </c>
      <c r="I275" s="4" t="s">
        <v>534</v>
      </c>
      <c r="J275" s="4" t="s">
        <v>535</v>
      </c>
      <c r="K275" s="4" t="s">
        <v>55</v>
      </c>
      <c r="L275" s="4" t="s">
        <v>3743</v>
      </c>
      <c r="M275" s="4" t="s">
        <v>3746</v>
      </c>
      <c r="N275" s="4" t="s">
        <v>3747</v>
      </c>
      <c r="O275" s="17">
        <f>INDEX('список ID из СУЭ с должностями'!$A:$F,MATCH(E275,'список ID из СУЭ с должностями'!$B:$B,0),5)</f>
        <v>0</v>
      </c>
    </row>
    <row r="276" spans="1:15" ht="60">
      <c r="A276" s="3" t="s">
        <v>10</v>
      </c>
      <c r="B276" s="3" t="s">
        <v>11</v>
      </c>
      <c r="C276" s="4">
        <v>2026</v>
      </c>
      <c r="D276" s="5" t="s">
        <v>12</v>
      </c>
      <c r="E276" s="4">
        <v>37</v>
      </c>
      <c r="F276" s="4" t="s">
        <v>247</v>
      </c>
      <c r="G276" s="4" t="s">
        <v>158</v>
      </c>
      <c r="H276" s="4" t="s">
        <v>21</v>
      </c>
      <c r="I276" s="4" t="s">
        <v>231</v>
      </c>
      <c r="J276" s="4" t="s">
        <v>536</v>
      </c>
      <c r="K276" s="4" t="s">
        <v>38</v>
      </c>
      <c r="L276" s="4" t="s">
        <v>3743</v>
      </c>
      <c r="M276" s="4" t="s">
        <v>3746</v>
      </c>
      <c r="N276" s="4" t="s">
        <v>3747</v>
      </c>
      <c r="O276" s="17">
        <f>INDEX('список ID из СУЭ с должностями'!$A:$F,MATCH(E276,'список ID из СУЭ с должностями'!$B:$B,0),5)</f>
        <v>0</v>
      </c>
    </row>
    <row r="277" spans="1:15" ht="60">
      <c r="A277" s="3" t="s">
        <v>10</v>
      </c>
      <c r="B277" s="3" t="s">
        <v>11</v>
      </c>
      <c r="C277" s="4">
        <v>2026</v>
      </c>
      <c r="D277" s="5" t="s">
        <v>12</v>
      </c>
      <c r="E277" s="4">
        <v>37</v>
      </c>
      <c r="F277" s="4" t="s">
        <v>247</v>
      </c>
      <c r="G277" s="4" t="s">
        <v>158</v>
      </c>
      <c r="H277" s="4" t="s">
        <v>21</v>
      </c>
      <c r="I277" s="4" t="s">
        <v>537</v>
      </c>
      <c r="J277" s="4" t="s">
        <v>538</v>
      </c>
      <c r="K277" s="4" t="s">
        <v>151</v>
      </c>
      <c r="L277" s="4" t="s">
        <v>3743</v>
      </c>
      <c r="M277" s="4" t="s">
        <v>3746</v>
      </c>
      <c r="N277" s="4" t="s">
        <v>3747</v>
      </c>
      <c r="O277" s="17">
        <f>INDEX('список ID из СУЭ с должностями'!$A:$F,MATCH(E277,'список ID из СУЭ с должностями'!$B:$B,0),5)</f>
        <v>0</v>
      </c>
    </row>
    <row r="278" spans="1:15" ht="60">
      <c r="A278" s="3" t="s">
        <v>10</v>
      </c>
      <c r="B278" s="3" t="s">
        <v>11</v>
      </c>
      <c r="C278" s="4">
        <v>2026</v>
      </c>
      <c r="D278" s="5" t="s">
        <v>12</v>
      </c>
      <c r="E278" s="4">
        <v>37</v>
      </c>
      <c r="F278" s="4" t="s">
        <v>247</v>
      </c>
      <c r="G278" s="4" t="s">
        <v>158</v>
      </c>
      <c r="H278" s="4" t="s">
        <v>15</v>
      </c>
      <c r="I278" s="4" t="s">
        <v>539</v>
      </c>
      <c r="J278" s="4" t="s">
        <v>540</v>
      </c>
      <c r="K278" s="4" t="s">
        <v>151</v>
      </c>
      <c r="L278" s="4" t="s">
        <v>3743</v>
      </c>
      <c r="M278" s="4" t="s">
        <v>3746</v>
      </c>
      <c r="N278" s="4" t="s">
        <v>3747</v>
      </c>
      <c r="O278" s="17">
        <f>INDEX('список ID из СУЭ с должностями'!$A:$F,MATCH(E278,'список ID из СУЭ с должностями'!$B:$B,0),5)</f>
        <v>0</v>
      </c>
    </row>
    <row r="279" spans="1:15" ht="60">
      <c r="A279" s="3" t="s">
        <v>10</v>
      </c>
      <c r="B279" s="3" t="s">
        <v>11</v>
      </c>
      <c r="C279" s="4">
        <v>2026</v>
      </c>
      <c r="D279" s="5" t="s">
        <v>12</v>
      </c>
      <c r="E279" s="4">
        <v>38</v>
      </c>
      <c r="F279" s="4" t="s">
        <v>247</v>
      </c>
      <c r="G279" s="4" t="s">
        <v>154</v>
      </c>
      <c r="H279" s="4" t="s">
        <v>21</v>
      </c>
      <c r="I279" s="4" t="s">
        <v>541</v>
      </c>
      <c r="J279" s="4" t="s">
        <v>542</v>
      </c>
      <c r="K279" s="4" t="s">
        <v>52</v>
      </c>
      <c r="L279" s="4" t="s">
        <v>3743</v>
      </c>
      <c r="M279" s="4" t="s">
        <v>3746</v>
      </c>
      <c r="N279" s="4" t="s">
        <v>3747</v>
      </c>
      <c r="O279" s="17">
        <f>INDEX('список ID из СУЭ с должностями'!$A:$F,MATCH(E279,'список ID из СУЭ с должностями'!$B:$B,0),5)</f>
        <v>0</v>
      </c>
    </row>
    <row r="280" spans="1:15" ht="75">
      <c r="A280" s="3" t="s">
        <v>10</v>
      </c>
      <c r="B280" s="3" t="s">
        <v>11</v>
      </c>
      <c r="C280" s="4">
        <v>2026</v>
      </c>
      <c r="D280" s="5" t="s">
        <v>12</v>
      </c>
      <c r="E280" s="4">
        <v>38</v>
      </c>
      <c r="F280" s="4" t="s">
        <v>247</v>
      </c>
      <c r="G280" s="4" t="s">
        <v>154</v>
      </c>
      <c r="H280" s="4" t="s">
        <v>21</v>
      </c>
      <c r="I280" s="4" t="s">
        <v>543</v>
      </c>
      <c r="J280" s="4" t="s">
        <v>544</v>
      </c>
      <c r="K280" s="4" t="s">
        <v>52</v>
      </c>
      <c r="L280" s="4" t="s">
        <v>3743</v>
      </c>
      <c r="M280" s="4" t="s">
        <v>3746</v>
      </c>
      <c r="N280" s="4" t="s">
        <v>3747</v>
      </c>
      <c r="O280" s="17">
        <f>INDEX('список ID из СУЭ с должностями'!$A:$F,MATCH(E280,'список ID из СУЭ с должностями'!$B:$B,0),5)</f>
        <v>0</v>
      </c>
    </row>
    <row r="281" spans="1:15" ht="105">
      <c r="A281" s="3" t="s">
        <v>10</v>
      </c>
      <c r="B281" s="3" t="s">
        <v>11</v>
      </c>
      <c r="C281" s="4">
        <v>2026</v>
      </c>
      <c r="D281" s="5" t="s">
        <v>12</v>
      </c>
      <c r="E281" s="4">
        <v>38</v>
      </c>
      <c r="F281" s="4" t="s">
        <v>247</v>
      </c>
      <c r="G281" s="4" t="s">
        <v>154</v>
      </c>
      <c r="H281" s="4" t="s">
        <v>21</v>
      </c>
      <c r="I281" s="4" t="s">
        <v>545</v>
      </c>
      <c r="J281" s="4" t="s">
        <v>546</v>
      </c>
      <c r="K281" s="4" t="s">
        <v>25</v>
      </c>
      <c r="L281" s="4" t="s">
        <v>3743</v>
      </c>
      <c r="M281" s="4" t="s">
        <v>3746</v>
      </c>
      <c r="N281" s="4" t="s">
        <v>3747</v>
      </c>
      <c r="O281" s="17">
        <f>INDEX('список ID из СУЭ с должностями'!$A:$F,MATCH(E281,'список ID из СУЭ с должностями'!$B:$B,0),5)</f>
        <v>0</v>
      </c>
    </row>
    <row r="282" spans="1:15" ht="60">
      <c r="A282" s="3" t="s">
        <v>10</v>
      </c>
      <c r="B282" s="3" t="s">
        <v>11</v>
      </c>
      <c r="C282" s="4">
        <v>2026</v>
      </c>
      <c r="D282" s="5" t="s">
        <v>12</v>
      </c>
      <c r="E282" s="4">
        <v>38</v>
      </c>
      <c r="F282" s="4" t="s">
        <v>247</v>
      </c>
      <c r="G282" s="4" t="s">
        <v>154</v>
      </c>
      <c r="H282" s="4" t="s">
        <v>15</v>
      </c>
      <c r="I282" s="4" t="s">
        <v>547</v>
      </c>
      <c r="J282" s="4" t="s">
        <v>164</v>
      </c>
      <c r="K282" s="4" t="s">
        <v>38</v>
      </c>
      <c r="L282" s="4" t="s">
        <v>3742</v>
      </c>
      <c r="M282" s="4" t="s">
        <v>3746</v>
      </c>
      <c r="N282" s="4" t="s">
        <v>3747</v>
      </c>
      <c r="O282" s="17">
        <f>INDEX('список ID из СУЭ с должностями'!$A:$F,MATCH(E282,'список ID из СУЭ с должностями'!$B:$B,0),5)</f>
        <v>0</v>
      </c>
    </row>
    <row r="283" spans="1:15" ht="60">
      <c r="A283" s="3" t="s">
        <v>10</v>
      </c>
      <c r="B283" s="3" t="s">
        <v>11</v>
      </c>
      <c r="C283" s="4">
        <v>2026</v>
      </c>
      <c r="D283" s="5" t="s">
        <v>12</v>
      </c>
      <c r="E283" s="4">
        <v>38</v>
      </c>
      <c r="F283" s="4" t="s">
        <v>247</v>
      </c>
      <c r="G283" s="4" t="s">
        <v>154</v>
      </c>
      <c r="H283" s="4" t="s">
        <v>15</v>
      </c>
      <c r="I283" s="4" t="s">
        <v>548</v>
      </c>
      <c r="J283" s="4" t="s">
        <v>549</v>
      </c>
      <c r="K283" s="4" t="s">
        <v>38</v>
      </c>
      <c r="L283" s="4" t="s">
        <v>3743</v>
      </c>
      <c r="M283" s="4" t="s">
        <v>3746</v>
      </c>
      <c r="N283" s="4" t="s">
        <v>3747</v>
      </c>
      <c r="O283" s="17">
        <f>INDEX('список ID из СУЭ с должностями'!$A:$F,MATCH(E283,'список ID из СУЭ с должностями'!$B:$B,0),5)</f>
        <v>0</v>
      </c>
    </row>
    <row r="284" spans="1:15" ht="135">
      <c r="A284" s="3" t="s">
        <v>10</v>
      </c>
      <c r="B284" s="3" t="s">
        <v>11</v>
      </c>
      <c r="C284" s="4">
        <v>2026</v>
      </c>
      <c r="D284" s="5" t="s">
        <v>12</v>
      </c>
      <c r="E284" s="4">
        <v>38</v>
      </c>
      <c r="F284" s="4" t="s">
        <v>247</v>
      </c>
      <c r="G284" s="4" t="s">
        <v>154</v>
      </c>
      <c r="H284" s="4" t="s">
        <v>15</v>
      </c>
      <c r="I284" s="4" t="s">
        <v>167</v>
      </c>
      <c r="J284" s="4" t="s">
        <v>550</v>
      </c>
      <c r="K284" s="4" t="s">
        <v>35</v>
      </c>
      <c r="L284" s="4" t="s">
        <v>3743</v>
      </c>
      <c r="M284" s="4" t="s">
        <v>3746</v>
      </c>
      <c r="N284" s="4" t="s">
        <v>3747</v>
      </c>
      <c r="O284" s="17">
        <f>INDEX('список ID из СУЭ с должностями'!$A:$F,MATCH(E284,'список ID из СУЭ с должностями'!$B:$B,0),5)</f>
        <v>0</v>
      </c>
    </row>
    <row r="285" spans="1:15" ht="60">
      <c r="A285" s="3" t="s">
        <v>10</v>
      </c>
      <c r="B285" s="3" t="s">
        <v>11</v>
      </c>
      <c r="C285" s="4">
        <v>2026</v>
      </c>
      <c r="D285" s="5" t="s">
        <v>12</v>
      </c>
      <c r="E285" s="4">
        <v>38</v>
      </c>
      <c r="F285" s="4" t="s">
        <v>247</v>
      </c>
      <c r="G285" s="4" t="s">
        <v>154</v>
      </c>
      <c r="H285" s="4" t="s">
        <v>15</v>
      </c>
      <c r="I285" s="4" t="s">
        <v>551</v>
      </c>
      <c r="J285" s="4" t="s">
        <v>552</v>
      </c>
      <c r="K285" s="4" t="s">
        <v>38</v>
      </c>
      <c r="L285" s="4" t="s">
        <v>3743</v>
      </c>
      <c r="M285" s="4" t="s">
        <v>3746</v>
      </c>
      <c r="N285" s="4" t="s">
        <v>3747</v>
      </c>
      <c r="O285" s="17">
        <f>INDEX('список ID из СУЭ с должностями'!$A:$F,MATCH(E285,'список ID из СУЭ с должностями'!$B:$B,0),5)</f>
        <v>0</v>
      </c>
    </row>
    <row r="286" spans="1:15" ht="60">
      <c r="A286" s="3" t="s">
        <v>10</v>
      </c>
      <c r="B286" s="3" t="s">
        <v>11</v>
      </c>
      <c r="C286" s="4">
        <v>2026</v>
      </c>
      <c r="D286" s="5" t="s">
        <v>12</v>
      </c>
      <c r="E286" s="4">
        <v>38</v>
      </c>
      <c r="F286" s="4" t="s">
        <v>247</v>
      </c>
      <c r="G286" s="4" t="s">
        <v>154</v>
      </c>
      <c r="H286" s="4" t="s">
        <v>15</v>
      </c>
      <c r="I286" s="4" t="s">
        <v>553</v>
      </c>
      <c r="J286" s="4" t="s">
        <v>170</v>
      </c>
      <c r="K286" s="4" t="s">
        <v>151</v>
      </c>
      <c r="L286" s="4" t="s">
        <v>3743</v>
      </c>
      <c r="M286" s="4" t="s">
        <v>3746</v>
      </c>
      <c r="N286" s="4" t="s">
        <v>3747</v>
      </c>
      <c r="O286" s="17">
        <f>INDEX('список ID из СУЭ с должностями'!$A:$F,MATCH(E286,'список ID из СУЭ с должностями'!$B:$B,0),5)</f>
        <v>0</v>
      </c>
    </row>
    <row r="287" spans="1:15" ht="75">
      <c r="A287" s="3" t="s">
        <v>10</v>
      </c>
      <c r="B287" s="3" t="s">
        <v>11</v>
      </c>
      <c r="C287" s="4">
        <v>2026</v>
      </c>
      <c r="D287" s="5" t="s">
        <v>12</v>
      </c>
      <c r="E287" s="4">
        <v>38</v>
      </c>
      <c r="F287" s="4" t="s">
        <v>247</v>
      </c>
      <c r="G287" s="4" t="s">
        <v>154</v>
      </c>
      <c r="H287" s="4" t="s">
        <v>41</v>
      </c>
      <c r="I287" s="4" t="s">
        <v>554</v>
      </c>
      <c r="J287" s="4" t="s">
        <v>555</v>
      </c>
      <c r="K287" s="4" t="s">
        <v>52</v>
      </c>
      <c r="L287" s="4" t="s">
        <v>3743</v>
      </c>
      <c r="M287" s="4" t="s">
        <v>3746</v>
      </c>
      <c r="N287" s="4" t="s">
        <v>3747</v>
      </c>
      <c r="O287" s="17">
        <f>INDEX('список ID из СУЭ с должностями'!$A:$F,MATCH(E287,'список ID из СУЭ с должностями'!$B:$B,0),5)</f>
        <v>0</v>
      </c>
    </row>
    <row r="288" spans="1:15" ht="75">
      <c r="A288" s="3" t="s">
        <v>10</v>
      </c>
      <c r="B288" s="3" t="s">
        <v>11</v>
      </c>
      <c r="C288" s="4">
        <v>2026</v>
      </c>
      <c r="D288" s="5" t="s">
        <v>12</v>
      </c>
      <c r="E288" s="4">
        <v>38</v>
      </c>
      <c r="F288" s="4" t="s">
        <v>247</v>
      </c>
      <c r="G288" s="4" t="s">
        <v>154</v>
      </c>
      <c r="H288" s="4" t="s">
        <v>41</v>
      </c>
      <c r="I288" s="4" t="s">
        <v>556</v>
      </c>
      <c r="J288" s="4" t="s">
        <v>557</v>
      </c>
      <c r="K288" s="4" t="s">
        <v>52</v>
      </c>
      <c r="L288" s="4" t="s">
        <v>3743</v>
      </c>
      <c r="M288" s="4" t="s">
        <v>3746</v>
      </c>
      <c r="N288" s="4" t="s">
        <v>3747</v>
      </c>
      <c r="O288" s="17">
        <f>INDEX('список ID из СУЭ с должностями'!$A:$F,MATCH(E288,'список ID из СУЭ с должностями'!$B:$B,0),5)</f>
        <v>0</v>
      </c>
    </row>
    <row r="289" spans="1:15" ht="75">
      <c r="A289" s="3" t="s">
        <v>10</v>
      </c>
      <c r="B289" s="3" t="s">
        <v>11</v>
      </c>
      <c r="C289" s="4">
        <v>2026</v>
      </c>
      <c r="D289" s="5" t="s">
        <v>12</v>
      </c>
      <c r="E289" s="4">
        <v>39</v>
      </c>
      <c r="F289" s="4" t="s">
        <v>67</v>
      </c>
      <c r="G289" s="4" t="s">
        <v>558</v>
      </c>
      <c r="H289" s="4" t="s">
        <v>15</v>
      </c>
      <c r="I289" s="4" t="s">
        <v>35</v>
      </c>
      <c r="J289" s="4">
        <v>0</v>
      </c>
      <c r="K289" s="4" t="s">
        <v>35</v>
      </c>
      <c r="L289" s="4" t="s">
        <v>3743</v>
      </c>
      <c r="M289" s="4" t="s">
        <v>3746</v>
      </c>
      <c r="N289" s="4" t="s">
        <v>3747</v>
      </c>
      <c r="O289" s="17">
        <f>INDEX('список ID из СУЭ с должностями'!$A:$F,MATCH(E289,'список ID из СУЭ с должностями'!$B:$B,0),5)</f>
        <v>0</v>
      </c>
    </row>
    <row r="290" spans="1:15" ht="75">
      <c r="A290" s="3" t="s">
        <v>10</v>
      </c>
      <c r="B290" s="3" t="s">
        <v>11</v>
      </c>
      <c r="C290" s="4">
        <v>2026</v>
      </c>
      <c r="D290" s="5" t="s">
        <v>12</v>
      </c>
      <c r="E290" s="4">
        <v>39</v>
      </c>
      <c r="F290" s="4" t="s">
        <v>67</v>
      </c>
      <c r="G290" s="4" t="s">
        <v>558</v>
      </c>
      <c r="H290" s="4" t="s">
        <v>15</v>
      </c>
      <c r="I290" s="4" t="s">
        <v>188</v>
      </c>
      <c r="J290" s="4">
        <v>0</v>
      </c>
      <c r="K290" s="4" t="s">
        <v>188</v>
      </c>
      <c r="L290" s="4" t="s">
        <v>3743</v>
      </c>
      <c r="M290" s="4" t="s">
        <v>3746</v>
      </c>
      <c r="N290" s="4" t="s">
        <v>3747</v>
      </c>
      <c r="O290" s="17">
        <f>INDEX('список ID из СУЭ с должностями'!$A:$F,MATCH(E290,'список ID из СУЭ с должностями'!$B:$B,0),5)</f>
        <v>0</v>
      </c>
    </row>
    <row r="291" spans="1:15" ht="75">
      <c r="A291" s="3" t="s">
        <v>10</v>
      </c>
      <c r="B291" s="3" t="s">
        <v>11</v>
      </c>
      <c r="C291" s="4">
        <v>2026</v>
      </c>
      <c r="D291" s="5" t="s">
        <v>12</v>
      </c>
      <c r="E291" s="4">
        <v>39</v>
      </c>
      <c r="F291" s="4" t="s">
        <v>67</v>
      </c>
      <c r="G291" s="4" t="s">
        <v>558</v>
      </c>
      <c r="H291" s="4" t="s">
        <v>21</v>
      </c>
      <c r="I291" s="4" t="s">
        <v>559</v>
      </c>
      <c r="J291" s="4" t="s">
        <v>560</v>
      </c>
      <c r="K291" s="4" t="s">
        <v>25</v>
      </c>
      <c r="L291" s="4" t="s">
        <v>3743</v>
      </c>
      <c r="M291" s="4" t="s">
        <v>3746</v>
      </c>
      <c r="N291" s="4" t="s">
        <v>3747</v>
      </c>
      <c r="O291" s="17">
        <f>INDEX('список ID из СУЭ с должностями'!$A:$F,MATCH(E291,'список ID из СУЭ с должностями'!$B:$B,0),5)</f>
        <v>0</v>
      </c>
    </row>
    <row r="292" spans="1:15" ht="120">
      <c r="A292" s="3" t="s">
        <v>10</v>
      </c>
      <c r="B292" s="3" t="s">
        <v>11</v>
      </c>
      <c r="C292" s="4">
        <v>2026</v>
      </c>
      <c r="D292" s="5" t="s">
        <v>12</v>
      </c>
      <c r="E292" s="4">
        <v>39</v>
      </c>
      <c r="F292" s="4" t="s">
        <v>67</v>
      </c>
      <c r="G292" s="4" t="s">
        <v>558</v>
      </c>
      <c r="H292" s="4" t="s">
        <v>21</v>
      </c>
      <c r="I292" s="4" t="s">
        <v>561</v>
      </c>
      <c r="J292" s="4" t="s">
        <v>562</v>
      </c>
      <c r="K292" s="4" t="s">
        <v>20</v>
      </c>
      <c r="L292" s="4" t="s">
        <v>3743</v>
      </c>
      <c r="M292" s="4" t="s">
        <v>3746</v>
      </c>
      <c r="N292" s="4" t="s">
        <v>3747</v>
      </c>
      <c r="O292" s="17">
        <f>INDEX('список ID из СУЭ с должностями'!$A:$F,MATCH(E292,'список ID из СУЭ с должностями'!$B:$B,0),5)</f>
        <v>0</v>
      </c>
    </row>
    <row r="293" spans="1:15" ht="75">
      <c r="A293" s="3" t="s">
        <v>10</v>
      </c>
      <c r="B293" s="3" t="s">
        <v>11</v>
      </c>
      <c r="C293" s="4">
        <v>2026</v>
      </c>
      <c r="D293" s="5" t="s">
        <v>12</v>
      </c>
      <c r="E293" s="4">
        <v>39</v>
      </c>
      <c r="F293" s="4" t="s">
        <v>67</v>
      </c>
      <c r="G293" s="4" t="s">
        <v>558</v>
      </c>
      <c r="H293" s="4" t="s">
        <v>21</v>
      </c>
      <c r="I293" s="4" t="s">
        <v>563</v>
      </c>
      <c r="J293" s="4" t="s">
        <v>182</v>
      </c>
      <c r="K293" s="4" t="s">
        <v>38</v>
      </c>
      <c r="L293" s="4" t="s">
        <v>3742</v>
      </c>
      <c r="M293" s="4" t="s">
        <v>3746</v>
      </c>
      <c r="N293" s="4" t="s">
        <v>3747</v>
      </c>
      <c r="O293" s="17">
        <f>INDEX('список ID из СУЭ с должностями'!$A:$F,MATCH(E293,'список ID из СУЭ с должностями'!$B:$B,0),5)</f>
        <v>0</v>
      </c>
    </row>
    <row r="294" spans="1:15" ht="75">
      <c r="A294" s="3" t="s">
        <v>10</v>
      </c>
      <c r="B294" s="3" t="s">
        <v>11</v>
      </c>
      <c r="C294" s="4">
        <v>2026</v>
      </c>
      <c r="D294" s="5" t="s">
        <v>12</v>
      </c>
      <c r="E294" s="4">
        <v>40</v>
      </c>
      <c r="F294" s="4" t="s">
        <v>116</v>
      </c>
      <c r="G294" s="4" t="s">
        <v>117</v>
      </c>
      <c r="H294" s="4" t="s">
        <v>15</v>
      </c>
      <c r="I294" s="4" t="s">
        <v>564</v>
      </c>
      <c r="J294" s="4" t="s">
        <v>565</v>
      </c>
      <c r="K294" s="4" t="s">
        <v>310</v>
      </c>
      <c r="L294" s="4" t="s">
        <v>3742</v>
      </c>
      <c r="M294" s="4" t="s">
        <v>3746</v>
      </c>
      <c r="N294" s="4" t="s">
        <v>3755</v>
      </c>
      <c r="O294" s="17">
        <f>INDEX('список ID из СУЭ с должностями'!$A:$F,MATCH(E294,'список ID из СУЭ с должностями'!$B:$B,0),5)</f>
        <v>0</v>
      </c>
    </row>
    <row r="295" spans="1:15" ht="75">
      <c r="A295" s="3" t="s">
        <v>10</v>
      </c>
      <c r="B295" s="3" t="s">
        <v>11</v>
      </c>
      <c r="C295" s="4">
        <v>2026</v>
      </c>
      <c r="D295" s="5" t="s">
        <v>12</v>
      </c>
      <c r="E295" s="4">
        <v>40</v>
      </c>
      <c r="F295" s="4" t="s">
        <v>116</v>
      </c>
      <c r="G295" s="4" t="s">
        <v>117</v>
      </c>
      <c r="H295" s="4" t="s">
        <v>15</v>
      </c>
      <c r="I295" s="4" t="s">
        <v>566</v>
      </c>
      <c r="J295" s="4" t="s">
        <v>132</v>
      </c>
      <c r="K295" s="4" t="s">
        <v>20</v>
      </c>
      <c r="L295" s="4" t="s">
        <v>3742</v>
      </c>
      <c r="M295" s="4" t="s">
        <v>3746</v>
      </c>
      <c r="N295" s="4" t="s">
        <v>3747</v>
      </c>
      <c r="O295" s="17">
        <f>INDEX('список ID из СУЭ с должностями'!$A:$F,MATCH(E295,'список ID из СУЭ с должностями'!$B:$B,0),5)</f>
        <v>0</v>
      </c>
    </row>
    <row r="296" spans="1:15" ht="75">
      <c r="A296" s="3" t="s">
        <v>10</v>
      </c>
      <c r="B296" s="3" t="s">
        <v>11</v>
      </c>
      <c r="C296" s="4">
        <v>2026</v>
      </c>
      <c r="D296" s="5" t="s">
        <v>12</v>
      </c>
      <c r="E296" s="4">
        <v>40</v>
      </c>
      <c r="F296" s="4" t="s">
        <v>116</v>
      </c>
      <c r="G296" s="4" t="s">
        <v>117</v>
      </c>
      <c r="H296" s="4" t="s">
        <v>15</v>
      </c>
      <c r="I296" s="4" t="s">
        <v>567</v>
      </c>
      <c r="J296" s="4" t="s">
        <v>568</v>
      </c>
      <c r="K296" s="4" t="s">
        <v>52</v>
      </c>
      <c r="L296" s="4" t="s">
        <v>3742</v>
      </c>
      <c r="M296" s="4" t="s">
        <v>3746</v>
      </c>
      <c r="N296" s="4" t="s">
        <v>3747</v>
      </c>
      <c r="O296" s="17">
        <f>INDEX('список ID из СУЭ с должностями'!$A:$F,MATCH(E296,'список ID из СУЭ с должностями'!$B:$B,0),5)</f>
        <v>0</v>
      </c>
    </row>
    <row r="297" spans="1:15" ht="75">
      <c r="A297" s="3" t="s">
        <v>10</v>
      </c>
      <c r="B297" s="3" t="s">
        <v>11</v>
      </c>
      <c r="C297" s="4">
        <v>2026</v>
      </c>
      <c r="D297" s="5" t="s">
        <v>12</v>
      </c>
      <c r="E297" s="4">
        <v>40</v>
      </c>
      <c r="F297" s="4" t="s">
        <v>116</v>
      </c>
      <c r="G297" s="4" t="s">
        <v>117</v>
      </c>
      <c r="H297" s="4" t="s">
        <v>21</v>
      </c>
      <c r="I297" s="4" t="s">
        <v>569</v>
      </c>
      <c r="J297" s="4" t="s">
        <v>258</v>
      </c>
      <c r="K297" s="4" t="s">
        <v>20</v>
      </c>
      <c r="L297" s="4" t="s">
        <v>3742</v>
      </c>
      <c r="M297" s="4" t="s">
        <v>3746</v>
      </c>
      <c r="N297" s="4" t="s">
        <v>3747</v>
      </c>
      <c r="O297" s="17">
        <f>INDEX('список ID из СУЭ с должностями'!$A:$F,MATCH(E297,'список ID из СУЭ с должностями'!$B:$B,0),5)</f>
        <v>0</v>
      </c>
    </row>
    <row r="298" spans="1:15" ht="75">
      <c r="A298" s="3" t="s">
        <v>10</v>
      </c>
      <c r="B298" s="3" t="s">
        <v>11</v>
      </c>
      <c r="C298" s="4">
        <v>2026</v>
      </c>
      <c r="D298" s="5" t="s">
        <v>12</v>
      </c>
      <c r="E298" s="4">
        <v>40</v>
      </c>
      <c r="F298" s="4" t="s">
        <v>116</v>
      </c>
      <c r="G298" s="4" t="s">
        <v>117</v>
      </c>
      <c r="H298" s="4" t="s">
        <v>15</v>
      </c>
      <c r="I298" s="4" t="s">
        <v>570</v>
      </c>
      <c r="J298" s="4" t="s">
        <v>132</v>
      </c>
      <c r="K298" s="4" t="s">
        <v>52</v>
      </c>
      <c r="L298" s="4" t="s">
        <v>3742</v>
      </c>
      <c r="M298" s="4" t="s">
        <v>3746</v>
      </c>
      <c r="N298" s="4" t="s">
        <v>3747</v>
      </c>
      <c r="O298" s="17">
        <f>INDEX('список ID из СУЭ с должностями'!$A:$F,MATCH(E298,'список ID из СУЭ с должностями'!$B:$B,0),5)</f>
        <v>0</v>
      </c>
    </row>
    <row r="299" spans="1:15" ht="75">
      <c r="A299" s="3" t="s">
        <v>10</v>
      </c>
      <c r="B299" s="3" t="s">
        <v>11</v>
      </c>
      <c r="C299" s="4">
        <v>2026</v>
      </c>
      <c r="D299" s="5" t="s">
        <v>12</v>
      </c>
      <c r="E299" s="4">
        <v>40</v>
      </c>
      <c r="F299" s="4" t="s">
        <v>116</v>
      </c>
      <c r="G299" s="4" t="s">
        <v>117</v>
      </c>
      <c r="H299" s="4" t="s">
        <v>21</v>
      </c>
      <c r="I299" s="4" t="s">
        <v>571</v>
      </c>
      <c r="J299" s="4" t="s">
        <v>572</v>
      </c>
      <c r="K299" s="4" t="s">
        <v>55</v>
      </c>
      <c r="L299" s="4" t="s">
        <v>3743</v>
      </c>
      <c r="M299" s="4" t="s">
        <v>3746</v>
      </c>
      <c r="N299" s="4" t="s">
        <v>3747</v>
      </c>
      <c r="O299" s="17">
        <f>INDEX('список ID из СУЭ с должностями'!$A:$F,MATCH(E299,'список ID из СУЭ с должностями'!$B:$B,0),5)</f>
        <v>0</v>
      </c>
    </row>
    <row r="300" spans="1:15" ht="75">
      <c r="A300" s="3" t="s">
        <v>10</v>
      </c>
      <c r="B300" s="3" t="s">
        <v>11</v>
      </c>
      <c r="C300" s="4">
        <v>2026</v>
      </c>
      <c r="D300" s="5" t="s">
        <v>12</v>
      </c>
      <c r="E300" s="4">
        <v>40</v>
      </c>
      <c r="F300" s="4" t="s">
        <v>116</v>
      </c>
      <c r="G300" s="4" t="s">
        <v>117</v>
      </c>
      <c r="H300" s="4" t="s">
        <v>15</v>
      </c>
      <c r="I300" s="4" t="s">
        <v>573</v>
      </c>
      <c r="J300" s="4" t="s">
        <v>132</v>
      </c>
      <c r="K300" s="4" t="s">
        <v>310</v>
      </c>
      <c r="L300" s="4" t="s">
        <v>3742</v>
      </c>
      <c r="M300" s="4" t="s">
        <v>3746</v>
      </c>
      <c r="N300" s="4" t="s">
        <v>3755</v>
      </c>
      <c r="O300" s="17">
        <f>INDEX('список ID из СУЭ с должностями'!$A:$F,MATCH(E300,'список ID из СУЭ с должностями'!$B:$B,0),5)</f>
        <v>0</v>
      </c>
    </row>
    <row r="301" spans="1:15" ht="75">
      <c r="A301" s="3" t="s">
        <v>10</v>
      </c>
      <c r="B301" s="3" t="s">
        <v>11</v>
      </c>
      <c r="C301" s="4">
        <v>2026</v>
      </c>
      <c r="D301" s="5" t="s">
        <v>12</v>
      </c>
      <c r="E301" s="4">
        <v>40</v>
      </c>
      <c r="F301" s="4" t="s">
        <v>116</v>
      </c>
      <c r="G301" s="4" t="s">
        <v>117</v>
      </c>
      <c r="H301" s="4" t="s">
        <v>15</v>
      </c>
      <c r="I301" s="4" t="s">
        <v>574</v>
      </c>
      <c r="J301" s="4" t="s">
        <v>575</v>
      </c>
      <c r="K301" s="4" t="s">
        <v>310</v>
      </c>
      <c r="L301" s="4" t="s">
        <v>3743</v>
      </c>
      <c r="M301" s="4" t="s">
        <v>3746</v>
      </c>
      <c r="N301" s="4" t="s">
        <v>3755</v>
      </c>
      <c r="O301" s="17">
        <f>INDEX('список ID из СУЭ с должностями'!$A:$F,MATCH(E301,'список ID из СУЭ с должностями'!$B:$B,0),5)</f>
        <v>0</v>
      </c>
    </row>
    <row r="302" spans="1:15" ht="75">
      <c r="A302" s="3" t="s">
        <v>10</v>
      </c>
      <c r="B302" s="3" t="s">
        <v>11</v>
      </c>
      <c r="C302" s="4">
        <v>2026</v>
      </c>
      <c r="D302" s="5" t="s">
        <v>12</v>
      </c>
      <c r="E302" s="4">
        <v>40</v>
      </c>
      <c r="F302" s="4" t="s">
        <v>116</v>
      </c>
      <c r="G302" s="4" t="s">
        <v>117</v>
      </c>
      <c r="H302" s="4" t="s">
        <v>15</v>
      </c>
      <c r="I302" s="4" t="s">
        <v>576</v>
      </c>
      <c r="J302" s="4" t="s">
        <v>132</v>
      </c>
      <c r="K302" s="4" t="s">
        <v>310</v>
      </c>
      <c r="L302" s="4" t="s">
        <v>3742</v>
      </c>
      <c r="M302" s="4" t="s">
        <v>3746</v>
      </c>
      <c r="N302" s="4" t="s">
        <v>3755</v>
      </c>
      <c r="O302" s="17">
        <f>INDEX('список ID из СУЭ с должностями'!$A:$F,MATCH(E302,'список ID из СУЭ с должностями'!$B:$B,0),5)</f>
        <v>0</v>
      </c>
    </row>
    <row r="303" spans="1:15" ht="75">
      <c r="A303" s="3" t="s">
        <v>10</v>
      </c>
      <c r="B303" s="3" t="s">
        <v>11</v>
      </c>
      <c r="C303" s="4">
        <v>2026</v>
      </c>
      <c r="D303" s="5" t="s">
        <v>12</v>
      </c>
      <c r="E303" s="4">
        <v>41</v>
      </c>
      <c r="F303" s="4" t="s">
        <v>577</v>
      </c>
      <c r="G303" s="4" t="s">
        <v>578</v>
      </c>
      <c r="H303" s="4" t="s">
        <v>15</v>
      </c>
      <c r="I303" s="4" t="s">
        <v>579</v>
      </c>
      <c r="J303" s="4" t="s">
        <v>580</v>
      </c>
      <c r="K303" s="4" t="s">
        <v>52</v>
      </c>
      <c r="L303" s="4" t="s">
        <v>3743</v>
      </c>
      <c r="M303" s="4" t="s">
        <v>3746</v>
      </c>
      <c r="N303" s="4" t="s">
        <v>3747</v>
      </c>
      <c r="O303" s="17" t="str">
        <f>INDEX('список ID из СУЭ с должностями'!$A:$F,MATCH(E303,'список ID из СУЭ с должностями'!$B:$B,0),5)</f>
        <v>ИПРО</v>
      </c>
    </row>
    <row r="304" spans="1:15" ht="75">
      <c r="A304" s="3" t="s">
        <v>10</v>
      </c>
      <c r="B304" s="3" t="s">
        <v>11</v>
      </c>
      <c r="C304" s="4">
        <v>2026</v>
      </c>
      <c r="D304" s="5" t="s">
        <v>12</v>
      </c>
      <c r="E304" s="4">
        <v>41</v>
      </c>
      <c r="F304" s="4" t="s">
        <v>577</v>
      </c>
      <c r="G304" s="4" t="s">
        <v>578</v>
      </c>
      <c r="H304" s="4" t="s">
        <v>15</v>
      </c>
      <c r="I304" s="4" t="s">
        <v>48</v>
      </c>
      <c r="J304" s="4" t="s">
        <v>581</v>
      </c>
      <c r="K304" s="4" t="s">
        <v>52</v>
      </c>
      <c r="L304" s="4" t="s">
        <v>3742</v>
      </c>
      <c r="M304" s="4" t="s">
        <v>3746</v>
      </c>
      <c r="N304" s="4" t="s">
        <v>3747</v>
      </c>
      <c r="O304" s="17" t="str">
        <f>INDEX('список ID из СУЭ с должностями'!$A:$F,MATCH(E304,'список ID из СУЭ с должностями'!$B:$B,0),5)</f>
        <v>ИПРО</v>
      </c>
    </row>
    <row r="305" spans="1:15" ht="135">
      <c r="A305" s="3" t="s">
        <v>10</v>
      </c>
      <c r="B305" s="3" t="s">
        <v>11</v>
      </c>
      <c r="C305" s="4">
        <v>2026</v>
      </c>
      <c r="D305" s="5" t="s">
        <v>12</v>
      </c>
      <c r="E305" s="4">
        <v>41</v>
      </c>
      <c r="F305" s="4" t="s">
        <v>577</v>
      </c>
      <c r="G305" s="4" t="s">
        <v>578</v>
      </c>
      <c r="H305" s="4" t="s">
        <v>15</v>
      </c>
      <c r="I305" s="4" t="s">
        <v>582</v>
      </c>
      <c r="J305" s="4" t="s">
        <v>583</v>
      </c>
      <c r="K305" s="4" t="s">
        <v>52</v>
      </c>
      <c r="L305" s="4" t="s">
        <v>3743</v>
      </c>
      <c r="M305" s="4" t="s">
        <v>3746</v>
      </c>
      <c r="N305" s="4" t="s">
        <v>3747</v>
      </c>
      <c r="O305" s="17" t="str">
        <f>INDEX('список ID из СУЭ с должностями'!$A:$F,MATCH(E305,'список ID из СУЭ с должностями'!$B:$B,0),5)</f>
        <v>ИПРО</v>
      </c>
    </row>
    <row r="306" spans="1:15" ht="75">
      <c r="A306" s="3" t="s">
        <v>10</v>
      </c>
      <c r="B306" s="3" t="s">
        <v>11</v>
      </c>
      <c r="C306" s="4">
        <v>2026</v>
      </c>
      <c r="D306" s="5" t="s">
        <v>12</v>
      </c>
      <c r="E306" s="4">
        <v>41</v>
      </c>
      <c r="F306" s="4" t="s">
        <v>577</v>
      </c>
      <c r="G306" s="4" t="s">
        <v>578</v>
      </c>
      <c r="H306" s="4" t="s">
        <v>15</v>
      </c>
      <c r="I306" s="4" t="s">
        <v>584</v>
      </c>
      <c r="J306" s="4" t="s">
        <v>585</v>
      </c>
      <c r="K306" s="4" t="s">
        <v>30</v>
      </c>
      <c r="L306" s="4" t="s">
        <v>3743</v>
      </c>
      <c r="M306" s="4" t="s">
        <v>3746</v>
      </c>
      <c r="N306" s="4" t="s">
        <v>3747</v>
      </c>
      <c r="O306" s="17" t="str">
        <f>INDEX('список ID из СУЭ с должностями'!$A:$F,MATCH(E306,'список ID из СУЭ с должностями'!$B:$B,0),5)</f>
        <v>ИПРО</v>
      </c>
    </row>
    <row r="307" spans="1:15" ht="135">
      <c r="A307" s="3" t="s">
        <v>10</v>
      </c>
      <c r="B307" s="3" t="s">
        <v>11</v>
      </c>
      <c r="C307" s="4">
        <v>2026</v>
      </c>
      <c r="D307" s="5" t="s">
        <v>12</v>
      </c>
      <c r="E307" s="4">
        <v>41</v>
      </c>
      <c r="F307" s="4" t="s">
        <v>577</v>
      </c>
      <c r="G307" s="4" t="s">
        <v>578</v>
      </c>
      <c r="H307" s="4" t="s">
        <v>15</v>
      </c>
      <c r="I307" s="4" t="s">
        <v>586</v>
      </c>
      <c r="J307" s="4" t="s">
        <v>587</v>
      </c>
      <c r="K307" s="4" t="s">
        <v>38</v>
      </c>
      <c r="L307" s="4" t="s">
        <v>3743</v>
      </c>
      <c r="M307" s="4" t="s">
        <v>3746</v>
      </c>
      <c r="N307" s="4" t="s">
        <v>3747</v>
      </c>
      <c r="O307" s="17" t="str">
        <f>INDEX('список ID из СУЭ с должностями'!$A:$F,MATCH(E307,'список ID из СУЭ с должностями'!$B:$B,0),5)</f>
        <v>ИПРО</v>
      </c>
    </row>
    <row r="308" spans="1:15" ht="75">
      <c r="A308" s="3" t="s">
        <v>10</v>
      </c>
      <c r="B308" s="3" t="s">
        <v>11</v>
      </c>
      <c r="C308" s="4">
        <v>2026</v>
      </c>
      <c r="D308" s="5" t="s">
        <v>12</v>
      </c>
      <c r="E308" s="4">
        <v>41</v>
      </c>
      <c r="F308" s="4" t="s">
        <v>577</v>
      </c>
      <c r="G308" s="4" t="s">
        <v>578</v>
      </c>
      <c r="H308" s="4" t="s">
        <v>15</v>
      </c>
      <c r="I308" s="4" t="s">
        <v>588</v>
      </c>
      <c r="J308" s="4" t="s">
        <v>589</v>
      </c>
      <c r="K308" s="4" t="s">
        <v>20</v>
      </c>
      <c r="L308" s="4" t="s">
        <v>3743</v>
      </c>
      <c r="M308" s="4" t="s">
        <v>3746</v>
      </c>
      <c r="N308" s="4" t="s">
        <v>3747</v>
      </c>
      <c r="O308" s="17" t="str">
        <f>INDEX('список ID из СУЭ с должностями'!$A:$F,MATCH(E308,'список ID из СУЭ с должностями'!$B:$B,0),5)</f>
        <v>ИПРО</v>
      </c>
    </row>
    <row r="309" spans="1:15" ht="75">
      <c r="A309" s="3" t="s">
        <v>10</v>
      </c>
      <c r="B309" s="3" t="s">
        <v>11</v>
      </c>
      <c r="C309" s="4">
        <v>2026</v>
      </c>
      <c r="D309" s="5" t="s">
        <v>12</v>
      </c>
      <c r="E309" s="4">
        <v>41</v>
      </c>
      <c r="F309" s="4" t="s">
        <v>577</v>
      </c>
      <c r="G309" s="4" t="s">
        <v>578</v>
      </c>
      <c r="H309" s="4" t="s">
        <v>15</v>
      </c>
      <c r="I309" s="4" t="s">
        <v>590</v>
      </c>
      <c r="J309" s="4" t="s">
        <v>591</v>
      </c>
      <c r="K309" s="4" t="s">
        <v>151</v>
      </c>
      <c r="L309" s="4" t="s">
        <v>3743</v>
      </c>
      <c r="M309" s="4" t="s">
        <v>3746</v>
      </c>
      <c r="N309" s="4" t="s">
        <v>3747</v>
      </c>
      <c r="O309" s="17" t="str">
        <f>INDEX('список ID из СУЭ с должностями'!$A:$F,MATCH(E309,'список ID из СУЭ с должностями'!$B:$B,0),5)</f>
        <v>ИПРО</v>
      </c>
    </row>
    <row r="310" spans="1:15" ht="210">
      <c r="A310" s="3" t="s">
        <v>10</v>
      </c>
      <c r="B310" s="3" t="s">
        <v>11</v>
      </c>
      <c r="C310" s="4">
        <v>2026</v>
      </c>
      <c r="D310" s="5" t="s">
        <v>12</v>
      </c>
      <c r="E310" s="4">
        <v>42</v>
      </c>
      <c r="F310" s="4" t="s">
        <v>88</v>
      </c>
      <c r="G310" s="4" t="s">
        <v>300</v>
      </c>
      <c r="H310" s="4" t="s">
        <v>15</v>
      </c>
      <c r="I310" s="4" t="s">
        <v>469</v>
      </c>
      <c r="J310" s="4" t="s">
        <v>592</v>
      </c>
      <c r="K310" s="4" t="s">
        <v>30</v>
      </c>
      <c r="L310" s="4" t="s">
        <v>3743</v>
      </c>
      <c r="M310" s="4" t="s">
        <v>3746</v>
      </c>
      <c r="N310" s="4" t="s">
        <v>3747</v>
      </c>
      <c r="O310" s="17">
        <f>INDEX('список ID из СУЭ с должностями'!$A:$F,MATCH(E310,'список ID из СУЭ с должностями'!$B:$B,0),5)</f>
        <v>0</v>
      </c>
    </row>
    <row r="311" spans="1:15" ht="90">
      <c r="A311" s="3" t="s">
        <v>10</v>
      </c>
      <c r="B311" s="3" t="s">
        <v>11</v>
      </c>
      <c r="C311" s="4">
        <v>2026</v>
      </c>
      <c r="D311" s="5" t="s">
        <v>12</v>
      </c>
      <c r="E311" s="4">
        <v>42</v>
      </c>
      <c r="F311" s="4" t="s">
        <v>88</v>
      </c>
      <c r="G311" s="4" t="s">
        <v>300</v>
      </c>
      <c r="H311" s="4" t="s">
        <v>15</v>
      </c>
      <c r="I311" s="4" t="s">
        <v>301</v>
      </c>
      <c r="J311" s="4" t="s">
        <v>302</v>
      </c>
      <c r="K311" s="4" t="s">
        <v>66</v>
      </c>
      <c r="L311" s="4" t="s">
        <v>3742</v>
      </c>
      <c r="M311" s="4" t="s">
        <v>3746</v>
      </c>
      <c r="N311" s="4" t="s">
        <v>3747</v>
      </c>
      <c r="O311" s="17">
        <f>INDEX('список ID из СУЭ с должностями'!$A:$F,MATCH(E311,'список ID из СУЭ с должностями'!$B:$B,0),5)</f>
        <v>0</v>
      </c>
    </row>
    <row r="312" spans="1:15" ht="210">
      <c r="A312" s="3" t="s">
        <v>10</v>
      </c>
      <c r="B312" s="3" t="s">
        <v>11</v>
      </c>
      <c r="C312" s="4">
        <v>2026</v>
      </c>
      <c r="D312" s="5" t="s">
        <v>12</v>
      </c>
      <c r="E312" s="4">
        <v>42</v>
      </c>
      <c r="F312" s="4" t="s">
        <v>88</v>
      </c>
      <c r="G312" s="4" t="s">
        <v>300</v>
      </c>
      <c r="H312" s="4" t="s">
        <v>15</v>
      </c>
      <c r="I312" s="4" t="s">
        <v>303</v>
      </c>
      <c r="J312" s="4" t="s">
        <v>593</v>
      </c>
      <c r="K312" s="4" t="s">
        <v>52</v>
      </c>
      <c r="L312" s="4" t="s">
        <v>3743</v>
      </c>
      <c r="M312" s="4" t="s">
        <v>3746</v>
      </c>
      <c r="N312" s="4" t="s">
        <v>3747</v>
      </c>
      <c r="O312" s="17">
        <f>INDEX('список ID из СУЭ с должностями'!$A:$F,MATCH(E312,'список ID из СУЭ с должностями'!$B:$B,0),5)</f>
        <v>0</v>
      </c>
    </row>
    <row r="313" spans="1:15" ht="150">
      <c r="A313" s="3" t="s">
        <v>10</v>
      </c>
      <c r="B313" s="3" t="s">
        <v>11</v>
      </c>
      <c r="C313" s="4">
        <v>2026</v>
      </c>
      <c r="D313" s="5" t="s">
        <v>12</v>
      </c>
      <c r="E313" s="4">
        <v>42</v>
      </c>
      <c r="F313" s="4" t="s">
        <v>88</v>
      </c>
      <c r="G313" s="4" t="s">
        <v>300</v>
      </c>
      <c r="H313" s="4" t="s">
        <v>15</v>
      </c>
      <c r="I313" s="4" t="s">
        <v>305</v>
      </c>
      <c r="J313" s="4" t="s">
        <v>594</v>
      </c>
      <c r="K313" s="4" t="s">
        <v>35</v>
      </c>
      <c r="L313" s="4" t="s">
        <v>3743</v>
      </c>
      <c r="M313" s="4" t="s">
        <v>3746</v>
      </c>
      <c r="N313" s="4" t="s">
        <v>3747</v>
      </c>
      <c r="O313" s="17">
        <f>INDEX('список ID из СУЭ с должностями'!$A:$F,MATCH(E313,'список ID из СУЭ с должностями'!$B:$B,0),5)</f>
        <v>0</v>
      </c>
    </row>
    <row r="314" spans="1:15" ht="60">
      <c r="A314" s="3" t="s">
        <v>10</v>
      </c>
      <c r="B314" s="3" t="s">
        <v>11</v>
      </c>
      <c r="C314" s="4">
        <v>2026</v>
      </c>
      <c r="D314" s="5" t="s">
        <v>12</v>
      </c>
      <c r="E314" s="4">
        <v>43</v>
      </c>
      <c r="F314" s="4" t="s">
        <v>193</v>
      </c>
      <c r="G314" s="4" t="s">
        <v>595</v>
      </c>
      <c r="H314" s="4" t="s">
        <v>15</v>
      </c>
      <c r="I314" s="4" t="s">
        <v>596</v>
      </c>
      <c r="J314" s="4" t="s">
        <v>597</v>
      </c>
      <c r="K314" s="4" t="s">
        <v>66</v>
      </c>
      <c r="L314" s="4" t="s">
        <v>3742</v>
      </c>
      <c r="M314" s="4" t="s">
        <v>3746</v>
      </c>
      <c r="N314" s="4" t="s">
        <v>3747</v>
      </c>
      <c r="O314" s="17" t="str">
        <f>INDEX('список ID из СУЭ с должностями'!$A:$F,MATCH(E314,'список ID из СУЭ с должностями'!$B:$B,0),5)</f>
        <v>Инж смены</v>
      </c>
    </row>
    <row r="315" spans="1:15" ht="60">
      <c r="A315" s="3" t="s">
        <v>10</v>
      </c>
      <c r="B315" s="3" t="s">
        <v>11</v>
      </c>
      <c r="C315" s="4">
        <v>2026</v>
      </c>
      <c r="D315" s="5" t="s">
        <v>12</v>
      </c>
      <c r="E315" s="4">
        <v>43</v>
      </c>
      <c r="F315" s="4" t="s">
        <v>193</v>
      </c>
      <c r="G315" s="4" t="s">
        <v>595</v>
      </c>
      <c r="H315" s="4" t="s">
        <v>15</v>
      </c>
      <c r="I315" s="4" t="s">
        <v>599</v>
      </c>
      <c r="J315" s="4" t="s">
        <v>600</v>
      </c>
      <c r="K315" s="4" t="s">
        <v>52</v>
      </c>
      <c r="L315" s="4" t="s">
        <v>3742</v>
      </c>
      <c r="M315" s="4" t="s">
        <v>3746</v>
      </c>
      <c r="N315" s="4" t="s">
        <v>3747</v>
      </c>
      <c r="O315" s="17" t="str">
        <f>INDEX('список ID из СУЭ с должностями'!$A:$F,MATCH(E315,'список ID из СУЭ с должностями'!$B:$B,0),5)</f>
        <v>Инж смены</v>
      </c>
    </row>
    <row r="316" spans="1:15" ht="60">
      <c r="A316" s="3" t="s">
        <v>10</v>
      </c>
      <c r="B316" s="3" t="s">
        <v>11</v>
      </c>
      <c r="C316" s="4">
        <v>2026</v>
      </c>
      <c r="D316" s="5" t="s">
        <v>12</v>
      </c>
      <c r="E316" s="4">
        <v>43</v>
      </c>
      <c r="F316" s="4" t="s">
        <v>193</v>
      </c>
      <c r="G316" s="4" t="s">
        <v>595</v>
      </c>
      <c r="H316" s="4" t="s">
        <v>15</v>
      </c>
      <c r="I316" s="4" t="s">
        <v>601</v>
      </c>
      <c r="J316" s="4" t="s">
        <v>602</v>
      </c>
      <c r="K316" s="4" t="s">
        <v>52</v>
      </c>
      <c r="L316" s="4" t="s">
        <v>3742</v>
      </c>
      <c r="M316" s="4" t="s">
        <v>3746</v>
      </c>
      <c r="N316" s="4" t="s">
        <v>3747</v>
      </c>
      <c r="O316" s="17" t="str">
        <f>INDEX('список ID из СУЭ с должностями'!$A:$F,MATCH(E316,'список ID из СУЭ с должностями'!$B:$B,0),5)</f>
        <v>Инж смены</v>
      </c>
    </row>
    <row r="317" spans="1:15" ht="60">
      <c r="A317" s="3" t="s">
        <v>10</v>
      </c>
      <c r="B317" s="3" t="s">
        <v>11</v>
      </c>
      <c r="C317" s="4">
        <v>2026</v>
      </c>
      <c r="D317" s="5" t="s">
        <v>12</v>
      </c>
      <c r="E317" s="4">
        <v>43</v>
      </c>
      <c r="F317" s="4" t="s">
        <v>193</v>
      </c>
      <c r="G317" s="4" t="s">
        <v>595</v>
      </c>
      <c r="H317" s="4" t="s">
        <v>15</v>
      </c>
      <c r="I317" s="4" t="s">
        <v>603</v>
      </c>
      <c r="J317" s="4" t="s">
        <v>604</v>
      </c>
      <c r="K317" s="4" t="s">
        <v>52</v>
      </c>
      <c r="L317" s="4" t="s">
        <v>3742</v>
      </c>
      <c r="M317" s="4" t="s">
        <v>3746</v>
      </c>
      <c r="N317" s="4" t="s">
        <v>3747</v>
      </c>
      <c r="O317" s="17" t="str">
        <f>INDEX('список ID из СУЭ с должностями'!$A:$F,MATCH(E317,'список ID из СУЭ с должностями'!$B:$B,0),5)</f>
        <v>Инж смены</v>
      </c>
    </row>
    <row r="318" spans="1:15" ht="60">
      <c r="A318" s="3" t="s">
        <v>10</v>
      </c>
      <c r="B318" s="3" t="s">
        <v>11</v>
      </c>
      <c r="C318" s="4">
        <v>2026</v>
      </c>
      <c r="D318" s="5" t="s">
        <v>12</v>
      </c>
      <c r="E318" s="4">
        <v>43</v>
      </c>
      <c r="F318" s="4" t="s">
        <v>193</v>
      </c>
      <c r="G318" s="4" t="s">
        <v>595</v>
      </c>
      <c r="H318" s="4" t="s">
        <v>15</v>
      </c>
      <c r="I318" s="4" t="s">
        <v>605</v>
      </c>
      <c r="J318" s="4" t="s">
        <v>606</v>
      </c>
      <c r="K318" s="4" t="s">
        <v>52</v>
      </c>
      <c r="L318" s="4" t="s">
        <v>3742</v>
      </c>
      <c r="M318" s="4" t="s">
        <v>3746</v>
      </c>
      <c r="N318" s="4" t="s">
        <v>3747</v>
      </c>
      <c r="O318" s="17" t="str">
        <f>INDEX('список ID из СУЭ с должностями'!$A:$F,MATCH(E318,'список ID из СУЭ с должностями'!$B:$B,0),5)</f>
        <v>Инж смены</v>
      </c>
    </row>
    <row r="319" spans="1:15" ht="60">
      <c r="A319" s="3" t="s">
        <v>10</v>
      </c>
      <c r="B319" s="3" t="s">
        <v>11</v>
      </c>
      <c r="C319" s="4">
        <v>2026</v>
      </c>
      <c r="D319" s="5" t="s">
        <v>12</v>
      </c>
      <c r="E319" s="4">
        <v>43</v>
      </c>
      <c r="F319" s="4" t="s">
        <v>193</v>
      </c>
      <c r="G319" s="4" t="s">
        <v>595</v>
      </c>
      <c r="H319" s="4" t="s">
        <v>15</v>
      </c>
      <c r="I319" s="4" t="s">
        <v>607</v>
      </c>
      <c r="J319" s="4" t="s">
        <v>608</v>
      </c>
      <c r="K319" s="4" t="s">
        <v>52</v>
      </c>
      <c r="L319" s="4" t="s">
        <v>3742</v>
      </c>
      <c r="M319" s="4" t="s">
        <v>3746</v>
      </c>
      <c r="N319" s="4" t="s">
        <v>3747</v>
      </c>
      <c r="O319" s="17" t="str">
        <f>INDEX('список ID из СУЭ с должностями'!$A:$F,MATCH(E319,'список ID из СУЭ с должностями'!$B:$B,0),5)</f>
        <v>Инж смены</v>
      </c>
    </row>
    <row r="320" spans="1:15" ht="60">
      <c r="A320" s="3" t="s">
        <v>10</v>
      </c>
      <c r="B320" s="3" t="s">
        <v>11</v>
      </c>
      <c r="C320" s="4">
        <v>2026</v>
      </c>
      <c r="D320" s="5" t="s">
        <v>12</v>
      </c>
      <c r="E320" s="4">
        <v>43</v>
      </c>
      <c r="F320" s="4" t="s">
        <v>193</v>
      </c>
      <c r="G320" s="4" t="s">
        <v>595</v>
      </c>
      <c r="H320" s="4" t="s">
        <v>15</v>
      </c>
      <c r="I320" s="4" t="s">
        <v>609</v>
      </c>
      <c r="J320" s="4" t="s">
        <v>610</v>
      </c>
      <c r="K320" s="4" t="s">
        <v>52</v>
      </c>
      <c r="L320" s="4" t="s">
        <v>3742</v>
      </c>
      <c r="M320" s="4" t="s">
        <v>3746</v>
      </c>
      <c r="N320" s="4" t="s">
        <v>3747</v>
      </c>
      <c r="O320" s="17" t="str">
        <f>INDEX('список ID из СУЭ с должностями'!$A:$F,MATCH(E320,'список ID из СУЭ с должностями'!$B:$B,0),5)</f>
        <v>Инж смены</v>
      </c>
    </row>
    <row r="321" spans="1:15" ht="60">
      <c r="A321" s="3" t="s">
        <v>10</v>
      </c>
      <c r="B321" s="3" t="s">
        <v>11</v>
      </c>
      <c r="C321" s="4">
        <v>2026</v>
      </c>
      <c r="D321" s="5" t="s">
        <v>12</v>
      </c>
      <c r="E321" s="4">
        <v>43</v>
      </c>
      <c r="F321" s="4" t="s">
        <v>193</v>
      </c>
      <c r="G321" s="4" t="s">
        <v>595</v>
      </c>
      <c r="H321" s="4" t="s">
        <v>15</v>
      </c>
      <c r="I321" s="4" t="s">
        <v>611</v>
      </c>
      <c r="J321" s="4" t="s">
        <v>612</v>
      </c>
      <c r="K321" s="4" t="s">
        <v>52</v>
      </c>
      <c r="L321" s="4" t="s">
        <v>3742</v>
      </c>
      <c r="M321" s="4" t="s">
        <v>3746</v>
      </c>
      <c r="N321" s="4" t="s">
        <v>3747</v>
      </c>
      <c r="O321" s="17" t="str">
        <f>INDEX('список ID из СУЭ с должностями'!$A:$F,MATCH(E321,'список ID из СУЭ с должностями'!$B:$B,0),5)</f>
        <v>Инж смены</v>
      </c>
    </row>
    <row r="322" spans="1:15" ht="60">
      <c r="A322" s="3" t="s">
        <v>10</v>
      </c>
      <c r="B322" s="3" t="s">
        <v>11</v>
      </c>
      <c r="C322" s="4">
        <v>2026</v>
      </c>
      <c r="D322" s="5" t="s">
        <v>12</v>
      </c>
      <c r="E322" s="4">
        <v>44</v>
      </c>
      <c r="F322" s="4" t="s">
        <v>613</v>
      </c>
      <c r="G322" s="4" t="s">
        <v>614</v>
      </c>
      <c r="H322" s="4" t="s">
        <v>41</v>
      </c>
      <c r="I322" s="4" t="s">
        <v>615</v>
      </c>
      <c r="J322" s="4" t="s">
        <v>616</v>
      </c>
      <c r="K322" s="4" t="s">
        <v>151</v>
      </c>
      <c r="L322" s="4" t="s">
        <v>3743</v>
      </c>
      <c r="M322" s="4" t="s">
        <v>3746</v>
      </c>
      <c r="N322" s="4" t="s">
        <v>3747</v>
      </c>
      <c r="O322" s="17">
        <f>INDEX('список ID из СУЭ с должностями'!$A:$F,MATCH(E322,'список ID из СУЭ с должностями'!$B:$B,0),5)</f>
        <v>0</v>
      </c>
    </row>
    <row r="323" spans="1:15" ht="135">
      <c r="A323" s="3" t="s">
        <v>10</v>
      </c>
      <c r="B323" s="3" t="s">
        <v>11</v>
      </c>
      <c r="C323" s="4">
        <v>2026</v>
      </c>
      <c r="D323" s="5" t="s">
        <v>12</v>
      </c>
      <c r="E323" s="4">
        <v>44</v>
      </c>
      <c r="F323" s="4" t="s">
        <v>613</v>
      </c>
      <c r="G323" s="4" t="s">
        <v>614</v>
      </c>
      <c r="H323" s="4" t="s">
        <v>15</v>
      </c>
      <c r="I323" s="4" t="s">
        <v>617</v>
      </c>
      <c r="J323" s="4" t="s">
        <v>618</v>
      </c>
      <c r="K323" s="4" t="s">
        <v>619</v>
      </c>
      <c r="L323" s="4" t="s">
        <v>3743</v>
      </c>
      <c r="M323" s="4" t="s">
        <v>3746</v>
      </c>
      <c r="N323" s="4" t="s">
        <v>3758</v>
      </c>
      <c r="O323" s="17">
        <f>INDEX('список ID из СУЭ с должностями'!$A:$F,MATCH(E323,'список ID из СУЭ с должностями'!$B:$B,0),5)</f>
        <v>0</v>
      </c>
    </row>
    <row r="324" spans="1:15" ht="45">
      <c r="A324" s="3" t="s">
        <v>10</v>
      </c>
      <c r="B324" s="3" t="s">
        <v>11</v>
      </c>
      <c r="C324" s="4">
        <v>2026</v>
      </c>
      <c r="D324" s="5" t="s">
        <v>12</v>
      </c>
      <c r="E324" s="4">
        <v>44</v>
      </c>
      <c r="F324" s="4" t="s">
        <v>613</v>
      </c>
      <c r="G324" s="4" t="s">
        <v>614</v>
      </c>
      <c r="H324" s="4" t="s">
        <v>15</v>
      </c>
      <c r="I324" s="4" t="s">
        <v>620</v>
      </c>
      <c r="J324" s="4" t="s">
        <v>621</v>
      </c>
      <c r="K324" s="4" t="s">
        <v>35</v>
      </c>
      <c r="L324" s="4" t="s">
        <v>3743</v>
      </c>
      <c r="M324" s="4" t="s">
        <v>3746</v>
      </c>
      <c r="N324" s="4" t="s">
        <v>3747</v>
      </c>
      <c r="O324" s="17">
        <f>INDEX('список ID из СУЭ с должностями'!$A:$F,MATCH(E324,'список ID из СУЭ с должностями'!$B:$B,0),5)</f>
        <v>0</v>
      </c>
    </row>
    <row r="325" spans="1:15" ht="60">
      <c r="A325" s="3" t="s">
        <v>10</v>
      </c>
      <c r="B325" s="3" t="s">
        <v>11</v>
      </c>
      <c r="C325" s="4">
        <v>2026</v>
      </c>
      <c r="D325" s="5" t="s">
        <v>12</v>
      </c>
      <c r="E325" s="4">
        <v>44</v>
      </c>
      <c r="F325" s="4" t="s">
        <v>613</v>
      </c>
      <c r="G325" s="4" t="s">
        <v>614</v>
      </c>
      <c r="H325" s="4" t="s">
        <v>15</v>
      </c>
      <c r="I325" s="4" t="s">
        <v>622</v>
      </c>
      <c r="J325" s="4" t="s">
        <v>623</v>
      </c>
      <c r="K325" s="4" t="s">
        <v>151</v>
      </c>
      <c r="L325" s="4" t="s">
        <v>3743</v>
      </c>
      <c r="M325" s="4" t="s">
        <v>3746</v>
      </c>
      <c r="N325" s="4" t="s">
        <v>3747</v>
      </c>
      <c r="O325" s="17">
        <f>INDEX('список ID из СУЭ с должностями'!$A:$F,MATCH(E325,'список ID из СУЭ с должностями'!$B:$B,0),5)</f>
        <v>0</v>
      </c>
    </row>
    <row r="326" spans="1:15" ht="60">
      <c r="A326" s="3" t="s">
        <v>10</v>
      </c>
      <c r="B326" s="3" t="s">
        <v>11</v>
      </c>
      <c r="C326" s="4">
        <v>2026</v>
      </c>
      <c r="D326" s="5" t="s">
        <v>12</v>
      </c>
      <c r="E326" s="4">
        <v>44</v>
      </c>
      <c r="F326" s="4" t="s">
        <v>613</v>
      </c>
      <c r="G326" s="4" t="s">
        <v>614</v>
      </c>
      <c r="H326" s="4" t="s">
        <v>15</v>
      </c>
      <c r="I326" s="4" t="s">
        <v>624</v>
      </c>
      <c r="J326" s="4" t="s">
        <v>625</v>
      </c>
      <c r="K326" s="4" t="s">
        <v>151</v>
      </c>
      <c r="L326" s="4" t="s">
        <v>3743</v>
      </c>
      <c r="M326" s="4" t="s">
        <v>3746</v>
      </c>
      <c r="N326" s="4" t="s">
        <v>3747</v>
      </c>
      <c r="O326" s="17">
        <f>INDEX('список ID из СУЭ с должностями'!$A:$F,MATCH(E326,'список ID из СУЭ с должностями'!$B:$B,0),5)</f>
        <v>0</v>
      </c>
    </row>
    <row r="327" spans="1:15" ht="60">
      <c r="A327" s="3" t="s">
        <v>10</v>
      </c>
      <c r="B327" s="3" t="s">
        <v>11</v>
      </c>
      <c r="C327" s="4">
        <v>2026</v>
      </c>
      <c r="D327" s="5" t="s">
        <v>12</v>
      </c>
      <c r="E327" s="4">
        <v>45</v>
      </c>
      <c r="F327" s="4" t="s">
        <v>247</v>
      </c>
      <c r="G327" s="4" t="s">
        <v>158</v>
      </c>
      <c r="H327" s="4" t="s">
        <v>15</v>
      </c>
      <c r="I327" s="4" t="s">
        <v>547</v>
      </c>
      <c r="J327" s="4" t="s">
        <v>206</v>
      </c>
      <c r="K327" s="4" t="s">
        <v>151</v>
      </c>
      <c r="L327" s="4" t="s">
        <v>3742</v>
      </c>
      <c r="M327" s="4" t="s">
        <v>3746</v>
      </c>
      <c r="N327" s="4" t="s">
        <v>3747</v>
      </c>
      <c r="O327" s="17">
        <f>INDEX('список ID из СУЭ с должностями'!$A:$F,MATCH(E327,'список ID из СУЭ с должностями'!$B:$B,0),5)</f>
        <v>0</v>
      </c>
    </row>
    <row r="328" spans="1:15" ht="135">
      <c r="A328" s="3" t="s">
        <v>10</v>
      </c>
      <c r="B328" s="3" t="s">
        <v>11</v>
      </c>
      <c r="C328" s="4">
        <v>2026</v>
      </c>
      <c r="D328" s="5" t="s">
        <v>12</v>
      </c>
      <c r="E328" s="4">
        <v>45</v>
      </c>
      <c r="F328" s="4" t="s">
        <v>247</v>
      </c>
      <c r="G328" s="4" t="s">
        <v>158</v>
      </c>
      <c r="H328" s="4" t="s">
        <v>15</v>
      </c>
      <c r="I328" s="4" t="s">
        <v>548</v>
      </c>
      <c r="J328" s="4" t="s">
        <v>626</v>
      </c>
      <c r="K328" s="4" t="s">
        <v>38</v>
      </c>
      <c r="L328" s="4" t="s">
        <v>3743</v>
      </c>
      <c r="M328" s="4" t="s">
        <v>3746</v>
      </c>
      <c r="N328" s="4" t="s">
        <v>3747</v>
      </c>
      <c r="O328" s="17">
        <f>INDEX('список ID из СУЭ с должностями'!$A:$F,MATCH(E328,'список ID из СУЭ с должностями'!$B:$B,0),5)</f>
        <v>0</v>
      </c>
    </row>
    <row r="329" spans="1:15" ht="75">
      <c r="A329" s="3" t="s">
        <v>10</v>
      </c>
      <c r="B329" s="3" t="s">
        <v>11</v>
      </c>
      <c r="C329" s="4">
        <v>2026</v>
      </c>
      <c r="D329" s="5" t="s">
        <v>12</v>
      </c>
      <c r="E329" s="4">
        <v>45</v>
      </c>
      <c r="F329" s="4" t="s">
        <v>247</v>
      </c>
      <c r="G329" s="4" t="s">
        <v>158</v>
      </c>
      <c r="H329" s="4" t="s">
        <v>21</v>
      </c>
      <c r="I329" s="4" t="s">
        <v>543</v>
      </c>
      <c r="J329" s="4" t="s">
        <v>627</v>
      </c>
      <c r="K329" s="4" t="s">
        <v>151</v>
      </c>
      <c r="L329" s="4" t="s">
        <v>3743</v>
      </c>
      <c r="M329" s="4" t="s">
        <v>3746</v>
      </c>
      <c r="N329" s="4" t="s">
        <v>3747</v>
      </c>
      <c r="O329" s="17">
        <f>INDEX('список ID из СУЭ с должностями'!$A:$F,MATCH(E329,'список ID из СУЭ с должностями'!$B:$B,0),5)</f>
        <v>0</v>
      </c>
    </row>
    <row r="330" spans="1:15" ht="60">
      <c r="A330" s="3" t="s">
        <v>10</v>
      </c>
      <c r="B330" s="3" t="s">
        <v>11</v>
      </c>
      <c r="C330" s="4">
        <v>2026</v>
      </c>
      <c r="D330" s="5" t="s">
        <v>12</v>
      </c>
      <c r="E330" s="4">
        <v>45</v>
      </c>
      <c r="F330" s="4" t="s">
        <v>247</v>
      </c>
      <c r="G330" s="4" t="s">
        <v>158</v>
      </c>
      <c r="H330" s="4" t="s">
        <v>41</v>
      </c>
      <c r="I330" s="4" t="s">
        <v>556</v>
      </c>
      <c r="J330" s="4" t="s">
        <v>628</v>
      </c>
      <c r="K330" s="4" t="s">
        <v>151</v>
      </c>
      <c r="L330" s="4" t="s">
        <v>3743</v>
      </c>
      <c r="M330" s="4" t="s">
        <v>3746</v>
      </c>
      <c r="N330" s="4" t="s">
        <v>3747</v>
      </c>
      <c r="O330" s="17">
        <f>INDEX('список ID из СУЭ с должностями'!$A:$F,MATCH(E330,'список ID из СУЭ с должностями'!$B:$B,0),5)</f>
        <v>0</v>
      </c>
    </row>
    <row r="331" spans="1:15" ht="60">
      <c r="A331" s="3" t="s">
        <v>10</v>
      </c>
      <c r="B331" s="3" t="s">
        <v>11</v>
      </c>
      <c r="C331" s="4">
        <v>2026</v>
      </c>
      <c r="D331" s="5" t="s">
        <v>12</v>
      </c>
      <c r="E331" s="4">
        <v>45</v>
      </c>
      <c r="F331" s="4" t="s">
        <v>247</v>
      </c>
      <c r="G331" s="4" t="s">
        <v>158</v>
      </c>
      <c r="H331" s="4" t="s">
        <v>21</v>
      </c>
      <c r="I331" s="4" t="s">
        <v>541</v>
      </c>
      <c r="J331" s="4" t="s">
        <v>542</v>
      </c>
      <c r="K331" s="4" t="s">
        <v>151</v>
      </c>
      <c r="L331" s="4" t="s">
        <v>3743</v>
      </c>
      <c r="M331" s="4" t="s">
        <v>3746</v>
      </c>
      <c r="N331" s="4" t="s">
        <v>3747</v>
      </c>
      <c r="O331" s="17">
        <f>INDEX('список ID из СУЭ с должностями'!$A:$F,MATCH(E331,'список ID из СУЭ с должностями'!$B:$B,0),5)</f>
        <v>0</v>
      </c>
    </row>
    <row r="332" spans="1:15" ht="60">
      <c r="A332" s="3" t="s">
        <v>10</v>
      </c>
      <c r="B332" s="3" t="s">
        <v>11</v>
      </c>
      <c r="C332" s="4">
        <v>2026</v>
      </c>
      <c r="D332" s="5" t="s">
        <v>12</v>
      </c>
      <c r="E332" s="4">
        <v>45</v>
      </c>
      <c r="F332" s="4" t="s">
        <v>247</v>
      </c>
      <c r="G332" s="4" t="s">
        <v>158</v>
      </c>
      <c r="H332" s="4" t="s">
        <v>15</v>
      </c>
      <c r="I332" s="4" t="s">
        <v>551</v>
      </c>
      <c r="J332" s="4" t="s">
        <v>552</v>
      </c>
      <c r="K332" s="4" t="s">
        <v>38</v>
      </c>
      <c r="L332" s="4" t="s">
        <v>3743</v>
      </c>
      <c r="M332" s="4" t="s">
        <v>3746</v>
      </c>
      <c r="N332" s="4" t="s">
        <v>3747</v>
      </c>
      <c r="O332" s="17">
        <f>INDEX('список ID из СУЭ с должностями'!$A:$F,MATCH(E332,'список ID из СУЭ с должностями'!$B:$B,0),5)</f>
        <v>0</v>
      </c>
    </row>
    <row r="333" spans="1:15" ht="105">
      <c r="A333" s="3" t="s">
        <v>10</v>
      </c>
      <c r="B333" s="3" t="s">
        <v>11</v>
      </c>
      <c r="C333" s="4">
        <v>2026</v>
      </c>
      <c r="D333" s="5" t="s">
        <v>12</v>
      </c>
      <c r="E333" s="4">
        <v>45</v>
      </c>
      <c r="F333" s="4" t="s">
        <v>247</v>
      </c>
      <c r="G333" s="4" t="s">
        <v>158</v>
      </c>
      <c r="H333" s="4" t="s">
        <v>41</v>
      </c>
      <c r="I333" s="4" t="s">
        <v>554</v>
      </c>
      <c r="J333" s="4" t="s">
        <v>629</v>
      </c>
      <c r="K333" s="4" t="s">
        <v>151</v>
      </c>
      <c r="L333" s="4" t="s">
        <v>3743</v>
      </c>
      <c r="M333" s="4" t="s">
        <v>3746</v>
      </c>
      <c r="N333" s="4" t="s">
        <v>3747</v>
      </c>
      <c r="O333" s="17">
        <f>INDEX('список ID из СУЭ с должностями'!$A:$F,MATCH(E333,'список ID из СУЭ с должностями'!$B:$B,0),5)</f>
        <v>0</v>
      </c>
    </row>
    <row r="334" spans="1:15" ht="135">
      <c r="A334" s="3" t="s">
        <v>10</v>
      </c>
      <c r="B334" s="3" t="s">
        <v>11</v>
      </c>
      <c r="C334" s="4">
        <v>2026</v>
      </c>
      <c r="D334" s="5" t="s">
        <v>12</v>
      </c>
      <c r="E334" s="4">
        <v>45</v>
      </c>
      <c r="F334" s="4" t="s">
        <v>247</v>
      </c>
      <c r="G334" s="4" t="s">
        <v>158</v>
      </c>
      <c r="H334" s="4" t="s">
        <v>15</v>
      </c>
      <c r="I334" s="4" t="s">
        <v>167</v>
      </c>
      <c r="J334" s="4" t="s">
        <v>630</v>
      </c>
      <c r="K334" s="4" t="s">
        <v>35</v>
      </c>
      <c r="L334" s="4" t="s">
        <v>3743</v>
      </c>
      <c r="M334" s="4" t="s">
        <v>3746</v>
      </c>
      <c r="N334" s="4" t="s">
        <v>3747</v>
      </c>
      <c r="O334" s="17">
        <f>INDEX('список ID из СУЭ с должностями'!$A:$F,MATCH(E334,'список ID из СУЭ с должностями'!$B:$B,0),5)</f>
        <v>0</v>
      </c>
    </row>
    <row r="335" spans="1:15" ht="60">
      <c r="A335" s="3" t="s">
        <v>10</v>
      </c>
      <c r="B335" s="3" t="s">
        <v>11</v>
      </c>
      <c r="C335" s="4">
        <v>2026</v>
      </c>
      <c r="D335" s="5" t="s">
        <v>12</v>
      </c>
      <c r="E335" s="4">
        <v>45</v>
      </c>
      <c r="F335" s="4" t="s">
        <v>247</v>
      </c>
      <c r="G335" s="4" t="s">
        <v>158</v>
      </c>
      <c r="H335" s="4" t="s">
        <v>15</v>
      </c>
      <c r="I335" s="4" t="s">
        <v>553</v>
      </c>
      <c r="J335" s="4" t="s">
        <v>170</v>
      </c>
      <c r="K335" s="4" t="s">
        <v>151</v>
      </c>
      <c r="L335" s="4" t="s">
        <v>3743</v>
      </c>
      <c r="M335" s="4" t="s">
        <v>3746</v>
      </c>
      <c r="N335" s="4" t="s">
        <v>3747</v>
      </c>
      <c r="O335" s="17">
        <f>INDEX('список ID из СУЭ с должностями'!$A:$F,MATCH(E335,'список ID из СУЭ с должностями'!$B:$B,0),5)</f>
        <v>0</v>
      </c>
    </row>
    <row r="336" spans="1:15" ht="75">
      <c r="A336" s="3" t="s">
        <v>10</v>
      </c>
      <c r="B336" s="3" t="s">
        <v>11</v>
      </c>
      <c r="C336" s="4">
        <v>2026</v>
      </c>
      <c r="D336" s="5" t="s">
        <v>12</v>
      </c>
      <c r="E336" s="4">
        <v>46</v>
      </c>
      <c r="F336" s="4" t="s">
        <v>577</v>
      </c>
      <c r="G336" s="4" t="s">
        <v>506</v>
      </c>
      <c r="H336" s="4" t="s">
        <v>15</v>
      </c>
      <c r="I336" s="4" t="s">
        <v>48</v>
      </c>
      <c r="J336" s="4" t="s">
        <v>581</v>
      </c>
      <c r="K336" s="4" t="s">
        <v>23</v>
      </c>
      <c r="L336" s="4" t="s">
        <v>3742</v>
      </c>
      <c r="M336" s="4" t="s">
        <v>3748</v>
      </c>
      <c r="N336" s="4" t="s">
        <v>3749</v>
      </c>
      <c r="O336" s="17" t="str">
        <f>INDEX('список ID из СУЭ с должностями'!$A:$F,MATCH(E336,'список ID из СУЭ с должностями'!$B:$B,0),5)</f>
        <v>ИПРО</v>
      </c>
    </row>
    <row r="337" spans="1:15" ht="135">
      <c r="A337" s="3" t="s">
        <v>10</v>
      </c>
      <c r="B337" s="3" t="s">
        <v>11</v>
      </c>
      <c r="C337" s="4">
        <v>2026</v>
      </c>
      <c r="D337" s="5" t="s">
        <v>12</v>
      </c>
      <c r="E337" s="4">
        <v>46</v>
      </c>
      <c r="F337" s="4" t="s">
        <v>577</v>
      </c>
      <c r="G337" s="4" t="s">
        <v>506</v>
      </c>
      <c r="H337" s="4" t="s">
        <v>15</v>
      </c>
      <c r="I337" s="4" t="s">
        <v>582</v>
      </c>
      <c r="J337" s="4" t="s">
        <v>583</v>
      </c>
      <c r="K337" s="4" t="s">
        <v>23</v>
      </c>
      <c r="L337" s="4" t="s">
        <v>3743</v>
      </c>
      <c r="M337" s="4" t="s">
        <v>3748</v>
      </c>
      <c r="N337" s="4" t="s">
        <v>3749</v>
      </c>
      <c r="O337" s="17" t="str">
        <f>INDEX('список ID из СУЭ с должностями'!$A:$F,MATCH(E337,'список ID из СУЭ с должностями'!$B:$B,0),5)</f>
        <v>ИПРО</v>
      </c>
    </row>
    <row r="338" spans="1:15" ht="75">
      <c r="A338" s="3" t="s">
        <v>10</v>
      </c>
      <c r="B338" s="3" t="s">
        <v>11</v>
      </c>
      <c r="C338" s="4">
        <v>2026</v>
      </c>
      <c r="D338" s="5" t="s">
        <v>12</v>
      </c>
      <c r="E338" s="4">
        <v>46</v>
      </c>
      <c r="F338" s="4" t="s">
        <v>577</v>
      </c>
      <c r="G338" s="4" t="s">
        <v>506</v>
      </c>
      <c r="H338" s="4" t="s">
        <v>15</v>
      </c>
      <c r="I338" s="4" t="s">
        <v>579</v>
      </c>
      <c r="J338" s="4" t="s">
        <v>580</v>
      </c>
      <c r="K338" s="4" t="s">
        <v>23</v>
      </c>
      <c r="L338" s="4" t="s">
        <v>3743</v>
      </c>
      <c r="M338" s="4" t="s">
        <v>3748</v>
      </c>
      <c r="N338" s="4" t="s">
        <v>3749</v>
      </c>
      <c r="O338" s="17" t="str">
        <f>INDEX('список ID из СУЭ с должностями'!$A:$F,MATCH(E338,'список ID из СУЭ с должностями'!$B:$B,0),5)</f>
        <v>ИПРО</v>
      </c>
    </row>
    <row r="339" spans="1:15" ht="75">
      <c r="A339" s="3" t="s">
        <v>10</v>
      </c>
      <c r="B339" s="3" t="s">
        <v>11</v>
      </c>
      <c r="C339" s="4">
        <v>2026</v>
      </c>
      <c r="D339" s="5" t="s">
        <v>12</v>
      </c>
      <c r="E339" s="4">
        <v>46</v>
      </c>
      <c r="F339" s="4" t="s">
        <v>577</v>
      </c>
      <c r="G339" s="4" t="s">
        <v>506</v>
      </c>
      <c r="H339" s="4" t="s">
        <v>15</v>
      </c>
      <c r="I339" s="4" t="s">
        <v>588</v>
      </c>
      <c r="J339" s="4" t="s">
        <v>589</v>
      </c>
      <c r="K339" s="4" t="s">
        <v>23</v>
      </c>
      <c r="L339" s="4" t="s">
        <v>3743</v>
      </c>
      <c r="M339" s="4" t="s">
        <v>3748</v>
      </c>
      <c r="N339" s="4" t="s">
        <v>3749</v>
      </c>
      <c r="O339" s="17" t="str">
        <f>INDEX('список ID из СУЭ с должностями'!$A:$F,MATCH(E339,'список ID из СУЭ с должностями'!$B:$B,0),5)</f>
        <v>ИПРО</v>
      </c>
    </row>
    <row r="340" spans="1:15" ht="75">
      <c r="A340" s="3" t="s">
        <v>10</v>
      </c>
      <c r="B340" s="3" t="s">
        <v>11</v>
      </c>
      <c r="C340" s="4">
        <v>2026</v>
      </c>
      <c r="D340" s="5" t="s">
        <v>12</v>
      </c>
      <c r="E340" s="4">
        <v>46</v>
      </c>
      <c r="F340" s="4" t="s">
        <v>577</v>
      </c>
      <c r="G340" s="4" t="s">
        <v>506</v>
      </c>
      <c r="H340" s="4" t="s">
        <v>15</v>
      </c>
      <c r="I340" s="4" t="s">
        <v>631</v>
      </c>
      <c r="J340" s="4" t="s">
        <v>632</v>
      </c>
      <c r="K340" s="4" t="s">
        <v>23</v>
      </c>
      <c r="L340" s="4" t="s">
        <v>3743</v>
      </c>
      <c r="M340" s="4" t="s">
        <v>3748</v>
      </c>
      <c r="N340" s="4" t="s">
        <v>3749</v>
      </c>
      <c r="O340" s="17" t="str">
        <f>INDEX('список ID из СУЭ с должностями'!$A:$F,MATCH(E340,'список ID из СУЭ с должностями'!$B:$B,0),5)</f>
        <v>ИПРО</v>
      </c>
    </row>
    <row r="341" spans="1:15" ht="75">
      <c r="A341" s="3" t="s">
        <v>10</v>
      </c>
      <c r="B341" s="3" t="s">
        <v>11</v>
      </c>
      <c r="C341" s="4">
        <v>2026</v>
      </c>
      <c r="D341" s="5" t="s">
        <v>12</v>
      </c>
      <c r="E341" s="4">
        <v>46</v>
      </c>
      <c r="F341" s="4" t="s">
        <v>577</v>
      </c>
      <c r="G341" s="4" t="s">
        <v>506</v>
      </c>
      <c r="H341" s="4" t="s">
        <v>15</v>
      </c>
      <c r="I341" s="4" t="s">
        <v>584</v>
      </c>
      <c r="J341" s="4" t="s">
        <v>633</v>
      </c>
      <c r="K341" s="4" t="s">
        <v>23</v>
      </c>
      <c r="L341" s="4" t="s">
        <v>3743</v>
      </c>
      <c r="M341" s="4" t="s">
        <v>3748</v>
      </c>
      <c r="N341" s="4" t="s">
        <v>3749</v>
      </c>
      <c r="O341" s="17" t="str">
        <f>INDEX('список ID из СУЭ с должностями'!$A:$F,MATCH(E341,'список ID из СУЭ с должностями'!$B:$B,0),5)</f>
        <v>ИПРО</v>
      </c>
    </row>
    <row r="342" spans="1:15" ht="60">
      <c r="A342" s="3" t="s">
        <v>10</v>
      </c>
      <c r="B342" s="3" t="s">
        <v>11</v>
      </c>
      <c r="C342" s="4">
        <v>2026</v>
      </c>
      <c r="D342" s="5" t="s">
        <v>12</v>
      </c>
      <c r="E342" s="4">
        <v>47</v>
      </c>
      <c r="F342" s="4" t="s">
        <v>613</v>
      </c>
      <c r="G342" s="4" t="s">
        <v>614</v>
      </c>
      <c r="H342" s="4" t="s">
        <v>15</v>
      </c>
      <c r="I342" s="4" t="s">
        <v>622</v>
      </c>
      <c r="J342" s="4" t="s">
        <v>634</v>
      </c>
      <c r="K342" s="4" t="s">
        <v>635</v>
      </c>
      <c r="L342" s="4" t="s">
        <v>3743</v>
      </c>
      <c r="M342" s="4" t="s">
        <v>3746</v>
      </c>
      <c r="N342" s="4" t="s">
        <v>3758</v>
      </c>
      <c r="O342" s="17">
        <f>INDEX('список ID из СУЭ с должностями'!$A:$F,MATCH(E342,'список ID из СУЭ с должностями'!$B:$B,0),5)</f>
        <v>0</v>
      </c>
    </row>
    <row r="343" spans="1:15" ht="60">
      <c r="A343" s="3" t="s">
        <v>10</v>
      </c>
      <c r="B343" s="3" t="s">
        <v>11</v>
      </c>
      <c r="C343" s="4">
        <v>2026</v>
      </c>
      <c r="D343" s="5" t="s">
        <v>12</v>
      </c>
      <c r="E343" s="4">
        <v>47</v>
      </c>
      <c r="F343" s="4" t="s">
        <v>613</v>
      </c>
      <c r="G343" s="4" t="s">
        <v>614</v>
      </c>
      <c r="H343" s="4" t="s">
        <v>41</v>
      </c>
      <c r="I343" s="4" t="s">
        <v>615</v>
      </c>
      <c r="J343" s="4" t="s">
        <v>616</v>
      </c>
      <c r="K343" s="4" t="s">
        <v>151</v>
      </c>
      <c r="L343" s="4" t="s">
        <v>3743</v>
      </c>
      <c r="M343" s="4" t="s">
        <v>3746</v>
      </c>
      <c r="N343" s="4" t="s">
        <v>3747</v>
      </c>
      <c r="O343" s="17">
        <f>INDEX('список ID из СУЭ с должностями'!$A:$F,MATCH(E343,'список ID из СУЭ с должностями'!$B:$B,0),5)</f>
        <v>0</v>
      </c>
    </row>
    <row r="344" spans="1:15" ht="120">
      <c r="A344" s="3" t="s">
        <v>10</v>
      </c>
      <c r="B344" s="3" t="s">
        <v>11</v>
      </c>
      <c r="C344" s="4">
        <v>2026</v>
      </c>
      <c r="D344" s="5" t="s">
        <v>12</v>
      </c>
      <c r="E344" s="4">
        <v>47</v>
      </c>
      <c r="F344" s="4" t="s">
        <v>613</v>
      </c>
      <c r="G344" s="4" t="s">
        <v>614</v>
      </c>
      <c r="H344" s="4" t="s">
        <v>15</v>
      </c>
      <c r="I344" s="4" t="s">
        <v>617</v>
      </c>
      <c r="J344" s="4" t="s">
        <v>636</v>
      </c>
      <c r="K344" s="4" t="s">
        <v>151</v>
      </c>
      <c r="L344" s="4" t="s">
        <v>3743</v>
      </c>
      <c r="M344" s="4" t="s">
        <v>3746</v>
      </c>
      <c r="N344" s="4" t="s">
        <v>3747</v>
      </c>
      <c r="O344" s="17">
        <f>INDEX('список ID из СУЭ с должностями'!$A:$F,MATCH(E344,'список ID из СУЭ с должностями'!$B:$B,0),5)</f>
        <v>0</v>
      </c>
    </row>
    <row r="345" spans="1:15" ht="60">
      <c r="A345" s="3" t="s">
        <v>10</v>
      </c>
      <c r="B345" s="3" t="s">
        <v>11</v>
      </c>
      <c r="C345" s="4">
        <v>2026</v>
      </c>
      <c r="D345" s="5" t="s">
        <v>12</v>
      </c>
      <c r="E345" s="4">
        <v>47</v>
      </c>
      <c r="F345" s="4" t="s">
        <v>613</v>
      </c>
      <c r="G345" s="4" t="s">
        <v>614</v>
      </c>
      <c r="H345" s="4" t="s">
        <v>15</v>
      </c>
      <c r="I345" s="4" t="s">
        <v>624</v>
      </c>
      <c r="J345" s="4" t="s">
        <v>637</v>
      </c>
      <c r="K345" s="4" t="s">
        <v>151</v>
      </c>
      <c r="L345" s="4" t="s">
        <v>3743</v>
      </c>
      <c r="M345" s="4" t="s">
        <v>3746</v>
      </c>
      <c r="N345" s="4" t="s">
        <v>3747</v>
      </c>
      <c r="O345" s="17">
        <f>INDEX('список ID из СУЭ с должностями'!$A:$F,MATCH(E345,'список ID из СУЭ с должностями'!$B:$B,0),5)</f>
        <v>0</v>
      </c>
    </row>
    <row r="346" spans="1:15" ht="75">
      <c r="A346" s="3" t="s">
        <v>10</v>
      </c>
      <c r="B346" s="3" t="s">
        <v>11</v>
      </c>
      <c r="C346" s="4">
        <v>2026</v>
      </c>
      <c r="D346" s="5" t="s">
        <v>12</v>
      </c>
      <c r="E346" s="4">
        <v>47</v>
      </c>
      <c r="F346" s="4" t="s">
        <v>613</v>
      </c>
      <c r="G346" s="4" t="s">
        <v>614</v>
      </c>
      <c r="H346" s="4" t="s">
        <v>15</v>
      </c>
      <c r="I346" s="4" t="s">
        <v>638</v>
      </c>
      <c r="J346" s="4" t="s">
        <v>639</v>
      </c>
      <c r="K346" s="4" t="s">
        <v>635</v>
      </c>
      <c r="L346" s="4" t="s">
        <v>3743</v>
      </c>
      <c r="M346" s="4" t="s">
        <v>3746</v>
      </c>
      <c r="N346" s="4" t="s">
        <v>3758</v>
      </c>
      <c r="O346" s="17">
        <f>INDEX('список ID из СУЭ с должностями'!$A:$F,MATCH(E346,'список ID из СУЭ с должностями'!$B:$B,0),5)</f>
        <v>0</v>
      </c>
    </row>
    <row r="347" spans="1:15" ht="75">
      <c r="A347" s="3" t="s">
        <v>10</v>
      </c>
      <c r="B347" s="3" t="s">
        <v>11</v>
      </c>
      <c r="C347" s="4">
        <v>2026</v>
      </c>
      <c r="D347" s="5" t="s">
        <v>12</v>
      </c>
      <c r="E347" s="4">
        <v>47</v>
      </c>
      <c r="F347" s="4" t="s">
        <v>613</v>
      </c>
      <c r="G347" s="4" t="s">
        <v>614</v>
      </c>
      <c r="H347" s="4" t="s">
        <v>15</v>
      </c>
      <c r="I347" s="4" t="s">
        <v>620</v>
      </c>
      <c r="J347" s="4" t="s">
        <v>640</v>
      </c>
      <c r="K347" s="4" t="s">
        <v>35</v>
      </c>
      <c r="L347" s="4" t="s">
        <v>3743</v>
      </c>
      <c r="M347" s="4" t="s">
        <v>3746</v>
      </c>
      <c r="N347" s="4" t="s">
        <v>3747</v>
      </c>
      <c r="O347" s="17">
        <f>INDEX('список ID из СУЭ с должностями'!$A:$F,MATCH(E347,'список ID из СУЭ с должностями'!$B:$B,0),5)</f>
        <v>0</v>
      </c>
    </row>
    <row r="348" spans="1:15" ht="60">
      <c r="A348" s="3" t="s">
        <v>10</v>
      </c>
      <c r="B348" s="3" t="s">
        <v>11</v>
      </c>
      <c r="C348" s="4">
        <v>2026</v>
      </c>
      <c r="D348" s="5" t="s">
        <v>12</v>
      </c>
      <c r="E348" s="4">
        <v>48</v>
      </c>
      <c r="F348" s="4" t="s">
        <v>153</v>
      </c>
      <c r="G348" s="4" t="s">
        <v>435</v>
      </c>
      <c r="H348" s="4" t="s">
        <v>15</v>
      </c>
      <c r="I348" s="4" t="s">
        <v>163</v>
      </c>
      <c r="J348" s="4" t="s">
        <v>206</v>
      </c>
      <c r="K348" s="4" t="s">
        <v>38</v>
      </c>
      <c r="L348" s="4" t="s">
        <v>3742</v>
      </c>
      <c r="M348" s="4" t="s">
        <v>3746</v>
      </c>
      <c r="N348" s="4" t="s">
        <v>3747</v>
      </c>
      <c r="O348" s="17">
        <f>INDEX('список ID из СУЭ с должностями'!$A:$F,MATCH(E348,'список ID из СУЭ с должностями'!$B:$B,0),5)</f>
        <v>0</v>
      </c>
    </row>
    <row r="349" spans="1:15" ht="60">
      <c r="A349" s="3" t="s">
        <v>10</v>
      </c>
      <c r="B349" s="3" t="s">
        <v>11</v>
      </c>
      <c r="C349" s="4">
        <v>2026</v>
      </c>
      <c r="D349" s="5" t="s">
        <v>12</v>
      </c>
      <c r="E349" s="4">
        <v>48</v>
      </c>
      <c r="F349" s="4" t="s">
        <v>153</v>
      </c>
      <c r="G349" s="4" t="s">
        <v>435</v>
      </c>
      <c r="H349" s="4" t="s">
        <v>15</v>
      </c>
      <c r="I349" s="4" t="s">
        <v>175</v>
      </c>
      <c r="J349" s="4" t="s">
        <v>207</v>
      </c>
      <c r="K349" s="4" t="s">
        <v>38</v>
      </c>
      <c r="L349" s="4" t="s">
        <v>3743</v>
      </c>
      <c r="M349" s="4" t="s">
        <v>3746</v>
      </c>
      <c r="N349" s="4" t="s">
        <v>3747</v>
      </c>
      <c r="O349" s="17">
        <f>INDEX('список ID из СУЭ с должностями'!$A:$F,MATCH(E349,'список ID из СУЭ с должностями'!$B:$B,0),5)</f>
        <v>0</v>
      </c>
    </row>
    <row r="350" spans="1:15" ht="90">
      <c r="A350" s="3" t="s">
        <v>10</v>
      </c>
      <c r="B350" s="3" t="s">
        <v>11</v>
      </c>
      <c r="C350" s="4">
        <v>2026</v>
      </c>
      <c r="D350" s="5" t="s">
        <v>12</v>
      </c>
      <c r="E350" s="4">
        <v>48</v>
      </c>
      <c r="F350" s="4" t="s">
        <v>153</v>
      </c>
      <c r="G350" s="4" t="s">
        <v>435</v>
      </c>
      <c r="H350" s="4" t="s">
        <v>21</v>
      </c>
      <c r="I350" s="4" t="s">
        <v>155</v>
      </c>
      <c r="J350" s="4" t="s">
        <v>156</v>
      </c>
      <c r="K350" s="4" t="s">
        <v>30</v>
      </c>
      <c r="L350" s="4" t="s">
        <v>3743</v>
      </c>
      <c r="M350" s="4" t="s">
        <v>3746</v>
      </c>
      <c r="N350" s="4" t="s">
        <v>3747</v>
      </c>
      <c r="O350" s="17">
        <f>INDEX('список ID из СУЭ с должностями'!$A:$F,MATCH(E350,'список ID из СУЭ с должностями'!$B:$B,0),5)</f>
        <v>0</v>
      </c>
    </row>
    <row r="351" spans="1:15" ht="75">
      <c r="A351" s="3" t="s">
        <v>10</v>
      </c>
      <c r="B351" s="3" t="s">
        <v>11</v>
      </c>
      <c r="C351" s="4">
        <v>2026</v>
      </c>
      <c r="D351" s="5" t="s">
        <v>12</v>
      </c>
      <c r="E351" s="4">
        <v>48</v>
      </c>
      <c r="F351" s="4" t="s">
        <v>153</v>
      </c>
      <c r="G351" s="4" t="s">
        <v>435</v>
      </c>
      <c r="H351" s="4" t="s">
        <v>15</v>
      </c>
      <c r="I351" s="4" t="s">
        <v>159</v>
      </c>
      <c r="J351" s="4" t="s">
        <v>208</v>
      </c>
      <c r="K351" s="4" t="s">
        <v>20</v>
      </c>
      <c r="L351" s="4" t="s">
        <v>3743</v>
      </c>
      <c r="M351" s="4" t="s">
        <v>3746</v>
      </c>
      <c r="N351" s="4" t="s">
        <v>3747</v>
      </c>
      <c r="O351" s="17">
        <f>INDEX('список ID из СУЭ с должностями'!$A:$F,MATCH(E351,'список ID из СУЭ с должностями'!$B:$B,0),5)</f>
        <v>0</v>
      </c>
    </row>
    <row r="352" spans="1:15" ht="60">
      <c r="A352" s="3" t="s">
        <v>10</v>
      </c>
      <c r="B352" s="3" t="s">
        <v>11</v>
      </c>
      <c r="C352" s="4">
        <v>2026</v>
      </c>
      <c r="D352" s="5" t="s">
        <v>12</v>
      </c>
      <c r="E352" s="4">
        <v>48</v>
      </c>
      <c r="F352" s="4" t="s">
        <v>153</v>
      </c>
      <c r="G352" s="4" t="s">
        <v>435</v>
      </c>
      <c r="H352" s="4" t="s">
        <v>15</v>
      </c>
      <c r="I352" s="4" t="s">
        <v>161</v>
      </c>
      <c r="J352" s="4" t="s">
        <v>162</v>
      </c>
      <c r="K352" s="4" t="s">
        <v>151</v>
      </c>
      <c r="L352" s="4" t="s">
        <v>3743</v>
      </c>
      <c r="M352" s="4" t="s">
        <v>3746</v>
      </c>
      <c r="N352" s="4" t="s">
        <v>3747</v>
      </c>
      <c r="O352" s="17">
        <f>INDEX('список ID из СУЭ с должностями'!$A:$F,MATCH(E352,'список ID из СУЭ с должностями'!$B:$B,0),5)</f>
        <v>0</v>
      </c>
    </row>
    <row r="353" spans="1:15" ht="60">
      <c r="A353" s="3" t="s">
        <v>10</v>
      </c>
      <c r="B353" s="3" t="s">
        <v>11</v>
      </c>
      <c r="C353" s="4">
        <v>2026</v>
      </c>
      <c r="D353" s="5" t="s">
        <v>12</v>
      </c>
      <c r="E353" s="4">
        <v>48</v>
      </c>
      <c r="F353" s="4" t="s">
        <v>153</v>
      </c>
      <c r="G353" s="4" t="s">
        <v>435</v>
      </c>
      <c r="H353" s="4" t="s">
        <v>41</v>
      </c>
      <c r="I353" s="4" t="s">
        <v>165</v>
      </c>
      <c r="J353" s="4" t="s">
        <v>166</v>
      </c>
      <c r="K353" s="4" t="s">
        <v>151</v>
      </c>
      <c r="L353" s="4" t="s">
        <v>3743</v>
      </c>
      <c r="M353" s="4" t="s">
        <v>3746</v>
      </c>
      <c r="N353" s="4" t="s">
        <v>3747</v>
      </c>
      <c r="O353" s="17">
        <f>INDEX('список ID из СУЭ с должностями'!$A:$F,MATCH(E353,'список ID из СУЭ с должностями'!$B:$B,0),5)</f>
        <v>0</v>
      </c>
    </row>
    <row r="354" spans="1:15" ht="90">
      <c r="A354" s="3" t="s">
        <v>10</v>
      </c>
      <c r="B354" s="3" t="s">
        <v>11</v>
      </c>
      <c r="C354" s="4">
        <v>2026</v>
      </c>
      <c r="D354" s="5" t="s">
        <v>12</v>
      </c>
      <c r="E354" s="4">
        <v>48</v>
      </c>
      <c r="F354" s="4" t="s">
        <v>153</v>
      </c>
      <c r="G354" s="4" t="s">
        <v>435</v>
      </c>
      <c r="H354" s="4" t="s">
        <v>15</v>
      </c>
      <c r="I354" s="4" t="s">
        <v>171</v>
      </c>
      <c r="J354" s="4" t="s">
        <v>172</v>
      </c>
      <c r="K354" s="4" t="s">
        <v>52</v>
      </c>
      <c r="L354" s="4" t="s">
        <v>3743</v>
      </c>
      <c r="M354" s="4" t="s">
        <v>3746</v>
      </c>
      <c r="N354" s="4" t="s">
        <v>3747</v>
      </c>
      <c r="O354" s="17">
        <f>INDEX('список ID из СУЭ с должностями'!$A:$F,MATCH(E354,'список ID из СУЭ с должностями'!$B:$B,0),5)</f>
        <v>0</v>
      </c>
    </row>
    <row r="355" spans="1:15" ht="135">
      <c r="A355" s="3" t="s">
        <v>10</v>
      </c>
      <c r="B355" s="3" t="s">
        <v>11</v>
      </c>
      <c r="C355" s="4">
        <v>2026</v>
      </c>
      <c r="D355" s="5" t="s">
        <v>12</v>
      </c>
      <c r="E355" s="4">
        <v>48</v>
      </c>
      <c r="F355" s="4" t="s">
        <v>153</v>
      </c>
      <c r="G355" s="4" t="s">
        <v>435</v>
      </c>
      <c r="H355" s="4" t="s">
        <v>15</v>
      </c>
      <c r="I355" s="4" t="s">
        <v>167</v>
      </c>
      <c r="J355" s="4" t="s">
        <v>209</v>
      </c>
      <c r="K355" s="4" t="s">
        <v>20</v>
      </c>
      <c r="L355" s="4" t="s">
        <v>3743</v>
      </c>
      <c r="M355" s="4" t="s">
        <v>3746</v>
      </c>
      <c r="N355" s="4" t="s">
        <v>3747</v>
      </c>
      <c r="O355" s="17">
        <f>INDEX('список ID из СУЭ с должностями'!$A:$F,MATCH(E355,'список ID из СУЭ с должностями'!$B:$B,0),5)</f>
        <v>0</v>
      </c>
    </row>
    <row r="356" spans="1:15" ht="60">
      <c r="A356" s="3" t="s">
        <v>10</v>
      </c>
      <c r="B356" s="3" t="s">
        <v>11</v>
      </c>
      <c r="C356" s="4">
        <v>2026</v>
      </c>
      <c r="D356" s="5" t="s">
        <v>12</v>
      </c>
      <c r="E356" s="4">
        <v>48</v>
      </c>
      <c r="F356" s="4" t="s">
        <v>153</v>
      </c>
      <c r="G356" s="4" t="s">
        <v>435</v>
      </c>
      <c r="H356" s="4" t="s">
        <v>15</v>
      </c>
      <c r="I356" s="4" t="s">
        <v>210</v>
      </c>
      <c r="J356" s="4" t="s">
        <v>211</v>
      </c>
      <c r="K356" s="4" t="s">
        <v>55</v>
      </c>
      <c r="L356" s="4" t="s">
        <v>3743</v>
      </c>
      <c r="M356" s="4" t="s">
        <v>3746</v>
      </c>
      <c r="N356" s="4" t="s">
        <v>3747</v>
      </c>
      <c r="O356" s="17">
        <f>INDEX('список ID из СУЭ с должностями'!$A:$F,MATCH(E356,'список ID из СУЭ с должностями'!$B:$B,0),5)</f>
        <v>0</v>
      </c>
    </row>
    <row r="357" spans="1:15" ht="60">
      <c r="A357" s="3" t="s">
        <v>10</v>
      </c>
      <c r="B357" s="3" t="s">
        <v>11</v>
      </c>
      <c r="C357" s="4">
        <v>2026</v>
      </c>
      <c r="D357" s="5" t="s">
        <v>12</v>
      </c>
      <c r="E357" s="4">
        <v>48</v>
      </c>
      <c r="F357" s="4" t="s">
        <v>153</v>
      </c>
      <c r="G357" s="4" t="s">
        <v>435</v>
      </c>
      <c r="H357" s="4" t="s">
        <v>15</v>
      </c>
      <c r="I357" s="4" t="s">
        <v>169</v>
      </c>
      <c r="J357" s="4" t="s">
        <v>170</v>
      </c>
      <c r="K357" s="4" t="s">
        <v>151</v>
      </c>
      <c r="L357" s="4" t="s">
        <v>3743</v>
      </c>
      <c r="M357" s="4" t="s">
        <v>3746</v>
      </c>
      <c r="N357" s="4" t="s">
        <v>3747</v>
      </c>
      <c r="O357" s="17">
        <f>INDEX('список ID из СУЭ с должностями'!$A:$F,MATCH(E357,'список ID из СУЭ с должностями'!$B:$B,0),5)</f>
        <v>0</v>
      </c>
    </row>
    <row r="358" spans="1:15" ht="60">
      <c r="A358" s="3" t="s">
        <v>10</v>
      </c>
      <c r="B358" s="3" t="s">
        <v>11</v>
      </c>
      <c r="C358" s="4">
        <v>2026</v>
      </c>
      <c r="D358" s="5" t="s">
        <v>12</v>
      </c>
      <c r="E358" s="4">
        <v>49</v>
      </c>
      <c r="F358" s="4" t="s">
        <v>247</v>
      </c>
      <c r="G358" s="4" t="s">
        <v>158</v>
      </c>
      <c r="H358" s="4" t="s">
        <v>21</v>
      </c>
      <c r="I358" s="4" t="s">
        <v>528</v>
      </c>
      <c r="J358" s="4" t="s">
        <v>529</v>
      </c>
      <c r="K358" s="4" t="s">
        <v>151</v>
      </c>
      <c r="L358" s="4" t="s">
        <v>3743</v>
      </c>
      <c r="M358" s="4" t="s">
        <v>3746</v>
      </c>
      <c r="N358" s="4" t="s">
        <v>3747</v>
      </c>
      <c r="O358" s="17">
        <f>INDEX('список ID из СУЭ с должностями'!$A:$F,MATCH(E358,'список ID из СУЭ с должностями'!$B:$B,0),5)</f>
        <v>0</v>
      </c>
    </row>
    <row r="359" spans="1:15" ht="60">
      <c r="A359" s="3" t="s">
        <v>10</v>
      </c>
      <c r="B359" s="3" t="s">
        <v>11</v>
      </c>
      <c r="C359" s="4">
        <v>2026</v>
      </c>
      <c r="D359" s="5" t="s">
        <v>12</v>
      </c>
      <c r="E359" s="4">
        <v>49</v>
      </c>
      <c r="F359" s="4" t="s">
        <v>247</v>
      </c>
      <c r="G359" s="4" t="s">
        <v>158</v>
      </c>
      <c r="H359" s="4" t="s">
        <v>21</v>
      </c>
      <c r="I359" s="4" t="s">
        <v>641</v>
      </c>
      <c r="J359" s="4" t="s">
        <v>642</v>
      </c>
      <c r="K359" s="4" t="s">
        <v>151</v>
      </c>
      <c r="L359" s="4" t="s">
        <v>3743</v>
      </c>
      <c r="M359" s="4" t="s">
        <v>3746</v>
      </c>
      <c r="N359" s="4" t="s">
        <v>3747</v>
      </c>
      <c r="O359" s="17">
        <f>INDEX('список ID из СУЭ с должностями'!$A:$F,MATCH(E359,'список ID из СУЭ с должностями'!$B:$B,0),5)</f>
        <v>0</v>
      </c>
    </row>
    <row r="360" spans="1:15" ht="60">
      <c r="A360" s="3" t="s">
        <v>10</v>
      </c>
      <c r="B360" s="3" t="s">
        <v>11</v>
      </c>
      <c r="C360" s="4">
        <v>2026</v>
      </c>
      <c r="D360" s="5" t="s">
        <v>12</v>
      </c>
      <c r="E360" s="4">
        <v>49</v>
      </c>
      <c r="F360" s="4" t="s">
        <v>247</v>
      </c>
      <c r="G360" s="4" t="s">
        <v>158</v>
      </c>
      <c r="H360" s="4" t="s">
        <v>21</v>
      </c>
      <c r="I360" s="4" t="s">
        <v>221</v>
      </c>
      <c r="J360" s="4" t="s">
        <v>643</v>
      </c>
      <c r="K360" s="4" t="s">
        <v>151</v>
      </c>
      <c r="L360" s="4" t="s">
        <v>3743</v>
      </c>
      <c r="M360" s="4" t="s">
        <v>3746</v>
      </c>
      <c r="N360" s="4" t="s">
        <v>3747</v>
      </c>
      <c r="O360" s="17">
        <f>INDEX('список ID из СУЭ с должностями'!$A:$F,MATCH(E360,'список ID из СУЭ с должностями'!$B:$B,0),5)</f>
        <v>0</v>
      </c>
    </row>
    <row r="361" spans="1:15" ht="60">
      <c r="A361" s="3" t="s">
        <v>10</v>
      </c>
      <c r="B361" s="3" t="s">
        <v>11</v>
      </c>
      <c r="C361" s="4">
        <v>2026</v>
      </c>
      <c r="D361" s="5" t="s">
        <v>12</v>
      </c>
      <c r="E361" s="4">
        <v>49</v>
      </c>
      <c r="F361" s="4" t="s">
        <v>247</v>
      </c>
      <c r="G361" s="4" t="s">
        <v>158</v>
      </c>
      <c r="H361" s="4" t="s">
        <v>21</v>
      </c>
      <c r="I361" s="4" t="s">
        <v>537</v>
      </c>
      <c r="J361" s="4" t="s">
        <v>538</v>
      </c>
      <c r="K361" s="4" t="s">
        <v>151</v>
      </c>
      <c r="L361" s="4" t="s">
        <v>3743</v>
      </c>
      <c r="M361" s="4" t="s">
        <v>3746</v>
      </c>
      <c r="N361" s="4" t="s">
        <v>3747</v>
      </c>
      <c r="O361" s="17">
        <f>INDEX('список ID из СУЭ с должностями'!$A:$F,MATCH(E361,'список ID из СУЭ с должностями'!$B:$B,0),5)</f>
        <v>0</v>
      </c>
    </row>
    <row r="362" spans="1:15" ht="60">
      <c r="A362" s="3" t="s">
        <v>10</v>
      </c>
      <c r="B362" s="3" t="s">
        <v>11</v>
      </c>
      <c r="C362" s="4">
        <v>2026</v>
      </c>
      <c r="D362" s="5" t="s">
        <v>12</v>
      </c>
      <c r="E362" s="4">
        <v>49</v>
      </c>
      <c r="F362" s="4" t="s">
        <v>247</v>
      </c>
      <c r="G362" s="4" t="s">
        <v>158</v>
      </c>
      <c r="H362" s="4" t="s">
        <v>21</v>
      </c>
      <c r="I362" s="4" t="s">
        <v>155</v>
      </c>
      <c r="J362" s="4" t="s">
        <v>644</v>
      </c>
      <c r="K362" s="4" t="s">
        <v>30</v>
      </c>
      <c r="L362" s="4" t="s">
        <v>3743</v>
      </c>
      <c r="M362" s="4" t="s">
        <v>3746</v>
      </c>
      <c r="N362" s="4" t="s">
        <v>3747</v>
      </c>
      <c r="O362" s="17">
        <f>INDEX('список ID из СУЭ с должностями'!$A:$F,MATCH(E362,'список ID из СУЭ с должностями'!$B:$B,0),5)</f>
        <v>0</v>
      </c>
    </row>
    <row r="363" spans="1:15" ht="60">
      <c r="A363" s="3" t="s">
        <v>10</v>
      </c>
      <c r="B363" s="3" t="s">
        <v>11</v>
      </c>
      <c r="C363" s="4">
        <v>2026</v>
      </c>
      <c r="D363" s="5" t="s">
        <v>12</v>
      </c>
      <c r="E363" s="4">
        <v>49</v>
      </c>
      <c r="F363" s="4" t="s">
        <v>247</v>
      </c>
      <c r="G363" s="4" t="s">
        <v>158</v>
      </c>
      <c r="H363" s="4" t="s">
        <v>21</v>
      </c>
      <c r="I363" s="4" t="s">
        <v>259</v>
      </c>
      <c r="J363" s="4" t="s">
        <v>645</v>
      </c>
      <c r="K363" s="4" t="s">
        <v>38</v>
      </c>
      <c r="L363" s="4" t="s">
        <v>3743</v>
      </c>
      <c r="M363" s="4" t="s">
        <v>3746</v>
      </c>
      <c r="N363" s="4" t="s">
        <v>3747</v>
      </c>
      <c r="O363" s="17">
        <f>INDEX('список ID из СУЭ с должностями'!$A:$F,MATCH(E363,'список ID из СУЭ с должностями'!$B:$B,0),5)</f>
        <v>0</v>
      </c>
    </row>
    <row r="364" spans="1:15" ht="60">
      <c r="A364" s="3" t="s">
        <v>10</v>
      </c>
      <c r="B364" s="3" t="s">
        <v>11</v>
      </c>
      <c r="C364" s="4">
        <v>2026</v>
      </c>
      <c r="D364" s="5" t="s">
        <v>12</v>
      </c>
      <c r="E364" s="4">
        <v>49</v>
      </c>
      <c r="F364" s="4" t="s">
        <v>247</v>
      </c>
      <c r="G364" s="4" t="s">
        <v>158</v>
      </c>
      <c r="H364" s="4" t="s">
        <v>21</v>
      </c>
      <c r="I364" s="4" t="s">
        <v>171</v>
      </c>
      <c r="J364" s="4" t="s">
        <v>530</v>
      </c>
      <c r="K364" s="4" t="s">
        <v>25</v>
      </c>
      <c r="L364" s="4" t="s">
        <v>3743</v>
      </c>
      <c r="M364" s="4" t="s">
        <v>3746</v>
      </c>
      <c r="N364" s="4" t="s">
        <v>3747</v>
      </c>
      <c r="O364" s="17">
        <f>INDEX('список ID из СУЭ с должностями'!$A:$F,MATCH(E364,'список ID из СУЭ с должностями'!$B:$B,0),5)</f>
        <v>0</v>
      </c>
    </row>
    <row r="365" spans="1:15" ht="135">
      <c r="A365" s="3" t="s">
        <v>10</v>
      </c>
      <c r="B365" s="3" t="s">
        <v>11</v>
      </c>
      <c r="C365" s="4">
        <v>2026</v>
      </c>
      <c r="D365" s="5" t="s">
        <v>12</v>
      </c>
      <c r="E365" s="4">
        <v>49</v>
      </c>
      <c r="F365" s="4" t="s">
        <v>247</v>
      </c>
      <c r="G365" s="4" t="s">
        <v>158</v>
      </c>
      <c r="H365" s="4" t="s">
        <v>15</v>
      </c>
      <c r="I365" s="4" t="s">
        <v>262</v>
      </c>
      <c r="J365" s="4" t="s">
        <v>646</v>
      </c>
      <c r="K365" s="4" t="s">
        <v>35</v>
      </c>
      <c r="L365" s="4" t="s">
        <v>3743</v>
      </c>
      <c r="M365" s="4" t="s">
        <v>3746</v>
      </c>
      <c r="N365" s="4" t="s">
        <v>3747</v>
      </c>
      <c r="O365" s="17">
        <f>INDEX('список ID из СУЭ с должностями'!$A:$F,MATCH(E365,'список ID из СУЭ с должностями'!$B:$B,0),5)</f>
        <v>0</v>
      </c>
    </row>
    <row r="366" spans="1:15" ht="120">
      <c r="A366" s="3" t="s">
        <v>10</v>
      </c>
      <c r="B366" s="3" t="s">
        <v>11</v>
      </c>
      <c r="C366" s="4">
        <v>2026</v>
      </c>
      <c r="D366" s="5" t="s">
        <v>12</v>
      </c>
      <c r="E366" s="4">
        <v>49</v>
      </c>
      <c r="F366" s="4" t="s">
        <v>247</v>
      </c>
      <c r="G366" s="4" t="s">
        <v>158</v>
      </c>
      <c r="H366" s="4" t="s">
        <v>15</v>
      </c>
      <c r="I366" s="4" t="s">
        <v>532</v>
      </c>
      <c r="J366" s="4" t="s">
        <v>647</v>
      </c>
      <c r="K366" s="4" t="s">
        <v>151</v>
      </c>
      <c r="L366" s="4" t="s">
        <v>3743</v>
      </c>
      <c r="M366" s="4" t="s">
        <v>3746</v>
      </c>
      <c r="N366" s="4" t="s">
        <v>3747</v>
      </c>
      <c r="O366" s="17">
        <f>INDEX('список ID из СУЭ с должностями'!$A:$F,MATCH(E366,'список ID из СУЭ с должностями'!$B:$B,0),5)</f>
        <v>0</v>
      </c>
    </row>
    <row r="367" spans="1:15" ht="60">
      <c r="A367" s="3" t="s">
        <v>10</v>
      </c>
      <c r="B367" s="3" t="s">
        <v>11</v>
      </c>
      <c r="C367" s="4">
        <v>2026</v>
      </c>
      <c r="D367" s="5" t="s">
        <v>12</v>
      </c>
      <c r="E367" s="4">
        <v>49</v>
      </c>
      <c r="F367" s="4" t="s">
        <v>247</v>
      </c>
      <c r="G367" s="4" t="s">
        <v>158</v>
      </c>
      <c r="H367" s="4" t="s">
        <v>15</v>
      </c>
      <c r="I367" s="4" t="s">
        <v>648</v>
      </c>
      <c r="J367" s="4" t="s">
        <v>649</v>
      </c>
      <c r="K367" s="4" t="s">
        <v>151</v>
      </c>
      <c r="L367" s="4" t="s">
        <v>3743</v>
      </c>
      <c r="M367" s="4" t="s">
        <v>3746</v>
      </c>
      <c r="N367" s="4" t="s">
        <v>3747</v>
      </c>
      <c r="O367" s="17">
        <f>INDEX('список ID из СУЭ с должностями'!$A:$F,MATCH(E367,'список ID из СУЭ с должностями'!$B:$B,0),5)</f>
        <v>0</v>
      </c>
    </row>
    <row r="368" spans="1:15" ht="60">
      <c r="A368" s="3" t="s">
        <v>10</v>
      </c>
      <c r="B368" s="3" t="s">
        <v>11</v>
      </c>
      <c r="C368" s="4">
        <v>2026</v>
      </c>
      <c r="D368" s="5" t="s">
        <v>12</v>
      </c>
      <c r="E368" s="4">
        <v>50</v>
      </c>
      <c r="F368" s="4" t="s">
        <v>193</v>
      </c>
      <c r="G368" s="4" t="s">
        <v>650</v>
      </c>
      <c r="H368" s="4" t="s">
        <v>15</v>
      </c>
      <c r="I368" s="4" t="s">
        <v>601</v>
      </c>
      <c r="J368" s="4" t="s">
        <v>602</v>
      </c>
      <c r="K368" s="4" t="s">
        <v>52</v>
      </c>
      <c r="L368" s="4" t="s">
        <v>3742</v>
      </c>
      <c r="M368" s="4" t="s">
        <v>3746</v>
      </c>
      <c r="N368" s="4" t="s">
        <v>3747</v>
      </c>
      <c r="O368" s="17" t="str">
        <f>INDEX('список ID из СУЭ с должностями'!$A:$F,MATCH(E368,'список ID из СУЭ с должностями'!$B:$B,0),5)</f>
        <v>Инж смены</v>
      </c>
    </row>
    <row r="369" spans="1:15" ht="60">
      <c r="A369" s="3" t="s">
        <v>10</v>
      </c>
      <c r="B369" s="3" t="s">
        <v>11</v>
      </c>
      <c r="C369" s="4">
        <v>2026</v>
      </c>
      <c r="D369" s="5" t="s">
        <v>12</v>
      </c>
      <c r="E369" s="4">
        <v>50</v>
      </c>
      <c r="F369" s="4" t="s">
        <v>193</v>
      </c>
      <c r="G369" s="4" t="s">
        <v>650</v>
      </c>
      <c r="H369" s="4" t="s">
        <v>15</v>
      </c>
      <c r="I369" s="4" t="s">
        <v>603</v>
      </c>
      <c r="J369" s="4" t="s">
        <v>604</v>
      </c>
      <c r="K369" s="4" t="s">
        <v>52</v>
      </c>
      <c r="L369" s="4" t="s">
        <v>3742</v>
      </c>
      <c r="M369" s="4" t="s">
        <v>3746</v>
      </c>
      <c r="N369" s="4" t="s">
        <v>3747</v>
      </c>
      <c r="O369" s="17" t="str">
        <f>INDEX('список ID из СУЭ с должностями'!$A:$F,MATCH(E369,'список ID из СУЭ с должностями'!$B:$B,0),5)</f>
        <v>Инж смены</v>
      </c>
    </row>
    <row r="370" spans="1:15" ht="60">
      <c r="A370" s="3" t="s">
        <v>10</v>
      </c>
      <c r="B370" s="3" t="s">
        <v>11</v>
      </c>
      <c r="C370" s="4">
        <v>2026</v>
      </c>
      <c r="D370" s="5" t="s">
        <v>12</v>
      </c>
      <c r="E370" s="4">
        <v>50</v>
      </c>
      <c r="F370" s="4" t="s">
        <v>193</v>
      </c>
      <c r="G370" s="4" t="s">
        <v>650</v>
      </c>
      <c r="H370" s="4" t="s">
        <v>15</v>
      </c>
      <c r="I370" s="4" t="s">
        <v>609</v>
      </c>
      <c r="J370" s="4" t="s">
        <v>610</v>
      </c>
      <c r="K370" s="4" t="s">
        <v>52</v>
      </c>
      <c r="L370" s="4" t="s">
        <v>3742</v>
      </c>
      <c r="M370" s="4" t="s">
        <v>3746</v>
      </c>
      <c r="N370" s="4" t="s">
        <v>3747</v>
      </c>
      <c r="O370" s="17" t="str">
        <f>INDEX('список ID из СУЭ с должностями'!$A:$F,MATCH(E370,'список ID из СУЭ с должностями'!$B:$B,0),5)</f>
        <v>Инж смены</v>
      </c>
    </row>
    <row r="371" spans="1:15" ht="60">
      <c r="A371" s="3" t="s">
        <v>10</v>
      </c>
      <c r="B371" s="3" t="s">
        <v>11</v>
      </c>
      <c r="C371" s="4">
        <v>2026</v>
      </c>
      <c r="D371" s="5" t="s">
        <v>12</v>
      </c>
      <c r="E371" s="4">
        <v>50</v>
      </c>
      <c r="F371" s="4" t="s">
        <v>193</v>
      </c>
      <c r="G371" s="4" t="s">
        <v>650</v>
      </c>
      <c r="H371" s="4" t="s">
        <v>15</v>
      </c>
      <c r="I371" s="4" t="s">
        <v>607</v>
      </c>
      <c r="J371" s="4" t="s">
        <v>608</v>
      </c>
      <c r="K371" s="4" t="s">
        <v>52</v>
      </c>
      <c r="L371" s="4" t="s">
        <v>3742</v>
      </c>
      <c r="M371" s="4" t="s">
        <v>3746</v>
      </c>
      <c r="N371" s="4" t="s">
        <v>3747</v>
      </c>
      <c r="O371" s="17" t="str">
        <f>INDEX('список ID из СУЭ с должностями'!$A:$F,MATCH(E371,'список ID из СУЭ с должностями'!$B:$B,0),5)</f>
        <v>Инж смены</v>
      </c>
    </row>
    <row r="372" spans="1:15" ht="60">
      <c r="A372" s="3" t="s">
        <v>10</v>
      </c>
      <c r="B372" s="3" t="s">
        <v>11</v>
      </c>
      <c r="C372" s="4">
        <v>2026</v>
      </c>
      <c r="D372" s="5" t="s">
        <v>12</v>
      </c>
      <c r="E372" s="4">
        <v>50</v>
      </c>
      <c r="F372" s="4" t="s">
        <v>193</v>
      </c>
      <c r="G372" s="4" t="s">
        <v>650</v>
      </c>
      <c r="H372" s="4" t="s">
        <v>15</v>
      </c>
      <c r="I372" s="4" t="s">
        <v>605</v>
      </c>
      <c r="J372" s="4" t="s">
        <v>606</v>
      </c>
      <c r="K372" s="4" t="s">
        <v>52</v>
      </c>
      <c r="L372" s="4" t="s">
        <v>3742</v>
      </c>
      <c r="M372" s="4" t="s">
        <v>3746</v>
      </c>
      <c r="N372" s="4" t="s">
        <v>3747</v>
      </c>
      <c r="O372" s="17" t="str">
        <f>INDEX('список ID из СУЭ с должностями'!$A:$F,MATCH(E372,'список ID из СУЭ с должностями'!$B:$B,0),5)</f>
        <v>Инж смены</v>
      </c>
    </row>
    <row r="373" spans="1:15" ht="60">
      <c r="A373" s="3" t="s">
        <v>10</v>
      </c>
      <c r="B373" s="3" t="s">
        <v>11</v>
      </c>
      <c r="C373" s="4">
        <v>2026</v>
      </c>
      <c r="D373" s="5" t="s">
        <v>12</v>
      </c>
      <c r="E373" s="4">
        <v>50</v>
      </c>
      <c r="F373" s="4" t="s">
        <v>193</v>
      </c>
      <c r="G373" s="4" t="s">
        <v>650</v>
      </c>
      <c r="H373" s="4" t="s">
        <v>15</v>
      </c>
      <c r="I373" s="4" t="s">
        <v>611</v>
      </c>
      <c r="J373" s="4" t="s">
        <v>612</v>
      </c>
      <c r="K373" s="4" t="s">
        <v>52</v>
      </c>
      <c r="L373" s="4" t="s">
        <v>3742</v>
      </c>
      <c r="M373" s="4" t="s">
        <v>3746</v>
      </c>
      <c r="N373" s="4" t="s">
        <v>3747</v>
      </c>
      <c r="O373" s="17" t="str">
        <f>INDEX('список ID из СУЭ с должностями'!$A:$F,MATCH(E373,'список ID из СУЭ с должностями'!$B:$B,0),5)</f>
        <v>Инж смены</v>
      </c>
    </row>
    <row r="374" spans="1:15" ht="75">
      <c r="A374" s="3" t="s">
        <v>10</v>
      </c>
      <c r="B374" s="3" t="s">
        <v>11</v>
      </c>
      <c r="C374" s="4">
        <v>2026</v>
      </c>
      <c r="D374" s="5" t="s">
        <v>12</v>
      </c>
      <c r="E374" s="4">
        <v>51</v>
      </c>
      <c r="F374" s="4" t="s">
        <v>652</v>
      </c>
      <c r="G374" s="4" t="s">
        <v>558</v>
      </c>
      <c r="H374" s="4" t="s">
        <v>15</v>
      </c>
      <c r="I374" s="4" t="s">
        <v>35</v>
      </c>
      <c r="J374" s="4">
        <v>0</v>
      </c>
      <c r="K374" s="4" t="s">
        <v>35</v>
      </c>
      <c r="L374" s="4" t="s">
        <v>3743</v>
      </c>
      <c r="M374" s="4" t="s">
        <v>3746</v>
      </c>
      <c r="N374" s="4" t="s">
        <v>3747</v>
      </c>
      <c r="O374" s="17">
        <f>INDEX('список ID из СУЭ с должностями'!$A:$F,MATCH(E374,'список ID из СУЭ с должностями'!$B:$B,0),5)</f>
        <v>0</v>
      </c>
    </row>
    <row r="375" spans="1:15" ht="75">
      <c r="A375" s="3" t="s">
        <v>10</v>
      </c>
      <c r="B375" s="3" t="s">
        <v>11</v>
      </c>
      <c r="C375" s="4">
        <v>2026</v>
      </c>
      <c r="D375" s="5" t="s">
        <v>12</v>
      </c>
      <c r="E375" s="4">
        <v>51</v>
      </c>
      <c r="F375" s="4" t="s">
        <v>652</v>
      </c>
      <c r="G375" s="4" t="s">
        <v>558</v>
      </c>
      <c r="H375" s="4" t="s">
        <v>15</v>
      </c>
      <c r="I375" s="4" t="s">
        <v>188</v>
      </c>
      <c r="J375" s="4">
        <v>0</v>
      </c>
      <c r="K375" s="4" t="s">
        <v>188</v>
      </c>
      <c r="L375" s="4" t="s">
        <v>3743</v>
      </c>
      <c r="M375" s="4" t="s">
        <v>3746</v>
      </c>
      <c r="N375" s="4" t="s">
        <v>3747</v>
      </c>
      <c r="O375" s="17">
        <f>INDEX('список ID из СУЭ с должностями'!$A:$F,MATCH(E375,'список ID из СУЭ с должностями'!$B:$B,0),5)</f>
        <v>0</v>
      </c>
    </row>
    <row r="376" spans="1:15" ht="75">
      <c r="A376" s="3" t="s">
        <v>10</v>
      </c>
      <c r="B376" s="3" t="s">
        <v>11</v>
      </c>
      <c r="C376" s="4">
        <v>2026</v>
      </c>
      <c r="D376" s="5" t="s">
        <v>12</v>
      </c>
      <c r="E376" s="4">
        <v>51</v>
      </c>
      <c r="F376" s="4" t="s">
        <v>652</v>
      </c>
      <c r="G376" s="4" t="s">
        <v>558</v>
      </c>
      <c r="H376" s="4" t="s">
        <v>21</v>
      </c>
      <c r="I376" s="4" t="s">
        <v>559</v>
      </c>
      <c r="J376" s="4" t="s">
        <v>560</v>
      </c>
      <c r="K376" s="4" t="s">
        <v>25</v>
      </c>
      <c r="L376" s="4" t="s">
        <v>3743</v>
      </c>
      <c r="M376" s="4" t="s">
        <v>3746</v>
      </c>
      <c r="N376" s="4" t="s">
        <v>3747</v>
      </c>
      <c r="O376" s="17">
        <f>INDEX('список ID из СУЭ с должностями'!$A:$F,MATCH(E376,'список ID из СУЭ с должностями'!$B:$B,0),5)</f>
        <v>0</v>
      </c>
    </row>
    <row r="377" spans="1:15" ht="150">
      <c r="A377" s="3" t="s">
        <v>10</v>
      </c>
      <c r="B377" s="3" t="s">
        <v>11</v>
      </c>
      <c r="C377" s="4">
        <v>2026</v>
      </c>
      <c r="D377" s="5" t="s">
        <v>12</v>
      </c>
      <c r="E377" s="4">
        <v>51</v>
      </c>
      <c r="F377" s="4" t="s">
        <v>652</v>
      </c>
      <c r="G377" s="4" t="s">
        <v>558</v>
      </c>
      <c r="H377" s="4" t="s">
        <v>41</v>
      </c>
      <c r="I377" s="4" t="s">
        <v>653</v>
      </c>
      <c r="J377" s="4" t="s">
        <v>654</v>
      </c>
      <c r="K377" s="4" t="s">
        <v>20</v>
      </c>
      <c r="L377" s="4" t="s">
        <v>3743</v>
      </c>
      <c r="M377" s="4" t="s">
        <v>3746</v>
      </c>
      <c r="N377" s="4" t="s">
        <v>3747</v>
      </c>
      <c r="O377" s="17">
        <f>INDEX('список ID из СУЭ с должностями'!$A:$F,MATCH(E377,'список ID из СУЭ с должностями'!$B:$B,0),5)</f>
        <v>0</v>
      </c>
    </row>
    <row r="378" spans="1:15" ht="75">
      <c r="A378" s="3" t="s">
        <v>10</v>
      </c>
      <c r="B378" s="3" t="s">
        <v>11</v>
      </c>
      <c r="C378" s="4">
        <v>2026</v>
      </c>
      <c r="D378" s="5" t="s">
        <v>12</v>
      </c>
      <c r="E378" s="4">
        <v>51</v>
      </c>
      <c r="F378" s="4" t="s">
        <v>652</v>
      </c>
      <c r="G378" s="4" t="s">
        <v>558</v>
      </c>
      <c r="H378" s="4" t="s">
        <v>21</v>
      </c>
      <c r="I378" s="4" t="s">
        <v>563</v>
      </c>
      <c r="J378" s="4" t="s">
        <v>182</v>
      </c>
      <c r="K378" s="4" t="s">
        <v>38</v>
      </c>
      <c r="L378" s="4" t="s">
        <v>3742</v>
      </c>
      <c r="M378" s="4" t="s">
        <v>3746</v>
      </c>
      <c r="N378" s="4" t="s">
        <v>3747</v>
      </c>
      <c r="O378" s="17">
        <f>INDEX('список ID из СУЭ с должностями'!$A:$F,MATCH(E378,'список ID из СУЭ с должностями'!$B:$B,0),5)</f>
        <v>0</v>
      </c>
    </row>
    <row r="379" spans="1:15" ht="75">
      <c r="A379" s="3" t="s">
        <v>10</v>
      </c>
      <c r="B379" s="3" t="s">
        <v>11</v>
      </c>
      <c r="C379" s="4">
        <v>2026</v>
      </c>
      <c r="D379" s="5" t="s">
        <v>12</v>
      </c>
      <c r="E379" s="4">
        <v>51</v>
      </c>
      <c r="F379" s="4" t="s">
        <v>652</v>
      </c>
      <c r="G379" s="4" t="s">
        <v>558</v>
      </c>
      <c r="H379" s="4" t="s">
        <v>21</v>
      </c>
      <c r="I379" s="4" t="s">
        <v>655</v>
      </c>
      <c r="J379" s="4" t="s">
        <v>656</v>
      </c>
      <c r="K379" s="4" t="s">
        <v>35</v>
      </c>
      <c r="L379" s="4" t="s">
        <v>3743</v>
      </c>
      <c r="M379" s="4" t="s">
        <v>3746</v>
      </c>
      <c r="N379" s="4" t="s">
        <v>3747</v>
      </c>
      <c r="O379" s="17">
        <f>INDEX('список ID из СУЭ с должностями'!$A:$F,MATCH(E379,'список ID из СУЭ с должностями'!$B:$B,0),5)</f>
        <v>0</v>
      </c>
    </row>
    <row r="380" spans="1:15" ht="120">
      <c r="A380" s="3" t="s">
        <v>10</v>
      </c>
      <c r="B380" s="3" t="s">
        <v>11</v>
      </c>
      <c r="C380" s="4">
        <v>2026</v>
      </c>
      <c r="D380" s="5" t="s">
        <v>12</v>
      </c>
      <c r="E380" s="4">
        <v>51</v>
      </c>
      <c r="F380" s="4" t="s">
        <v>652</v>
      </c>
      <c r="G380" s="4" t="s">
        <v>558</v>
      </c>
      <c r="H380" s="4" t="s">
        <v>41</v>
      </c>
      <c r="I380" s="4" t="s">
        <v>653</v>
      </c>
      <c r="J380" s="4" t="s">
        <v>657</v>
      </c>
      <c r="K380" s="4" t="s">
        <v>20</v>
      </c>
      <c r="L380" s="4" t="s">
        <v>3743</v>
      </c>
      <c r="M380" s="4" t="s">
        <v>3746</v>
      </c>
      <c r="N380" s="4" t="s">
        <v>3747</v>
      </c>
      <c r="O380" s="17">
        <f>INDEX('список ID из СУЭ с должностями'!$A:$F,MATCH(E380,'список ID из СУЭ с должностями'!$B:$B,0),5)</f>
        <v>0</v>
      </c>
    </row>
    <row r="381" spans="1:15" ht="75">
      <c r="A381" s="3" t="s">
        <v>10</v>
      </c>
      <c r="B381" s="3" t="s">
        <v>11</v>
      </c>
      <c r="C381" s="4">
        <v>2026</v>
      </c>
      <c r="D381" s="5" t="s">
        <v>12</v>
      </c>
      <c r="E381" s="4">
        <v>51</v>
      </c>
      <c r="F381" s="4" t="s">
        <v>652</v>
      </c>
      <c r="G381" s="4" t="s">
        <v>558</v>
      </c>
      <c r="H381" s="4" t="s">
        <v>21</v>
      </c>
      <c r="I381" s="4" t="s">
        <v>658</v>
      </c>
      <c r="J381" s="4" t="s">
        <v>659</v>
      </c>
      <c r="K381" s="4" t="s">
        <v>188</v>
      </c>
      <c r="L381" s="4" t="s">
        <v>3742</v>
      </c>
      <c r="M381" s="4" t="s">
        <v>3746</v>
      </c>
      <c r="N381" s="4" t="s">
        <v>3747</v>
      </c>
      <c r="O381" s="17">
        <f>INDEX('список ID из СУЭ с должностями'!$A:$F,MATCH(E381,'список ID из СУЭ с должностями'!$B:$B,0),5)</f>
        <v>0</v>
      </c>
    </row>
    <row r="382" spans="1:15" ht="75">
      <c r="A382" s="3" t="s">
        <v>10</v>
      </c>
      <c r="B382" s="3" t="s">
        <v>11</v>
      </c>
      <c r="C382" s="4">
        <v>2026</v>
      </c>
      <c r="D382" s="5" t="s">
        <v>12</v>
      </c>
      <c r="E382" s="4">
        <v>51</v>
      </c>
      <c r="F382" s="4" t="s">
        <v>652</v>
      </c>
      <c r="G382" s="4" t="s">
        <v>558</v>
      </c>
      <c r="H382" s="4" t="s">
        <v>21</v>
      </c>
      <c r="I382" s="4" t="s">
        <v>660</v>
      </c>
      <c r="J382" s="4" t="s">
        <v>661</v>
      </c>
      <c r="K382" s="4" t="s">
        <v>20</v>
      </c>
      <c r="L382" s="4" t="s">
        <v>3743</v>
      </c>
      <c r="M382" s="4" t="s">
        <v>3746</v>
      </c>
      <c r="N382" s="4" t="s">
        <v>3747</v>
      </c>
      <c r="O382" s="17">
        <f>INDEX('список ID из СУЭ с должностями'!$A:$F,MATCH(E382,'список ID из СУЭ с должностями'!$B:$B,0),5)</f>
        <v>0</v>
      </c>
    </row>
    <row r="383" spans="1:15" ht="60">
      <c r="A383" s="3" t="s">
        <v>10</v>
      </c>
      <c r="B383" s="3" t="s">
        <v>11</v>
      </c>
      <c r="C383" s="4">
        <v>2026</v>
      </c>
      <c r="D383" s="5" t="s">
        <v>12</v>
      </c>
      <c r="E383" s="4">
        <v>52</v>
      </c>
      <c r="F383" s="4" t="s">
        <v>153</v>
      </c>
      <c r="G383" s="4" t="s">
        <v>154</v>
      </c>
      <c r="H383" s="4" t="s">
        <v>15</v>
      </c>
      <c r="I383" s="4" t="s">
        <v>175</v>
      </c>
      <c r="J383" s="4" t="s">
        <v>662</v>
      </c>
      <c r="K383" s="4" t="s">
        <v>38</v>
      </c>
      <c r="L383" s="4" t="s">
        <v>3743</v>
      </c>
      <c r="M383" s="4" t="s">
        <v>3746</v>
      </c>
      <c r="N383" s="4" t="s">
        <v>3747</v>
      </c>
      <c r="O383" s="17">
        <f>INDEX('список ID из СУЭ с должностями'!$A:$F,MATCH(E383,'список ID из СУЭ с должностями'!$B:$B,0),5)</f>
        <v>0</v>
      </c>
    </row>
    <row r="384" spans="1:15" ht="90">
      <c r="A384" s="3" t="s">
        <v>10</v>
      </c>
      <c r="B384" s="3" t="s">
        <v>11</v>
      </c>
      <c r="C384" s="4">
        <v>2026</v>
      </c>
      <c r="D384" s="5" t="s">
        <v>12</v>
      </c>
      <c r="E384" s="4">
        <v>52</v>
      </c>
      <c r="F384" s="4" t="s">
        <v>153</v>
      </c>
      <c r="G384" s="4" t="s">
        <v>154</v>
      </c>
      <c r="H384" s="4" t="s">
        <v>21</v>
      </c>
      <c r="I384" s="4" t="s">
        <v>155</v>
      </c>
      <c r="J384" s="4" t="s">
        <v>156</v>
      </c>
      <c r="K384" s="4" t="s">
        <v>30</v>
      </c>
      <c r="L384" s="4" t="s">
        <v>3743</v>
      </c>
      <c r="M384" s="4" t="s">
        <v>3746</v>
      </c>
      <c r="N384" s="4" t="s">
        <v>3747</v>
      </c>
      <c r="O384" s="17">
        <f>INDEX('список ID из СУЭ с должностями'!$A:$F,MATCH(E384,'список ID из СУЭ с должностями'!$B:$B,0),5)</f>
        <v>0</v>
      </c>
    </row>
    <row r="385" spans="1:15" ht="75">
      <c r="A385" s="3" t="s">
        <v>10</v>
      </c>
      <c r="B385" s="3" t="s">
        <v>11</v>
      </c>
      <c r="C385" s="4">
        <v>2026</v>
      </c>
      <c r="D385" s="5" t="s">
        <v>12</v>
      </c>
      <c r="E385" s="4">
        <v>52</v>
      </c>
      <c r="F385" s="4" t="s">
        <v>153</v>
      </c>
      <c r="G385" s="4" t="s">
        <v>154</v>
      </c>
      <c r="H385" s="4" t="s">
        <v>15</v>
      </c>
      <c r="I385" s="4" t="s">
        <v>159</v>
      </c>
      <c r="J385" s="4" t="s">
        <v>663</v>
      </c>
      <c r="K385" s="4" t="s">
        <v>20</v>
      </c>
      <c r="L385" s="4" t="s">
        <v>3743</v>
      </c>
      <c r="M385" s="4" t="s">
        <v>3746</v>
      </c>
      <c r="N385" s="4" t="s">
        <v>3747</v>
      </c>
      <c r="O385" s="17">
        <f>INDEX('список ID из СУЭ с должностями'!$A:$F,MATCH(E385,'список ID из СУЭ с должностями'!$B:$B,0),5)</f>
        <v>0</v>
      </c>
    </row>
    <row r="386" spans="1:15" ht="60">
      <c r="A386" s="3" t="s">
        <v>10</v>
      </c>
      <c r="B386" s="3" t="s">
        <v>11</v>
      </c>
      <c r="C386" s="4">
        <v>2026</v>
      </c>
      <c r="D386" s="5" t="s">
        <v>12</v>
      </c>
      <c r="E386" s="4">
        <v>52</v>
      </c>
      <c r="F386" s="4" t="s">
        <v>153</v>
      </c>
      <c r="G386" s="4" t="s">
        <v>154</v>
      </c>
      <c r="H386" s="4" t="s">
        <v>15</v>
      </c>
      <c r="I386" s="4" t="s">
        <v>161</v>
      </c>
      <c r="J386" s="4" t="s">
        <v>664</v>
      </c>
      <c r="K386" s="4" t="s">
        <v>151</v>
      </c>
      <c r="L386" s="4" t="s">
        <v>3743</v>
      </c>
      <c r="M386" s="4" t="s">
        <v>3746</v>
      </c>
      <c r="N386" s="4" t="s">
        <v>3747</v>
      </c>
      <c r="O386" s="17">
        <f>INDEX('список ID из СУЭ с должностями'!$A:$F,MATCH(E386,'список ID из СУЭ с должностями'!$B:$B,0),5)</f>
        <v>0</v>
      </c>
    </row>
    <row r="387" spans="1:15" ht="60">
      <c r="A387" s="3" t="s">
        <v>10</v>
      </c>
      <c r="B387" s="3" t="s">
        <v>11</v>
      </c>
      <c r="C387" s="4">
        <v>2026</v>
      </c>
      <c r="D387" s="5" t="s">
        <v>12</v>
      </c>
      <c r="E387" s="4">
        <v>52</v>
      </c>
      <c r="F387" s="4" t="s">
        <v>153</v>
      </c>
      <c r="G387" s="4" t="s">
        <v>154</v>
      </c>
      <c r="H387" s="4" t="s">
        <v>41</v>
      </c>
      <c r="I387" s="4" t="s">
        <v>165</v>
      </c>
      <c r="J387" s="4" t="s">
        <v>166</v>
      </c>
      <c r="K387" s="4" t="s">
        <v>151</v>
      </c>
      <c r="L387" s="4" t="s">
        <v>3743</v>
      </c>
      <c r="M387" s="4" t="s">
        <v>3746</v>
      </c>
      <c r="N387" s="4" t="s">
        <v>3747</v>
      </c>
      <c r="O387" s="17">
        <f>INDEX('список ID из СУЭ с должностями'!$A:$F,MATCH(E387,'список ID из СУЭ с должностями'!$B:$B,0),5)</f>
        <v>0</v>
      </c>
    </row>
    <row r="388" spans="1:15" ht="105">
      <c r="A388" s="3" t="s">
        <v>10</v>
      </c>
      <c r="B388" s="3" t="s">
        <v>11</v>
      </c>
      <c r="C388" s="4">
        <v>2026</v>
      </c>
      <c r="D388" s="5" t="s">
        <v>12</v>
      </c>
      <c r="E388" s="4">
        <v>52</v>
      </c>
      <c r="F388" s="4" t="s">
        <v>153</v>
      </c>
      <c r="G388" s="4" t="s">
        <v>154</v>
      </c>
      <c r="H388" s="4" t="s">
        <v>15</v>
      </c>
      <c r="I388" s="4" t="s">
        <v>167</v>
      </c>
      <c r="J388" s="4" t="s">
        <v>168</v>
      </c>
      <c r="K388" s="4" t="s">
        <v>20</v>
      </c>
      <c r="L388" s="4" t="s">
        <v>3743</v>
      </c>
      <c r="M388" s="4" t="s">
        <v>3746</v>
      </c>
      <c r="N388" s="4" t="s">
        <v>3747</v>
      </c>
      <c r="O388" s="17">
        <f>INDEX('список ID из СУЭ с должностями'!$A:$F,MATCH(E388,'список ID из СУЭ с должностями'!$B:$B,0),5)</f>
        <v>0</v>
      </c>
    </row>
    <row r="389" spans="1:15" ht="60">
      <c r="A389" s="3" t="s">
        <v>10</v>
      </c>
      <c r="B389" s="3" t="s">
        <v>11</v>
      </c>
      <c r="C389" s="4">
        <v>2026</v>
      </c>
      <c r="D389" s="5" t="s">
        <v>12</v>
      </c>
      <c r="E389" s="4">
        <v>52</v>
      </c>
      <c r="F389" s="4" t="s">
        <v>153</v>
      </c>
      <c r="G389" s="4" t="s">
        <v>154</v>
      </c>
      <c r="H389" s="4" t="s">
        <v>15</v>
      </c>
      <c r="I389" s="4" t="s">
        <v>163</v>
      </c>
      <c r="J389" s="4" t="s">
        <v>164</v>
      </c>
      <c r="K389" s="4" t="s">
        <v>38</v>
      </c>
      <c r="L389" s="4" t="s">
        <v>3742</v>
      </c>
      <c r="M389" s="4" t="s">
        <v>3746</v>
      </c>
      <c r="N389" s="4" t="s">
        <v>3747</v>
      </c>
      <c r="O389" s="17">
        <f>INDEX('список ID из СУЭ с должностями'!$A:$F,MATCH(E389,'список ID из СУЭ с должностями'!$B:$B,0),5)</f>
        <v>0</v>
      </c>
    </row>
    <row r="390" spans="1:15" ht="60">
      <c r="A390" s="3" t="s">
        <v>10</v>
      </c>
      <c r="B390" s="3" t="s">
        <v>11</v>
      </c>
      <c r="C390" s="4">
        <v>2026</v>
      </c>
      <c r="D390" s="5" t="s">
        <v>12</v>
      </c>
      <c r="E390" s="4">
        <v>52</v>
      </c>
      <c r="F390" s="4" t="s">
        <v>153</v>
      </c>
      <c r="G390" s="4" t="s">
        <v>154</v>
      </c>
      <c r="H390" s="4" t="s">
        <v>15</v>
      </c>
      <c r="I390" s="4" t="s">
        <v>169</v>
      </c>
      <c r="J390" s="4" t="s">
        <v>170</v>
      </c>
      <c r="K390" s="4" t="s">
        <v>55</v>
      </c>
      <c r="L390" s="4" t="s">
        <v>3743</v>
      </c>
      <c r="M390" s="4" t="s">
        <v>3746</v>
      </c>
      <c r="N390" s="4" t="s">
        <v>3747</v>
      </c>
      <c r="O390" s="17">
        <f>INDEX('список ID из СУЭ с должностями'!$A:$F,MATCH(E390,'список ID из СУЭ с должностями'!$B:$B,0),5)</f>
        <v>0</v>
      </c>
    </row>
    <row r="391" spans="1:15" ht="90">
      <c r="A391" s="3" t="s">
        <v>10</v>
      </c>
      <c r="B391" s="3" t="s">
        <v>11</v>
      </c>
      <c r="C391" s="4">
        <v>2026</v>
      </c>
      <c r="D391" s="5" t="s">
        <v>12</v>
      </c>
      <c r="E391" s="4">
        <v>52</v>
      </c>
      <c r="F391" s="4" t="s">
        <v>153</v>
      </c>
      <c r="G391" s="4" t="s">
        <v>154</v>
      </c>
      <c r="H391" s="4" t="s">
        <v>21</v>
      </c>
      <c r="I391" s="4" t="s">
        <v>171</v>
      </c>
      <c r="J391" s="4" t="s">
        <v>172</v>
      </c>
      <c r="K391" s="4" t="s">
        <v>35</v>
      </c>
      <c r="L391" s="4" t="s">
        <v>3743</v>
      </c>
      <c r="M391" s="4" t="s">
        <v>3746</v>
      </c>
      <c r="N391" s="4" t="s">
        <v>3747</v>
      </c>
      <c r="O391" s="17">
        <f>INDEX('список ID из СУЭ с должностями'!$A:$F,MATCH(E391,'список ID из СУЭ с должностями'!$B:$B,0),5)</f>
        <v>0</v>
      </c>
    </row>
    <row r="392" spans="1:15" ht="60">
      <c r="A392" s="3" t="s">
        <v>10</v>
      </c>
      <c r="B392" s="3" t="s">
        <v>11</v>
      </c>
      <c r="C392" s="4">
        <v>2026</v>
      </c>
      <c r="D392" s="5" t="s">
        <v>12</v>
      </c>
      <c r="E392" s="4">
        <v>52</v>
      </c>
      <c r="F392" s="4" t="s">
        <v>153</v>
      </c>
      <c r="G392" s="4" t="s">
        <v>154</v>
      </c>
      <c r="H392" s="4" t="s">
        <v>15</v>
      </c>
      <c r="I392" s="4" t="s">
        <v>173</v>
      </c>
      <c r="J392" s="4" t="s">
        <v>174</v>
      </c>
      <c r="K392" s="4" t="s">
        <v>151</v>
      </c>
      <c r="L392" s="4" t="s">
        <v>3743</v>
      </c>
      <c r="M392" s="4" t="s">
        <v>3746</v>
      </c>
      <c r="N392" s="4" t="s">
        <v>3747</v>
      </c>
      <c r="O392" s="17">
        <f>INDEX('список ID из СУЭ с должностями'!$A:$F,MATCH(E392,'список ID из СУЭ с должностями'!$B:$B,0),5)</f>
        <v>0</v>
      </c>
    </row>
    <row r="393" spans="1:15" ht="60">
      <c r="A393" s="3" t="s">
        <v>10</v>
      </c>
      <c r="B393" s="3" t="s">
        <v>11</v>
      </c>
      <c r="C393" s="4">
        <v>2026</v>
      </c>
      <c r="D393" s="5" t="s">
        <v>12</v>
      </c>
      <c r="E393" s="4">
        <v>53</v>
      </c>
      <c r="F393" s="4" t="s">
        <v>67</v>
      </c>
      <c r="G393" s="4" t="s">
        <v>665</v>
      </c>
      <c r="H393" s="4" t="s">
        <v>41</v>
      </c>
      <c r="I393" s="4" t="s">
        <v>666</v>
      </c>
      <c r="J393" s="4" t="s">
        <v>666</v>
      </c>
      <c r="K393" s="4" t="s">
        <v>66</v>
      </c>
      <c r="L393" s="4" t="s">
        <v>3743</v>
      </c>
      <c r="M393" s="4" t="s">
        <v>3746</v>
      </c>
      <c r="N393" s="4" t="s">
        <v>3747</v>
      </c>
      <c r="O393" s="17">
        <f>INDEX('список ID из СУЭ с должностями'!$A:$F,MATCH(E393,'список ID из СУЭ с должностями'!$B:$B,0),5)</f>
        <v>0</v>
      </c>
    </row>
    <row r="394" spans="1:15" ht="60">
      <c r="A394" s="3" t="s">
        <v>10</v>
      </c>
      <c r="B394" s="3" t="s">
        <v>11</v>
      </c>
      <c r="C394" s="4">
        <v>2026</v>
      </c>
      <c r="D394" s="5" t="s">
        <v>12</v>
      </c>
      <c r="E394" s="4">
        <v>53</v>
      </c>
      <c r="F394" s="4" t="s">
        <v>67</v>
      </c>
      <c r="G394" s="4" t="s">
        <v>665</v>
      </c>
      <c r="H394" s="4" t="s">
        <v>15</v>
      </c>
      <c r="I394" s="4" t="s">
        <v>667</v>
      </c>
      <c r="J394" s="4" t="s">
        <v>668</v>
      </c>
      <c r="K394" s="4" t="s">
        <v>66</v>
      </c>
      <c r="L394" s="4" t="s">
        <v>3743</v>
      </c>
      <c r="M394" s="4" t="s">
        <v>3746</v>
      </c>
      <c r="N394" s="4" t="s">
        <v>3747</v>
      </c>
      <c r="O394" s="17">
        <f>INDEX('список ID из СУЭ с должностями'!$A:$F,MATCH(E394,'список ID из СУЭ с должностями'!$B:$B,0),5)</f>
        <v>0</v>
      </c>
    </row>
    <row r="395" spans="1:15" ht="75">
      <c r="A395" s="3" t="s">
        <v>10</v>
      </c>
      <c r="B395" s="3" t="s">
        <v>11</v>
      </c>
      <c r="C395" s="4">
        <v>2026</v>
      </c>
      <c r="D395" s="5" t="s">
        <v>12</v>
      </c>
      <c r="E395" s="4">
        <v>53</v>
      </c>
      <c r="F395" s="4" t="s">
        <v>67</v>
      </c>
      <c r="G395" s="4" t="s">
        <v>665</v>
      </c>
      <c r="H395" s="4" t="s">
        <v>41</v>
      </c>
      <c r="I395" s="4" t="s">
        <v>669</v>
      </c>
      <c r="J395" s="4" t="s">
        <v>670</v>
      </c>
      <c r="K395" s="4" t="s">
        <v>188</v>
      </c>
      <c r="L395" s="4" t="s">
        <v>3743</v>
      </c>
      <c r="M395" s="4" t="s">
        <v>3746</v>
      </c>
      <c r="N395" s="4" t="s">
        <v>3747</v>
      </c>
      <c r="O395" s="17">
        <f>INDEX('список ID из СУЭ с должностями'!$A:$F,MATCH(E395,'список ID из СУЭ с должностями'!$B:$B,0),5)</f>
        <v>0</v>
      </c>
    </row>
    <row r="396" spans="1:15" ht="60">
      <c r="A396" s="3" t="s">
        <v>10</v>
      </c>
      <c r="B396" s="3" t="s">
        <v>11</v>
      </c>
      <c r="C396" s="4">
        <v>2026</v>
      </c>
      <c r="D396" s="5" t="s">
        <v>12</v>
      </c>
      <c r="E396" s="4">
        <v>53</v>
      </c>
      <c r="F396" s="4" t="s">
        <v>67</v>
      </c>
      <c r="G396" s="4" t="s">
        <v>665</v>
      </c>
      <c r="H396" s="4" t="s">
        <v>15</v>
      </c>
      <c r="I396" s="4" t="s">
        <v>671</v>
      </c>
      <c r="J396" s="4" t="s">
        <v>672</v>
      </c>
      <c r="K396" s="4" t="s">
        <v>66</v>
      </c>
      <c r="L396" s="4" t="s">
        <v>3743</v>
      </c>
      <c r="M396" s="4" t="s">
        <v>3746</v>
      </c>
      <c r="N396" s="4" t="s">
        <v>3747</v>
      </c>
      <c r="O396" s="17">
        <f>INDEX('список ID из СУЭ с должностями'!$A:$F,MATCH(E396,'список ID из СУЭ с должностями'!$B:$B,0),5)</f>
        <v>0</v>
      </c>
    </row>
    <row r="397" spans="1:15" ht="60">
      <c r="A397" s="3" t="s">
        <v>10</v>
      </c>
      <c r="B397" s="3" t="s">
        <v>11</v>
      </c>
      <c r="C397" s="4">
        <v>2026</v>
      </c>
      <c r="D397" s="5" t="s">
        <v>12</v>
      </c>
      <c r="E397" s="4">
        <v>53</v>
      </c>
      <c r="F397" s="4" t="s">
        <v>67</v>
      </c>
      <c r="G397" s="4" t="s">
        <v>665</v>
      </c>
      <c r="H397" s="4" t="s">
        <v>15</v>
      </c>
      <c r="I397" s="4" t="s">
        <v>673</v>
      </c>
      <c r="J397" s="4" t="s">
        <v>673</v>
      </c>
      <c r="K397" s="4" t="s">
        <v>66</v>
      </c>
      <c r="L397" s="4" t="s">
        <v>3743</v>
      </c>
      <c r="M397" s="4" t="s">
        <v>3746</v>
      </c>
      <c r="N397" s="4" t="s">
        <v>3747</v>
      </c>
      <c r="O397" s="17">
        <f>INDEX('список ID из СУЭ с должностями'!$A:$F,MATCH(E397,'список ID из СУЭ с должностями'!$B:$B,0),5)</f>
        <v>0</v>
      </c>
    </row>
    <row r="398" spans="1:15" ht="60">
      <c r="A398" s="3" t="s">
        <v>10</v>
      </c>
      <c r="B398" s="3" t="s">
        <v>11</v>
      </c>
      <c r="C398" s="4">
        <v>2026</v>
      </c>
      <c r="D398" s="5" t="s">
        <v>12</v>
      </c>
      <c r="E398" s="4">
        <v>53</v>
      </c>
      <c r="F398" s="4" t="s">
        <v>67</v>
      </c>
      <c r="G398" s="4" t="s">
        <v>665</v>
      </c>
      <c r="H398" s="4" t="s">
        <v>15</v>
      </c>
      <c r="I398" s="4" t="s">
        <v>674</v>
      </c>
      <c r="J398" s="4" t="s">
        <v>675</v>
      </c>
      <c r="K398" s="4" t="s">
        <v>66</v>
      </c>
      <c r="L398" s="4" t="s">
        <v>3743</v>
      </c>
      <c r="M398" s="4" t="s">
        <v>3746</v>
      </c>
      <c r="N398" s="4" t="s">
        <v>3747</v>
      </c>
      <c r="O398" s="17">
        <f>INDEX('список ID из СУЭ с должностями'!$A:$F,MATCH(E398,'список ID из СУЭ с должностями'!$B:$B,0),5)</f>
        <v>0</v>
      </c>
    </row>
    <row r="399" spans="1:15" ht="105">
      <c r="A399" s="3" t="s">
        <v>10</v>
      </c>
      <c r="B399" s="3" t="s">
        <v>11</v>
      </c>
      <c r="C399" s="4">
        <v>2026</v>
      </c>
      <c r="D399" s="5" t="s">
        <v>12</v>
      </c>
      <c r="E399" s="4">
        <v>54</v>
      </c>
      <c r="F399" s="4" t="s">
        <v>247</v>
      </c>
      <c r="G399" s="4" t="s">
        <v>158</v>
      </c>
      <c r="H399" s="4" t="s">
        <v>15</v>
      </c>
      <c r="I399" s="4" t="s">
        <v>532</v>
      </c>
      <c r="J399" s="4" t="s">
        <v>676</v>
      </c>
      <c r="K399" s="4" t="s">
        <v>52</v>
      </c>
      <c r="L399" s="4" t="s">
        <v>3743</v>
      </c>
      <c r="M399" s="4" t="s">
        <v>3746</v>
      </c>
      <c r="N399" s="4" t="s">
        <v>3747</v>
      </c>
      <c r="O399" s="17">
        <f>INDEX('список ID из СУЭ с должностями'!$A:$F,MATCH(E399,'список ID из СУЭ с должностями'!$B:$B,0),5)</f>
        <v>0</v>
      </c>
    </row>
    <row r="400" spans="1:15" ht="90">
      <c r="A400" s="3" t="s">
        <v>10</v>
      </c>
      <c r="B400" s="3" t="s">
        <v>11</v>
      </c>
      <c r="C400" s="4">
        <v>2026</v>
      </c>
      <c r="D400" s="5" t="s">
        <v>12</v>
      </c>
      <c r="E400" s="4">
        <v>54</v>
      </c>
      <c r="F400" s="4" t="s">
        <v>247</v>
      </c>
      <c r="G400" s="4" t="s">
        <v>158</v>
      </c>
      <c r="H400" s="4" t="s">
        <v>21</v>
      </c>
      <c r="I400" s="4" t="s">
        <v>155</v>
      </c>
      <c r="J400" s="4" t="s">
        <v>677</v>
      </c>
      <c r="K400" s="4" t="s">
        <v>30</v>
      </c>
      <c r="L400" s="4" t="s">
        <v>3743</v>
      </c>
      <c r="M400" s="4" t="s">
        <v>3746</v>
      </c>
      <c r="N400" s="4" t="s">
        <v>3747</v>
      </c>
      <c r="O400" s="17">
        <f>INDEX('список ID из СУЭ с должностями'!$A:$F,MATCH(E400,'список ID из СУЭ с должностями'!$B:$B,0),5)</f>
        <v>0</v>
      </c>
    </row>
    <row r="401" spans="1:15" ht="45">
      <c r="A401" s="3" t="s">
        <v>10</v>
      </c>
      <c r="B401" s="3" t="s">
        <v>11</v>
      </c>
      <c r="C401" s="4">
        <v>2026</v>
      </c>
      <c r="D401" s="5" t="s">
        <v>12</v>
      </c>
      <c r="E401" s="4">
        <v>54</v>
      </c>
      <c r="F401" s="4" t="s">
        <v>247</v>
      </c>
      <c r="G401" s="4" t="s">
        <v>158</v>
      </c>
      <c r="H401" s="4" t="s">
        <v>15</v>
      </c>
      <c r="I401" s="4" t="s">
        <v>257</v>
      </c>
      <c r="J401" s="4" t="s">
        <v>258</v>
      </c>
      <c r="K401" s="4" t="s">
        <v>52</v>
      </c>
      <c r="L401" s="4" t="s">
        <v>3742</v>
      </c>
      <c r="M401" s="4" t="s">
        <v>3746</v>
      </c>
      <c r="N401" s="4" t="s">
        <v>3747</v>
      </c>
      <c r="O401" s="17">
        <f>INDEX('список ID из СУЭ с должностями'!$A:$F,MATCH(E401,'список ID из СУЭ с должностями'!$B:$B,0),5)</f>
        <v>0</v>
      </c>
    </row>
    <row r="402" spans="1:15" ht="60">
      <c r="A402" s="3" t="s">
        <v>10</v>
      </c>
      <c r="B402" s="3" t="s">
        <v>11</v>
      </c>
      <c r="C402" s="4">
        <v>2026</v>
      </c>
      <c r="D402" s="5" t="s">
        <v>12</v>
      </c>
      <c r="E402" s="4">
        <v>54</v>
      </c>
      <c r="F402" s="4" t="s">
        <v>247</v>
      </c>
      <c r="G402" s="4" t="s">
        <v>158</v>
      </c>
      <c r="H402" s="4" t="s">
        <v>15</v>
      </c>
      <c r="I402" s="4" t="s">
        <v>259</v>
      </c>
      <c r="J402" s="4" t="s">
        <v>260</v>
      </c>
      <c r="K402" s="4" t="s">
        <v>38</v>
      </c>
      <c r="L402" s="4" t="s">
        <v>3743</v>
      </c>
      <c r="M402" s="4" t="s">
        <v>3746</v>
      </c>
      <c r="N402" s="4" t="s">
        <v>3747</v>
      </c>
      <c r="O402" s="17">
        <f>INDEX('список ID из СУЭ с должностями'!$A:$F,MATCH(E402,'список ID из СУЭ с должностями'!$B:$B,0),5)</f>
        <v>0</v>
      </c>
    </row>
    <row r="403" spans="1:15" ht="60">
      <c r="A403" s="3" t="s">
        <v>10</v>
      </c>
      <c r="B403" s="3" t="s">
        <v>11</v>
      </c>
      <c r="C403" s="4">
        <v>2026</v>
      </c>
      <c r="D403" s="5" t="s">
        <v>12</v>
      </c>
      <c r="E403" s="4">
        <v>54</v>
      </c>
      <c r="F403" s="4" t="s">
        <v>247</v>
      </c>
      <c r="G403" s="4" t="s">
        <v>158</v>
      </c>
      <c r="H403" s="4" t="s">
        <v>15</v>
      </c>
      <c r="I403" s="4" t="s">
        <v>163</v>
      </c>
      <c r="J403" s="4" t="s">
        <v>258</v>
      </c>
      <c r="K403" s="4" t="s">
        <v>38</v>
      </c>
      <c r="L403" s="4" t="s">
        <v>3742</v>
      </c>
      <c r="M403" s="4" t="s">
        <v>3746</v>
      </c>
      <c r="N403" s="4" t="s">
        <v>3747</v>
      </c>
      <c r="O403" s="17">
        <f>INDEX('список ID из СУЭ с должностями'!$A:$F,MATCH(E403,'список ID из СУЭ с должностями'!$B:$B,0),5)</f>
        <v>0</v>
      </c>
    </row>
    <row r="404" spans="1:15" ht="45">
      <c r="A404" s="3" t="s">
        <v>10</v>
      </c>
      <c r="B404" s="3" t="s">
        <v>11</v>
      </c>
      <c r="C404" s="4">
        <v>2026</v>
      </c>
      <c r="D404" s="5" t="s">
        <v>12</v>
      </c>
      <c r="E404" s="4">
        <v>54</v>
      </c>
      <c r="F404" s="4" t="s">
        <v>247</v>
      </c>
      <c r="G404" s="4" t="s">
        <v>158</v>
      </c>
      <c r="H404" s="4" t="s">
        <v>15</v>
      </c>
      <c r="I404" s="4" t="s">
        <v>678</v>
      </c>
      <c r="J404" s="4" t="s">
        <v>679</v>
      </c>
      <c r="K404" s="4" t="s">
        <v>52</v>
      </c>
      <c r="L404" s="4" t="s">
        <v>3743</v>
      </c>
      <c r="M404" s="4" t="s">
        <v>3746</v>
      </c>
      <c r="N404" s="4" t="s">
        <v>3747</v>
      </c>
      <c r="O404" s="17">
        <f>INDEX('список ID из СУЭ с должностями'!$A:$F,MATCH(E404,'список ID из СУЭ с должностями'!$B:$B,0),5)</f>
        <v>0</v>
      </c>
    </row>
    <row r="405" spans="1:15" ht="90">
      <c r="A405" s="3" t="s">
        <v>10</v>
      </c>
      <c r="B405" s="3" t="s">
        <v>11</v>
      </c>
      <c r="C405" s="4">
        <v>2026</v>
      </c>
      <c r="D405" s="5" t="s">
        <v>12</v>
      </c>
      <c r="E405" s="4">
        <v>54</v>
      </c>
      <c r="F405" s="4" t="s">
        <v>247</v>
      </c>
      <c r="G405" s="4" t="s">
        <v>158</v>
      </c>
      <c r="H405" s="4" t="s">
        <v>21</v>
      </c>
      <c r="I405" s="4" t="s">
        <v>537</v>
      </c>
      <c r="J405" s="4" t="s">
        <v>680</v>
      </c>
      <c r="K405" s="4" t="s">
        <v>52</v>
      </c>
      <c r="L405" s="4" t="s">
        <v>3743</v>
      </c>
      <c r="M405" s="4" t="s">
        <v>3746</v>
      </c>
      <c r="N405" s="4" t="s">
        <v>3747</v>
      </c>
      <c r="O405" s="17">
        <f>INDEX('список ID из СУЭ с должностями'!$A:$F,MATCH(E405,'список ID из СУЭ с должностями'!$B:$B,0),5)</f>
        <v>0</v>
      </c>
    </row>
    <row r="406" spans="1:15" ht="75">
      <c r="A406" s="3" t="s">
        <v>10</v>
      </c>
      <c r="B406" s="3" t="s">
        <v>11</v>
      </c>
      <c r="C406" s="4">
        <v>2026</v>
      </c>
      <c r="D406" s="5" t="s">
        <v>12</v>
      </c>
      <c r="E406" s="4">
        <v>54</v>
      </c>
      <c r="F406" s="4" t="s">
        <v>247</v>
      </c>
      <c r="G406" s="4" t="s">
        <v>158</v>
      </c>
      <c r="H406" s="4" t="s">
        <v>15</v>
      </c>
      <c r="I406" s="4" t="s">
        <v>223</v>
      </c>
      <c r="J406" s="4" t="s">
        <v>261</v>
      </c>
      <c r="K406" s="4" t="s">
        <v>20</v>
      </c>
      <c r="L406" s="4" t="s">
        <v>3743</v>
      </c>
      <c r="M406" s="4" t="s">
        <v>3746</v>
      </c>
      <c r="N406" s="4" t="s">
        <v>3747</v>
      </c>
      <c r="O406" s="17">
        <f>INDEX('список ID из СУЭ с должностями'!$A:$F,MATCH(E406,'список ID из СУЭ с должностями'!$B:$B,0),5)</f>
        <v>0</v>
      </c>
    </row>
    <row r="407" spans="1:15" ht="120">
      <c r="A407" s="3" t="s">
        <v>10</v>
      </c>
      <c r="B407" s="3" t="s">
        <v>11</v>
      </c>
      <c r="C407" s="4">
        <v>2026</v>
      </c>
      <c r="D407" s="5" t="s">
        <v>12</v>
      </c>
      <c r="E407" s="4">
        <v>54</v>
      </c>
      <c r="F407" s="4" t="s">
        <v>247</v>
      </c>
      <c r="G407" s="4" t="s">
        <v>158</v>
      </c>
      <c r="H407" s="4" t="s">
        <v>15</v>
      </c>
      <c r="I407" s="4" t="s">
        <v>262</v>
      </c>
      <c r="J407" s="4" t="s">
        <v>263</v>
      </c>
      <c r="K407" s="4" t="s">
        <v>35</v>
      </c>
      <c r="L407" s="4" t="s">
        <v>3743</v>
      </c>
      <c r="M407" s="4" t="s">
        <v>3746</v>
      </c>
      <c r="N407" s="4" t="s">
        <v>3747</v>
      </c>
      <c r="O407" s="17">
        <f>INDEX('список ID из СУЭ с должностями'!$A:$F,MATCH(E407,'список ID из СУЭ с должностями'!$B:$B,0),5)</f>
        <v>0</v>
      </c>
    </row>
    <row r="408" spans="1:15" ht="75">
      <c r="A408" s="3" t="s">
        <v>10</v>
      </c>
      <c r="B408" s="3" t="s">
        <v>11</v>
      </c>
      <c r="C408" s="4">
        <v>2026</v>
      </c>
      <c r="D408" s="5" t="s">
        <v>12</v>
      </c>
      <c r="E408" s="4">
        <v>54</v>
      </c>
      <c r="F408" s="4" t="s">
        <v>247</v>
      </c>
      <c r="G408" s="4" t="s">
        <v>158</v>
      </c>
      <c r="H408" s="4" t="s">
        <v>15</v>
      </c>
      <c r="I408" s="4" t="s">
        <v>223</v>
      </c>
      <c r="J408" s="4" t="s">
        <v>681</v>
      </c>
      <c r="K408" s="4" t="s">
        <v>52</v>
      </c>
      <c r="L408" s="4" t="s">
        <v>3743</v>
      </c>
      <c r="M408" s="4" t="s">
        <v>3746</v>
      </c>
      <c r="N408" s="4" t="s">
        <v>3747</v>
      </c>
      <c r="O408" s="17">
        <f>INDEX('список ID из СУЭ с должностями'!$A:$F,MATCH(E408,'список ID из СУЭ с должностями'!$B:$B,0),5)</f>
        <v>0</v>
      </c>
    </row>
    <row r="409" spans="1:15" ht="60">
      <c r="A409" s="3" t="s">
        <v>10</v>
      </c>
      <c r="B409" s="3" t="s">
        <v>11</v>
      </c>
      <c r="C409" s="4">
        <v>2026</v>
      </c>
      <c r="D409" s="5" t="s">
        <v>12</v>
      </c>
      <c r="E409" s="4">
        <v>55</v>
      </c>
      <c r="F409" s="4" t="s">
        <v>193</v>
      </c>
      <c r="G409" s="4" t="s">
        <v>682</v>
      </c>
      <c r="H409" s="4" t="s">
        <v>15</v>
      </c>
      <c r="I409" s="4" t="s">
        <v>609</v>
      </c>
      <c r="J409" s="4" t="s">
        <v>683</v>
      </c>
      <c r="K409" s="4" t="s">
        <v>52</v>
      </c>
      <c r="L409" s="4" t="s">
        <v>3742</v>
      </c>
      <c r="M409" s="4" t="s">
        <v>3746</v>
      </c>
      <c r="N409" s="4" t="s">
        <v>3747</v>
      </c>
      <c r="O409" s="17" t="str">
        <f>INDEX('список ID из СУЭ с должностями'!$A:$F,MATCH(E409,'список ID из СУЭ с должностями'!$B:$B,0),5)</f>
        <v>Инж смены</v>
      </c>
    </row>
    <row r="410" spans="1:15" ht="60">
      <c r="A410" s="3" t="s">
        <v>10</v>
      </c>
      <c r="B410" s="3" t="s">
        <v>11</v>
      </c>
      <c r="C410" s="4">
        <v>2026</v>
      </c>
      <c r="D410" s="5" t="s">
        <v>12</v>
      </c>
      <c r="E410" s="4">
        <v>55</v>
      </c>
      <c r="F410" s="4" t="s">
        <v>193</v>
      </c>
      <c r="G410" s="4" t="s">
        <v>682</v>
      </c>
      <c r="H410" s="4" t="s">
        <v>15</v>
      </c>
      <c r="I410" s="4" t="s">
        <v>603</v>
      </c>
      <c r="J410" s="4" t="s">
        <v>604</v>
      </c>
      <c r="K410" s="4" t="s">
        <v>52</v>
      </c>
      <c r="L410" s="4" t="s">
        <v>3742</v>
      </c>
      <c r="M410" s="4" t="s">
        <v>3746</v>
      </c>
      <c r="N410" s="4" t="s">
        <v>3747</v>
      </c>
      <c r="O410" s="17" t="str">
        <f>INDEX('список ID из СУЭ с должностями'!$A:$F,MATCH(E410,'список ID из СУЭ с должностями'!$B:$B,0),5)</f>
        <v>Инж смены</v>
      </c>
    </row>
    <row r="411" spans="1:15" ht="60">
      <c r="A411" s="3" t="s">
        <v>10</v>
      </c>
      <c r="B411" s="3" t="s">
        <v>11</v>
      </c>
      <c r="C411" s="4">
        <v>2026</v>
      </c>
      <c r="D411" s="5" t="s">
        <v>12</v>
      </c>
      <c r="E411" s="4">
        <v>55</v>
      </c>
      <c r="F411" s="4" t="s">
        <v>193</v>
      </c>
      <c r="G411" s="4" t="s">
        <v>682</v>
      </c>
      <c r="H411" s="4" t="s">
        <v>15</v>
      </c>
      <c r="I411" s="4" t="s">
        <v>601</v>
      </c>
      <c r="J411" s="4" t="s">
        <v>602</v>
      </c>
      <c r="K411" s="4" t="s">
        <v>52</v>
      </c>
      <c r="L411" s="4" t="s">
        <v>3742</v>
      </c>
      <c r="M411" s="4" t="s">
        <v>3746</v>
      </c>
      <c r="N411" s="4" t="s">
        <v>3747</v>
      </c>
      <c r="O411" s="17" t="str">
        <f>INDEX('список ID из СУЭ с должностями'!$A:$F,MATCH(E411,'список ID из СУЭ с должностями'!$B:$B,0),5)</f>
        <v>Инж смены</v>
      </c>
    </row>
    <row r="412" spans="1:15" ht="60">
      <c r="A412" s="3" t="s">
        <v>10</v>
      </c>
      <c r="B412" s="3" t="s">
        <v>11</v>
      </c>
      <c r="C412" s="4">
        <v>2026</v>
      </c>
      <c r="D412" s="5" t="s">
        <v>12</v>
      </c>
      <c r="E412" s="4">
        <v>55</v>
      </c>
      <c r="F412" s="4" t="s">
        <v>193</v>
      </c>
      <c r="G412" s="4" t="s">
        <v>682</v>
      </c>
      <c r="H412" s="4" t="s">
        <v>15</v>
      </c>
      <c r="I412" s="4" t="s">
        <v>605</v>
      </c>
      <c r="J412" s="4" t="s">
        <v>685</v>
      </c>
      <c r="K412" s="4" t="s">
        <v>52</v>
      </c>
      <c r="L412" s="4" t="s">
        <v>3742</v>
      </c>
      <c r="M412" s="4" t="s">
        <v>3746</v>
      </c>
      <c r="N412" s="4" t="s">
        <v>3747</v>
      </c>
      <c r="O412" s="17" t="str">
        <f>INDEX('список ID из СУЭ с должностями'!$A:$F,MATCH(E412,'список ID из СУЭ с должностями'!$B:$B,0),5)</f>
        <v>Инж смены</v>
      </c>
    </row>
    <row r="413" spans="1:15" ht="60">
      <c r="A413" s="3" t="s">
        <v>10</v>
      </c>
      <c r="B413" s="3" t="s">
        <v>11</v>
      </c>
      <c r="C413" s="4">
        <v>2026</v>
      </c>
      <c r="D413" s="5" t="s">
        <v>12</v>
      </c>
      <c r="E413" s="4">
        <v>55</v>
      </c>
      <c r="F413" s="4" t="s">
        <v>193</v>
      </c>
      <c r="G413" s="4" t="s">
        <v>682</v>
      </c>
      <c r="H413" s="4" t="s">
        <v>15</v>
      </c>
      <c r="I413" s="4" t="s">
        <v>611</v>
      </c>
      <c r="J413" s="4" t="s">
        <v>686</v>
      </c>
      <c r="K413" s="4" t="s">
        <v>52</v>
      </c>
      <c r="L413" s="4" t="s">
        <v>3742</v>
      </c>
      <c r="M413" s="4" t="s">
        <v>3746</v>
      </c>
      <c r="N413" s="4" t="s">
        <v>3747</v>
      </c>
      <c r="O413" s="17" t="str">
        <f>INDEX('список ID из СУЭ с должностями'!$A:$F,MATCH(E413,'список ID из СУЭ с должностями'!$B:$B,0),5)</f>
        <v>Инж смены</v>
      </c>
    </row>
    <row r="414" spans="1:15" ht="60">
      <c r="A414" s="3" t="s">
        <v>10</v>
      </c>
      <c r="B414" s="3" t="s">
        <v>11</v>
      </c>
      <c r="C414" s="4">
        <v>2026</v>
      </c>
      <c r="D414" s="5" t="s">
        <v>12</v>
      </c>
      <c r="E414" s="4">
        <v>55</v>
      </c>
      <c r="F414" s="4" t="s">
        <v>193</v>
      </c>
      <c r="G414" s="4" t="s">
        <v>682</v>
      </c>
      <c r="H414" s="4" t="s">
        <v>15</v>
      </c>
      <c r="I414" s="4" t="s">
        <v>607</v>
      </c>
      <c r="J414" s="4" t="s">
        <v>608</v>
      </c>
      <c r="K414" s="4" t="s">
        <v>52</v>
      </c>
      <c r="L414" s="4" t="s">
        <v>3742</v>
      </c>
      <c r="M414" s="4" t="s">
        <v>3746</v>
      </c>
      <c r="N414" s="4" t="s">
        <v>3747</v>
      </c>
      <c r="O414" s="17" t="str">
        <f>INDEX('список ID из СУЭ с должностями'!$A:$F,MATCH(E414,'список ID из СУЭ с должностями'!$B:$B,0),5)</f>
        <v>Инж смены</v>
      </c>
    </row>
    <row r="415" spans="1:15" ht="75">
      <c r="A415" s="3" t="s">
        <v>10</v>
      </c>
      <c r="B415" s="3" t="s">
        <v>11</v>
      </c>
      <c r="C415" s="4">
        <v>2026</v>
      </c>
      <c r="D415" s="5" t="s">
        <v>12</v>
      </c>
      <c r="E415" s="4">
        <v>56</v>
      </c>
      <c r="F415" s="4" t="s">
        <v>687</v>
      </c>
      <c r="G415" s="4" t="s">
        <v>558</v>
      </c>
      <c r="H415" s="4" t="s">
        <v>15</v>
      </c>
      <c r="I415" s="4" t="s">
        <v>35</v>
      </c>
      <c r="J415" s="4">
        <v>0</v>
      </c>
      <c r="K415" s="4" t="s">
        <v>35</v>
      </c>
      <c r="L415" s="4" t="s">
        <v>3743</v>
      </c>
      <c r="M415" s="4" t="s">
        <v>3746</v>
      </c>
      <c r="N415" s="4" t="s">
        <v>3747</v>
      </c>
      <c r="O415" s="17">
        <f>INDEX('список ID из СУЭ с должностями'!$A:$F,MATCH(E415,'список ID из СУЭ с должностями'!$B:$B,0),5)</f>
        <v>0</v>
      </c>
    </row>
    <row r="416" spans="1:15" ht="75">
      <c r="A416" s="3" t="s">
        <v>10</v>
      </c>
      <c r="B416" s="3" t="s">
        <v>11</v>
      </c>
      <c r="C416" s="4">
        <v>2026</v>
      </c>
      <c r="D416" s="5" t="s">
        <v>12</v>
      </c>
      <c r="E416" s="4">
        <v>56</v>
      </c>
      <c r="F416" s="4" t="s">
        <v>687</v>
      </c>
      <c r="G416" s="4" t="s">
        <v>558</v>
      </c>
      <c r="H416" s="4" t="s">
        <v>15</v>
      </c>
      <c r="I416" s="4" t="s">
        <v>188</v>
      </c>
      <c r="J416" s="4">
        <v>0</v>
      </c>
      <c r="K416" s="4" t="s">
        <v>188</v>
      </c>
      <c r="L416" s="4" t="s">
        <v>3743</v>
      </c>
      <c r="M416" s="4" t="s">
        <v>3746</v>
      </c>
      <c r="N416" s="4" t="s">
        <v>3747</v>
      </c>
      <c r="O416" s="17">
        <f>INDEX('список ID из СУЭ с должностями'!$A:$F,MATCH(E416,'список ID из СУЭ с должностями'!$B:$B,0),5)</f>
        <v>0</v>
      </c>
    </row>
    <row r="417" spans="1:15" ht="75">
      <c r="A417" s="3" t="s">
        <v>10</v>
      </c>
      <c r="B417" s="3" t="s">
        <v>11</v>
      </c>
      <c r="C417" s="4">
        <v>2026</v>
      </c>
      <c r="D417" s="5" t="s">
        <v>12</v>
      </c>
      <c r="E417" s="4">
        <v>56</v>
      </c>
      <c r="F417" s="4" t="s">
        <v>687</v>
      </c>
      <c r="G417" s="4" t="s">
        <v>558</v>
      </c>
      <c r="H417" s="4" t="s">
        <v>21</v>
      </c>
      <c r="I417" s="4" t="s">
        <v>559</v>
      </c>
      <c r="J417" s="4" t="s">
        <v>560</v>
      </c>
      <c r="K417" s="4" t="s">
        <v>25</v>
      </c>
      <c r="L417" s="4" t="s">
        <v>3743</v>
      </c>
      <c r="M417" s="4" t="s">
        <v>3746</v>
      </c>
      <c r="N417" s="4" t="s">
        <v>3747</v>
      </c>
      <c r="O417" s="17">
        <f>INDEX('список ID из СУЭ с должностями'!$A:$F,MATCH(E417,'список ID из СУЭ с должностями'!$B:$B,0),5)</f>
        <v>0</v>
      </c>
    </row>
    <row r="418" spans="1:15" ht="75">
      <c r="A418" s="3" t="s">
        <v>10</v>
      </c>
      <c r="B418" s="3" t="s">
        <v>11</v>
      </c>
      <c r="C418" s="4">
        <v>2026</v>
      </c>
      <c r="D418" s="5" t="s">
        <v>12</v>
      </c>
      <c r="E418" s="4">
        <v>56</v>
      </c>
      <c r="F418" s="4" t="s">
        <v>687</v>
      </c>
      <c r="G418" s="4" t="s">
        <v>558</v>
      </c>
      <c r="H418" s="4" t="s">
        <v>15</v>
      </c>
      <c r="I418" s="4" t="s">
        <v>688</v>
      </c>
      <c r="J418" s="4" t="s">
        <v>164</v>
      </c>
      <c r="K418" s="4" t="s">
        <v>52</v>
      </c>
      <c r="L418" s="4" t="s">
        <v>3742</v>
      </c>
      <c r="M418" s="4" t="s">
        <v>3746</v>
      </c>
      <c r="N418" s="4" t="s">
        <v>3747</v>
      </c>
      <c r="O418" s="17">
        <f>INDEX('список ID из СУЭ с должностями'!$A:$F,MATCH(E418,'список ID из СУЭ с должностями'!$B:$B,0),5)</f>
        <v>0</v>
      </c>
    </row>
    <row r="419" spans="1:15" ht="90">
      <c r="A419" s="3" t="s">
        <v>10</v>
      </c>
      <c r="B419" s="3" t="s">
        <v>11</v>
      </c>
      <c r="C419" s="4">
        <v>2026</v>
      </c>
      <c r="D419" s="5" t="s">
        <v>12</v>
      </c>
      <c r="E419" s="4">
        <v>56</v>
      </c>
      <c r="F419" s="4" t="s">
        <v>687</v>
      </c>
      <c r="G419" s="4" t="s">
        <v>558</v>
      </c>
      <c r="H419" s="4" t="s">
        <v>21</v>
      </c>
      <c r="I419" s="4" t="s">
        <v>689</v>
      </c>
      <c r="J419" s="4" t="s">
        <v>690</v>
      </c>
      <c r="K419" s="4" t="s">
        <v>52</v>
      </c>
      <c r="L419" s="4" t="s">
        <v>3743</v>
      </c>
      <c r="M419" s="4" t="s">
        <v>3746</v>
      </c>
      <c r="N419" s="4" t="s">
        <v>3747</v>
      </c>
      <c r="O419" s="17">
        <f>INDEX('список ID из СУЭ с должностями'!$A:$F,MATCH(E419,'список ID из СУЭ с должностями'!$B:$B,0),5)</f>
        <v>0</v>
      </c>
    </row>
    <row r="420" spans="1:15" ht="75">
      <c r="A420" s="3" t="s">
        <v>10</v>
      </c>
      <c r="B420" s="3" t="s">
        <v>11</v>
      </c>
      <c r="C420" s="4">
        <v>2026</v>
      </c>
      <c r="D420" s="5" t="s">
        <v>12</v>
      </c>
      <c r="E420" s="4">
        <v>56</v>
      </c>
      <c r="F420" s="4" t="s">
        <v>687</v>
      </c>
      <c r="G420" s="4" t="s">
        <v>558</v>
      </c>
      <c r="H420" s="4" t="s">
        <v>15</v>
      </c>
      <c r="I420" s="4" t="s">
        <v>691</v>
      </c>
      <c r="J420" s="4" t="s">
        <v>692</v>
      </c>
      <c r="K420" s="4" t="s">
        <v>52</v>
      </c>
      <c r="L420" s="4" t="s">
        <v>3743</v>
      </c>
      <c r="M420" s="4" t="s">
        <v>3746</v>
      </c>
      <c r="N420" s="4" t="s">
        <v>3747</v>
      </c>
      <c r="O420" s="17">
        <f>INDEX('список ID из СУЭ с должностями'!$A:$F,MATCH(E420,'список ID из СУЭ с должностями'!$B:$B,0),5)</f>
        <v>0</v>
      </c>
    </row>
    <row r="421" spans="1:15" ht="90">
      <c r="A421" s="3" t="s">
        <v>10</v>
      </c>
      <c r="B421" s="3" t="s">
        <v>11</v>
      </c>
      <c r="C421" s="4">
        <v>2026</v>
      </c>
      <c r="D421" s="5" t="s">
        <v>12</v>
      </c>
      <c r="E421" s="4">
        <v>56</v>
      </c>
      <c r="F421" s="4" t="s">
        <v>687</v>
      </c>
      <c r="G421" s="4" t="s">
        <v>558</v>
      </c>
      <c r="H421" s="4" t="s">
        <v>15</v>
      </c>
      <c r="I421" s="4" t="s">
        <v>693</v>
      </c>
      <c r="J421" s="4" t="s">
        <v>694</v>
      </c>
      <c r="K421" s="4" t="s">
        <v>52</v>
      </c>
      <c r="L421" s="4" t="s">
        <v>3743</v>
      </c>
      <c r="M421" s="4" t="s">
        <v>3746</v>
      </c>
      <c r="N421" s="4" t="s">
        <v>3747</v>
      </c>
      <c r="O421" s="17">
        <f>INDEX('список ID из СУЭ с должностями'!$A:$F,MATCH(E421,'список ID из СУЭ с должностями'!$B:$B,0),5)</f>
        <v>0</v>
      </c>
    </row>
    <row r="422" spans="1:15" ht="105">
      <c r="A422" s="3" t="s">
        <v>10</v>
      </c>
      <c r="B422" s="3" t="s">
        <v>11</v>
      </c>
      <c r="C422" s="4">
        <v>2026</v>
      </c>
      <c r="D422" s="5" t="s">
        <v>12</v>
      </c>
      <c r="E422" s="4">
        <v>57</v>
      </c>
      <c r="F422" s="4" t="s">
        <v>193</v>
      </c>
      <c r="G422" s="4" t="s">
        <v>598</v>
      </c>
      <c r="H422" s="4" t="s">
        <v>15</v>
      </c>
      <c r="I422" s="4" t="s">
        <v>695</v>
      </c>
      <c r="J422" s="4" t="s">
        <v>696</v>
      </c>
      <c r="K422" s="4" t="s">
        <v>23</v>
      </c>
      <c r="L422" s="4" t="s">
        <v>3743</v>
      </c>
      <c r="M422" s="4" t="s">
        <v>3748</v>
      </c>
      <c r="N422" s="4" t="s">
        <v>3749</v>
      </c>
      <c r="O422" s="17" t="str">
        <f>INDEX('список ID из СУЭ с должностями'!$A:$F,MATCH(E422,'список ID из СУЭ с должностями'!$B:$B,0),5)</f>
        <v>Инж смены</v>
      </c>
    </row>
    <row r="423" spans="1:15" ht="45">
      <c r="A423" s="3" t="s">
        <v>10</v>
      </c>
      <c r="B423" s="3" t="s">
        <v>11</v>
      </c>
      <c r="C423" s="4">
        <v>2026</v>
      </c>
      <c r="D423" s="5" t="s">
        <v>12</v>
      </c>
      <c r="E423" s="4">
        <v>57</v>
      </c>
      <c r="F423" s="4" t="s">
        <v>193</v>
      </c>
      <c r="G423" s="4" t="s">
        <v>598</v>
      </c>
      <c r="H423" s="4" t="s">
        <v>15</v>
      </c>
      <c r="I423" s="4" t="s">
        <v>48</v>
      </c>
      <c r="J423" s="4" t="s">
        <v>697</v>
      </c>
      <c r="K423" s="4" t="s">
        <v>35</v>
      </c>
      <c r="L423" s="4" t="s">
        <v>3743</v>
      </c>
      <c r="M423" s="4" t="s">
        <v>3746</v>
      </c>
      <c r="N423" s="4" t="s">
        <v>3747</v>
      </c>
      <c r="O423" s="17" t="str">
        <f>INDEX('список ID из СУЭ с должностями'!$A:$F,MATCH(E423,'список ID из СУЭ с должностями'!$B:$B,0),5)</f>
        <v>Инж смены</v>
      </c>
    </row>
    <row r="424" spans="1:15" ht="45">
      <c r="A424" s="3" t="s">
        <v>10</v>
      </c>
      <c r="B424" s="3" t="s">
        <v>11</v>
      </c>
      <c r="C424" s="4">
        <v>2026</v>
      </c>
      <c r="D424" s="5" t="s">
        <v>12</v>
      </c>
      <c r="E424" s="4">
        <v>57</v>
      </c>
      <c r="F424" s="4" t="s">
        <v>193</v>
      </c>
      <c r="G424" s="4" t="s">
        <v>598</v>
      </c>
      <c r="H424" s="4" t="s">
        <v>15</v>
      </c>
      <c r="I424" s="4" t="s">
        <v>698</v>
      </c>
      <c r="J424" s="4" t="s">
        <v>699</v>
      </c>
      <c r="K424" s="4" t="s">
        <v>52</v>
      </c>
      <c r="L424" s="4" t="s">
        <v>3743</v>
      </c>
      <c r="M424" s="4" t="s">
        <v>3746</v>
      </c>
      <c r="N424" s="4" t="s">
        <v>3747</v>
      </c>
      <c r="O424" s="17" t="str">
        <f>INDEX('список ID из СУЭ с должностями'!$A:$F,MATCH(E424,'список ID из СУЭ с должностями'!$B:$B,0),5)</f>
        <v>Инж смены</v>
      </c>
    </row>
    <row r="425" spans="1:15" ht="45">
      <c r="A425" s="3" t="s">
        <v>10</v>
      </c>
      <c r="B425" s="3" t="s">
        <v>11</v>
      </c>
      <c r="C425" s="4">
        <v>2026</v>
      </c>
      <c r="D425" s="5" t="s">
        <v>12</v>
      </c>
      <c r="E425" s="4">
        <v>57</v>
      </c>
      <c r="F425" s="4" t="s">
        <v>193</v>
      </c>
      <c r="G425" s="4" t="s">
        <v>598</v>
      </c>
      <c r="H425" s="4" t="s">
        <v>15</v>
      </c>
      <c r="I425" s="4" t="s">
        <v>700</v>
      </c>
      <c r="J425" s="4">
        <v>0</v>
      </c>
      <c r="K425" s="4" t="s">
        <v>66</v>
      </c>
      <c r="L425" s="4" t="s">
        <v>3743</v>
      </c>
      <c r="M425" s="4" t="s">
        <v>3746</v>
      </c>
      <c r="N425" s="4" t="s">
        <v>3747</v>
      </c>
      <c r="O425" s="17" t="str">
        <f>INDEX('список ID из СУЭ с должностями'!$A:$F,MATCH(E425,'список ID из СУЭ с должностями'!$B:$B,0),5)</f>
        <v>Инж смены</v>
      </c>
    </row>
    <row r="426" spans="1:15" ht="90">
      <c r="A426" s="3" t="s">
        <v>10</v>
      </c>
      <c r="B426" s="3" t="s">
        <v>11</v>
      </c>
      <c r="C426" s="4">
        <v>2026</v>
      </c>
      <c r="D426" s="5" t="s">
        <v>12</v>
      </c>
      <c r="E426" s="4">
        <v>57</v>
      </c>
      <c r="F426" s="4" t="s">
        <v>193</v>
      </c>
      <c r="G426" s="4" t="s">
        <v>598</v>
      </c>
      <c r="H426" s="4" t="s">
        <v>15</v>
      </c>
      <c r="I426" s="4" t="s">
        <v>46</v>
      </c>
      <c r="J426" s="4" t="s">
        <v>701</v>
      </c>
      <c r="K426" s="4" t="s">
        <v>20</v>
      </c>
      <c r="L426" s="4" t="s">
        <v>3743</v>
      </c>
      <c r="M426" s="4" t="s">
        <v>3746</v>
      </c>
      <c r="N426" s="4" t="s">
        <v>3747</v>
      </c>
      <c r="O426" s="17" t="str">
        <f>INDEX('список ID из СУЭ с должностями'!$A:$F,MATCH(E426,'список ID из СУЭ с должностями'!$B:$B,0),5)</f>
        <v>Инж смены</v>
      </c>
    </row>
    <row r="427" spans="1:15" ht="60">
      <c r="A427" s="3" t="s">
        <v>10</v>
      </c>
      <c r="B427" s="3" t="s">
        <v>11</v>
      </c>
      <c r="C427" s="4">
        <v>2026</v>
      </c>
      <c r="D427" s="5" t="s">
        <v>12</v>
      </c>
      <c r="E427" s="4">
        <v>58</v>
      </c>
      <c r="F427" s="4" t="s">
        <v>153</v>
      </c>
      <c r="G427" s="4" t="s">
        <v>205</v>
      </c>
      <c r="H427" s="4" t="s">
        <v>15</v>
      </c>
      <c r="I427" s="4" t="s">
        <v>175</v>
      </c>
      <c r="J427" s="4" t="s">
        <v>662</v>
      </c>
      <c r="K427" s="4" t="s">
        <v>38</v>
      </c>
      <c r="L427" s="4" t="s">
        <v>3743</v>
      </c>
      <c r="M427" s="4" t="s">
        <v>3746</v>
      </c>
      <c r="N427" s="4" t="s">
        <v>3747</v>
      </c>
      <c r="O427" s="17">
        <f>INDEX('список ID из СУЭ с должностями'!$A:$F,MATCH(E427,'список ID из СУЭ с должностями'!$B:$B,0),5)</f>
        <v>0</v>
      </c>
    </row>
    <row r="428" spans="1:15" ht="90">
      <c r="A428" s="3" t="s">
        <v>10</v>
      </c>
      <c r="B428" s="3" t="s">
        <v>11</v>
      </c>
      <c r="C428" s="4">
        <v>2026</v>
      </c>
      <c r="D428" s="5" t="s">
        <v>12</v>
      </c>
      <c r="E428" s="4">
        <v>58</v>
      </c>
      <c r="F428" s="4" t="s">
        <v>153</v>
      </c>
      <c r="G428" s="4" t="s">
        <v>205</v>
      </c>
      <c r="H428" s="4" t="s">
        <v>21</v>
      </c>
      <c r="I428" s="4" t="s">
        <v>155</v>
      </c>
      <c r="J428" s="4" t="s">
        <v>156</v>
      </c>
      <c r="K428" s="4" t="s">
        <v>30</v>
      </c>
      <c r="L428" s="4" t="s">
        <v>3743</v>
      </c>
      <c r="M428" s="4" t="s">
        <v>3746</v>
      </c>
      <c r="N428" s="4" t="s">
        <v>3747</v>
      </c>
      <c r="O428" s="17">
        <f>INDEX('список ID из СУЭ с должностями'!$A:$F,MATCH(E428,'список ID из СУЭ с должностями'!$B:$B,0),5)</f>
        <v>0</v>
      </c>
    </row>
    <row r="429" spans="1:15" ht="75">
      <c r="A429" s="3" t="s">
        <v>10</v>
      </c>
      <c r="B429" s="3" t="s">
        <v>11</v>
      </c>
      <c r="C429" s="4">
        <v>2026</v>
      </c>
      <c r="D429" s="5" t="s">
        <v>12</v>
      </c>
      <c r="E429" s="4">
        <v>58</v>
      </c>
      <c r="F429" s="4" t="s">
        <v>153</v>
      </c>
      <c r="G429" s="4" t="s">
        <v>205</v>
      </c>
      <c r="H429" s="4" t="s">
        <v>15</v>
      </c>
      <c r="I429" s="4" t="s">
        <v>159</v>
      </c>
      <c r="J429" s="4" t="s">
        <v>663</v>
      </c>
      <c r="K429" s="4" t="s">
        <v>20</v>
      </c>
      <c r="L429" s="4" t="s">
        <v>3743</v>
      </c>
      <c r="M429" s="4" t="s">
        <v>3746</v>
      </c>
      <c r="N429" s="4" t="s">
        <v>3747</v>
      </c>
      <c r="O429" s="17">
        <f>INDEX('список ID из СУЭ с должностями'!$A:$F,MATCH(E429,'список ID из СУЭ с должностями'!$B:$B,0),5)</f>
        <v>0</v>
      </c>
    </row>
    <row r="430" spans="1:15" ht="60">
      <c r="A430" s="3" t="s">
        <v>10</v>
      </c>
      <c r="B430" s="3" t="s">
        <v>11</v>
      </c>
      <c r="C430" s="4">
        <v>2026</v>
      </c>
      <c r="D430" s="5" t="s">
        <v>12</v>
      </c>
      <c r="E430" s="4">
        <v>58</v>
      </c>
      <c r="F430" s="4" t="s">
        <v>153</v>
      </c>
      <c r="G430" s="4" t="s">
        <v>205</v>
      </c>
      <c r="H430" s="4" t="s">
        <v>15</v>
      </c>
      <c r="I430" s="4" t="s">
        <v>161</v>
      </c>
      <c r="J430" s="4" t="s">
        <v>664</v>
      </c>
      <c r="K430" s="4" t="s">
        <v>151</v>
      </c>
      <c r="L430" s="4" t="s">
        <v>3743</v>
      </c>
      <c r="M430" s="4" t="s">
        <v>3746</v>
      </c>
      <c r="N430" s="4" t="s">
        <v>3747</v>
      </c>
      <c r="O430" s="17">
        <f>INDEX('список ID из СУЭ с должностями'!$A:$F,MATCH(E430,'список ID из СУЭ с должностями'!$B:$B,0),5)</f>
        <v>0</v>
      </c>
    </row>
    <row r="431" spans="1:15" ht="60">
      <c r="A431" s="3" t="s">
        <v>10</v>
      </c>
      <c r="B431" s="3" t="s">
        <v>11</v>
      </c>
      <c r="C431" s="4">
        <v>2026</v>
      </c>
      <c r="D431" s="5" t="s">
        <v>12</v>
      </c>
      <c r="E431" s="4">
        <v>58</v>
      </c>
      <c r="F431" s="4" t="s">
        <v>153</v>
      </c>
      <c r="G431" s="4" t="s">
        <v>205</v>
      </c>
      <c r="H431" s="4" t="s">
        <v>41</v>
      </c>
      <c r="I431" s="4" t="s">
        <v>165</v>
      </c>
      <c r="J431" s="4" t="s">
        <v>166</v>
      </c>
      <c r="K431" s="4" t="s">
        <v>151</v>
      </c>
      <c r="L431" s="4" t="s">
        <v>3743</v>
      </c>
      <c r="M431" s="4" t="s">
        <v>3746</v>
      </c>
      <c r="N431" s="4" t="s">
        <v>3747</v>
      </c>
      <c r="O431" s="17">
        <f>INDEX('список ID из СУЭ с должностями'!$A:$F,MATCH(E431,'список ID из СУЭ с должностями'!$B:$B,0),5)</f>
        <v>0</v>
      </c>
    </row>
    <row r="432" spans="1:15" ht="105">
      <c r="A432" s="3" t="s">
        <v>10</v>
      </c>
      <c r="B432" s="3" t="s">
        <v>11</v>
      </c>
      <c r="C432" s="4">
        <v>2026</v>
      </c>
      <c r="D432" s="5" t="s">
        <v>12</v>
      </c>
      <c r="E432" s="4">
        <v>58</v>
      </c>
      <c r="F432" s="4" t="s">
        <v>153</v>
      </c>
      <c r="G432" s="4" t="s">
        <v>205</v>
      </c>
      <c r="H432" s="4" t="s">
        <v>15</v>
      </c>
      <c r="I432" s="4" t="s">
        <v>167</v>
      </c>
      <c r="J432" s="4" t="s">
        <v>168</v>
      </c>
      <c r="K432" s="4" t="s">
        <v>20</v>
      </c>
      <c r="L432" s="4" t="s">
        <v>3743</v>
      </c>
      <c r="M432" s="4" t="s">
        <v>3746</v>
      </c>
      <c r="N432" s="4" t="s">
        <v>3747</v>
      </c>
      <c r="O432" s="17">
        <f>INDEX('список ID из СУЭ с должностями'!$A:$F,MATCH(E432,'список ID из СУЭ с должностями'!$B:$B,0),5)</f>
        <v>0</v>
      </c>
    </row>
    <row r="433" spans="1:15" ht="60">
      <c r="A433" s="3" t="s">
        <v>10</v>
      </c>
      <c r="B433" s="3" t="s">
        <v>11</v>
      </c>
      <c r="C433" s="4">
        <v>2026</v>
      </c>
      <c r="D433" s="5" t="s">
        <v>12</v>
      </c>
      <c r="E433" s="4">
        <v>58</v>
      </c>
      <c r="F433" s="4" t="s">
        <v>153</v>
      </c>
      <c r="G433" s="4" t="s">
        <v>205</v>
      </c>
      <c r="H433" s="4" t="s">
        <v>15</v>
      </c>
      <c r="I433" s="4" t="s">
        <v>163</v>
      </c>
      <c r="J433" s="4" t="s">
        <v>164</v>
      </c>
      <c r="K433" s="4" t="s">
        <v>38</v>
      </c>
      <c r="L433" s="4" t="s">
        <v>3742</v>
      </c>
      <c r="M433" s="4" t="s">
        <v>3746</v>
      </c>
      <c r="N433" s="4" t="s">
        <v>3747</v>
      </c>
      <c r="O433" s="17">
        <f>INDEX('список ID из СУЭ с должностями'!$A:$F,MATCH(E433,'список ID из СУЭ с должностями'!$B:$B,0),5)</f>
        <v>0</v>
      </c>
    </row>
    <row r="434" spans="1:15" ht="60">
      <c r="A434" s="3" t="s">
        <v>10</v>
      </c>
      <c r="B434" s="3" t="s">
        <v>11</v>
      </c>
      <c r="C434" s="4">
        <v>2026</v>
      </c>
      <c r="D434" s="5" t="s">
        <v>12</v>
      </c>
      <c r="E434" s="4">
        <v>58</v>
      </c>
      <c r="F434" s="4" t="s">
        <v>153</v>
      </c>
      <c r="G434" s="4" t="s">
        <v>205</v>
      </c>
      <c r="H434" s="4" t="s">
        <v>15</v>
      </c>
      <c r="I434" s="4" t="s">
        <v>169</v>
      </c>
      <c r="J434" s="4" t="s">
        <v>170</v>
      </c>
      <c r="K434" s="4" t="s">
        <v>55</v>
      </c>
      <c r="L434" s="4" t="s">
        <v>3743</v>
      </c>
      <c r="M434" s="4" t="s">
        <v>3746</v>
      </c>
      <c r="N434" s="4" t="s">
        <v>3747</v>
      </c>
      <c r="O434" s="17">
        <f>INDEX('список ID из СУЭ с должностями'!$A:$F,MATCH(E434,'список ID из СУЭ с должностями'!$B:$B,0),5)</f>
        <v>0</v>
      </c>
    </row>
    <row r="435" spans="1:15" ht="90">
      <c r="A435" s="3" t="s">
        <v>10</v>
      </c>
      <c r="B435" s="3" t="s">
        <v>11</v>
      </c>
      <c r="C435" s="4">
        <v>2026</v>
      </c>
      <c r="D435" s="5" t="s">
        <v>12</v>
      </c>
      <c r="E435" s="4">
        <v>58</v>
      </c>
      <c r="F435" s="4" t="s">
        <v>153</v>
      </c>
      <c r="G435" s="4" t="s">
        <v>205</v>
      </c>
      <c r="H435" s="4" t="s">
        <v>21</v>
      </c>
      <c r="I435" s="4" t="s">
        <v>171</v>
      </c>
      <c r="J435" s="4" t="s">
        <v>172</v>
      </c>
      <c r="K435" s="4" t="s">
        <v>35</v>
      </c>
      <c r="L435" s="4" t="s">
        <v>3743</v>
      </c>
      <c r="M435" s="4" t="s">
        <v>3746</v>
      </c>
      <c r="N435" s="4" t="s">
        <v>3747</v>
      </c>
      <c r="O435" s="17">
        <f>INDEX('список ID из СУЭ с должностями'!$A:$F,MATCH(E435,'список ID из СУЭ с должностями'!$B:$B,0),5)</f>
        <v>0</v>
      </c>
    </row>
    <row r="436" spans="1:15" ht="60">
      <c r="A436" s="3" t="s">
        <v>10</v>
      </c>
      <c r="B436" s="3" t="s">
        <v>11</v>
      </c>
      <c r="C436" s="4">
        <v>2026</v>
      </c>
      <c r="D436" s="5" t="s">
        <v>12</v>
      </c>
      <c r="E436" s="4">
        <v>58</v>
      </c>
      <c r="F436" s="4" t="s">
        <v>153</v>
      </c>
      <c r="G436" s="4" t="s">
        <v>205</v>
      </c>
      <c r="H436" s="4" t="s">
        <v>15</v>
      </c>
      <c r="I436" s="4" t="s">
        <v>173</v>
      </c>
      <c r="J436" s="4" t="s">
        <v>174</v>
      </c>
      <c r="K436" s="4" t="s">
        <v>151</v>
      </c>
      <c r="L436" s="4" t="s">
        <v>3743</v>
      </c>
      <c r="M436" s="4" t="s">
        <v>3746</v>
      </c>
      <c r="N436" s="4" t="s">
        <v>3747</v>
      </c>
      <c r="O436" s="17">
        <f>INDEX('список ID из СУЭ с должностями'!$A:$F,MATCH(E436,'список ID из СУЭ с должностями'!$B:$B,0),5)</f>
        <v>0</v>
      </c>
    </row>
    <row r="437" spans="1:15" ht="60">
      <c r="A437" s="3" t="s">
        <v>10</v>
      </c>
      <c r="B437" s="3" t="s">
        <v>11</v>
      </c>
      <c r="C437" s="4">
        <v>2026</v>
      </c>
      <c r="D437" s="5" t="s">
        <v>12</v>
      </c>
      <c r="E437" s="4">
        <v>59</v>
      </c>
      <c r="F437" s="4" t="s">
        <v>153</v>
      </c>
      <c r="G437" s="4" t="s">
        <v>154</v>
      </c>
      <c r="H437" s="4" t="s">
        <v>15</v>
      </c>
      <c r="I437" s="4" t="s">
        <v>702</v>
      </c>
      <c r="J437" s="4" t="s">
        <v>207</v>
      </c>
      <c r="K437" s="4" t="s">
        <v>38</v>
      </c>
      <c r="L437" s="4" t="s">
        <v>3743</v>
      </c>
      <c r="M437" s="4" t="s">
        <v>3746</v>
      </c>
      <c r="N437" s="4" t="s">
        <v>3747</v>
      </c>
      <c r="O437" s="17">
        <f>INDEX('список ID из СУЭ с должностями'!$A:$F,MATCH(E437,'список ID из СУЭ с должностями'!$B:$B,0),5)</f>
        <v>0</v>
      </c>
    </row>
    <row r="438" spans="1:15" ht="90">
      <c r="A438" s="3" t="s">
        <v>10</v>
      </c>
      <c r="B438" s="3" t="s">
        <v>11</v>
      </c>
      <c r="C438" s="4">
        <v>2026</v>
      </c>
      <c r="D438" s="5" t="s">
        <v>12</v>
      </c>
      <c r="E438" s="4">
        <v>59</v>
      </c>
      <c r="F438" s="4" t="s">
        <v>153</v>
      </c>
      <c r="G438" s="4" t="s">
        <v>154</v>
      </c>
      <c r="H438" s="4" t="s">
        <v>15</v>
      </c>
      <c r="I438" s="4" t="s">
        <v>155</v>
      </c>
      <c r="J438" s="4" t="s">
        <v>156</v>
      </c>
      <c r="K438" s="4" t="s">
        <v>30</v>
      </c>
      <c r="L438" s="4" t="s">
        <v>3743</v>
      </c>
      <c r="M438" s="4" t="s">
        <v>3746</v>
      </c>
      <c r="N438" s="4" t="s">
        <v>3747</v>
      </c>
      <c r="O438" s="17">
        <f>INDEX('список ID из СУЭ с должностями'!$A:$F,MATCH(E438,'список ID из СУЭ с должностями'!$B:$B,0),5)</f>
        <v>0</v>
      </c>
    </row>
    <row r="439" spans="1:15" ht="90">
      <c r="A439" s="3" t="s">
        <v>10</v>
      </c>
      <c r="B439" s="3" t="s">
        <v>11</v>
      </c>
      <c r="C439" s="4">
        <v>2026</v>
      </c>
      <c r="D439" s="5" t="s">
        <v>12</v>
      </c>
      <c r="E439" s="4">
        <v>59</v>
      </c>
      <c r="F439" s="4" t="s">
        <v>153</v>
      </c>
      <c r="G439" s="4" t="s">
        <v>154</v>
      </c>
      <c r="H439" s="4" t="s">
        <v>15</v>
      </c>
      <c r="I439" s="4" t="s">
        <v>159</v>
      </c>
      <c r="J439" s="4" t="s">
        <v>213</v>
      </c>
      <c r="K439" s="4" t="s">
        <v>20</v>
      </c>
      <c r="L439" s="4" t="s">
        <v>3743</v>
      </c>
      <c r="M439" s="4" t="s">
        <v>3746</v>
      </c>
      <c r="N439" s="4" t="s">
        <v>3747</v>
      </c>
      <c r="O439" s="17">
        <f>INDEX('список ID из СУЭ с должностями'!$A:$F,MATCH(E439,'список ID из СУЭ с должностями'!$B:$B,0),5)</f>
        <v>0</v>
      </c>
    </row>
    <row r="440" spans="1:15" ht="60">
      <c r="A440" s="3" t="s">
        <v>10</v>
      </c>
      <c r="B440" s="3" t="s">
        <v>11</v>
      </c>
      <c r="C440" s="4">
        <v>2026</v>
      </c>
      <c r="D440" s="5" t="s">
        <v>12</v>
      </c>
      <c r="E440" s="4">
        <v>59</v>
      </c>
      <c r="F440" s="4" t="s">
        <v>153</v>
      </c>
      <c r="G440" s="4" t="s">
        <v>154</v>
      </c>
      <c r="H440" s="4" t="s">
        <v>15</v>
      </c>
      <c r="I440" s="4" t="s">
        <v>161</v>
      </c>
      <c r="J440" s="4" t="s">
        <v>703</v>
      </c>
      <c r="K440" s="4" t="s">
        <v>151</v>
      </c>
      <c r="L440" s="4" t="s">
        <v>3743</v>
      </c>
      <c r="M440" s="4" t="s">
        <v>3746</v>
      </c>
      <c r="N440" s="4" t="s">
        <v>3747</v>
      </c>
      <c r="O440" s="17">
        <f>INDEX('список ID из СУЭ с должностями'!$A:$F,MATCH(E440,'список ID из СУЭ с должностями'!$B:$B,0),5)</f>
        <v>0</v>
      </c>
    </row>
    <row r="441" spans="1:15" ht="60">
      <c r="A441" s="3" t="s">
        <v>10</v>
      </c>
      <c r="B441" s="3" t="s">
        <v>11</v>
      </c>
      <c r="C441" s="4">
        <v>2026</v>
      </c>
      <c r="D441" s="5" t="s">
        <v>12</v>
      </c>
      <c r="E441" s="4">
        <v>59</v>
      </c>
      <c r="F441" s="4" t="s">
        <v>153</v>
      </c>
      <c r="G441" s="4" t="s">
        <v>154</v>
      </c>
      <c r="H441" s="4" t="s">
        <v>41</v>
      </c>
      <c r="I441" s="4" t="s">
        <v>165</v>
      </c>
      <c r="J441" s="4" t="s">
        <v>166</v>
      </c>
      <c r="K441" s="4" t="s">
        <v>151</v>
      </c>
      <c r="L441" s="4" t="s">
        <v>3743</v>
      </c>
      <c r="M441" s="4" t="s">
        <v>3746</v>
      </c>
      <c r="N441" s="4" t="s">
        <v>3747</v>
      </c>
      <c r="O441" s="17">
        <f>INDEX('список ID из СУЭ с должностями'!$A:$F,MATCH(E441,'список ID из СУЭ с должностями'!$B:$B,0),5)</f>
        <v>0</v>
      </c>
    </row>
    <row r="442" spans="1:15" ht="60">
      <c r="A442" s="3" t="s">
        <v>10</v>
      </c>
      <c r="B442" s="3" t="s">
        <v>11</v>
      </c>
      <c r="C442" s="4">
        <v>2026</v>
      </c>
      <c r="D442" s="5" t="s">
        <v>12</v>
      </c>
      <c r="E442" s="4">
        <v>59</v>
      </c>
      <c r="F442" s="4" t="s">
        <v>153</v>
      </c>
      <c r="G442" s="4" t="s">
        <v>154</v>
      </c>
      <c r="H442" s="4" t="s">
        <v>15</v>
      </c>
      <c r="I442" s="4" t="s">
        <v>163</v>
      </c>
      <c r="J442" s="4" t="s">
        <v>164</v>
      </c>
      <c r="K442" s="4" t="s">
        <v>38</v>
      </c>
      <c r="L442" s="4" t="s">
        <v>3742</v>
      </c>
      <c r="M442" s="4" t="s">
        <v>3746</v>
      </c>
      <c r="N442" s="4" t="s">
        <v>3747</v>
      </c>
      <c r="O442" s="17">
        <f>INDEX('список ID из СУЭ с должностями'!$A:$F,MATCH(E442,'список ID из СУЭ с должностями'!$B:$B,0),5)</f>
        <v>0</v>
      </c>
    </row>
    <row r="443" spans="1:15" ht="60">
      <c r="A443" s="3" t="s">
        <v>10</v>
      </c>
      <c r="B443" s="3" t="s">
        <v>11</v>
      </c>
      <c r="C443" s="4">
        <v>2026</v>
      </c>
      <c r="D443" s="5" t="s">
        <v>12</v>
      </c>
      <c r="E443" s="4">
        <v>59</v>
      </c>
      <c r="F443" s="4" t="s">
        <v>153</v>
      </c>
      <c r="G443" s="4" t="s">
        <v>154</v>
      </c>
      <c r="H443" s="4" t="s">
        <v>15</v>
      </c>
      <c r="I443" s="4" t="s">
        <v>169</v>
      </c>
      <c r="J443" s="4" t="s">
        <v>170</v>
      </c>
      <c r="K443" s="4" t="s">
        <v>55</v>
      </c>
      <c r="L443" s="4" t="s">
        <v>3743</v>
      </c>
      <c r="M443" s="4" t="s">
        <v>3746</v>
      </c>
      <c r="N443" s="4" t="s">
        <v>3747</v>
      </c>
      <c r="O443" s="17">
        <f>INDEX('список ID из СУЭ с должностями'!$A:$F,MATCH(E443,'список ID из СУЭ с должностями'!$B:$B,0),5)</f>
        <v>0</v>
      </c>
    </row>
    <row r="444" spans="1:15" ht="135">
      <c r="A444" s="3" t="s">
        <v>10</v>
      </c>
      <c r="B444" s="3" t="s">
        <v>11</v>
      </c>
      <c r="C444" s="4">
        <v>2026</v>
      </c>
      <c r="D444" s="5" t="s">
        <v>12</v>
      </c>
      <c r="E444" s="4">
        <v>59</v>
      </c>
      <c r="F444" s="4" t="s">
        <v>153</v>
      </c>
      <c r="G444" s="4" t="s">
        <v>154</v>
      </c>
      <c r="H444" s="4" t="s">
        <v>15</v>
      </c>
      <c r="I444" s="4" t="s">
        <v>167</v>
      </c>
      <c r="J444" s="4" t="s">
        <v>704</v>
      </c>
      <c r="K444" s="4" t="s">
        <v>20</v>
      </c>
      <c r="L444" s="4" t="s">
        <v>3743</v>
      </c>
      <c r="M444" s="4" t="s">
        <v>3746</v>
      </c>
      <c r="N444" s="4" t="s">
        <v>3747</v>
      </c>
      <c r="O444" s="17">
        <f>INDEX('список ID из СУЭ с должностями'!$A:$F,MATCH(E444,'список ID из СУЭ с должностями'!$B:$B,0),5)</f>
        <v>0</v>
      </c>
    </row>
    <row r="445" spans="1:15" ht="90">
      <c r="A445" s="3" t="s">
        <v>10</v>
      </c>
      <c r="B445" s="3" t="s">
        <v>11</v>
      </c>
      <c r="C445" s="4">
        <v>2026</v>
      </c>
      <c r="D445" s="5" t="s">
        <v>12</v>
      </c>
      <c r="E445" s="4">
        <v>59</v>
      </c>
      <c r="F445" s="4" t="s">
        <v>153</v>
      </c>
      <c r="G445" s="4" t="s">
        <v>154</v>
      </c>
      <c r="H445" s="4" t="s">
        <v>21</v>
      </c>
      <c r="I445" s="4" t="s">
        <v>171</v>
      </c>
      <c r="J445" s="4" t="s">
        <v>172</v>
      </c>
      <c r="K445" s="4" t="s">
        <v>35</v>
      </c>
      <c r="L445" s="4" t="s">
        <v>3743</v>
      </c>
      <c r="M445" s="4" t="s">
        <v>3746</v>
      </c>
      <c r="N445" s="4" t="s">
        <v>3747</v>
      </c>
      <c r="O445" s="17">
        <f>INDEX('список ID из СУЭ с должностями'!$A:$F,MATCH(E445,'список ID из СУЭ с должностями'!$B:$B,0),5)</f>
        <v>0</v>
      </c>
    </row>
    <row r="446" spans="1:15" ht="60">
      <c r="A446" s="3" t="s">
        <v>10</v>
      </c>
      <c r="B446" s="3" t="s">
        <v>11</v>
      </c>
      <c r="C446" s="4">
        <v>2026</v>
      </c>
      <c r="D446" s="5" t="s">
        <v>12</v>
      </c>
      <c r="E446" s="4">
        <v>59</v>
      </c>
      <c r="F446" s="4" t="s">
        <v>153</v>
      </c>
      <c r="G446" s="4" t="s">
        <v>154</v>
      </c>
      <c r="H446" s="4" t="s">
        <v>15</v>
      </c>
      <c r="I446" s="4" t="s">
        <v>705</v>
      </c>
      <c r="J446" s="4" t="s">
        <v>211</v>
      </c>
      <c r="K446" s="4" t="s">
        <v>151</v>
      </c>
      <c r="L446" s="4" t="s">
        <v>3743</v>
      </c>
      <c r="M446" s="4" t="s">
        <v>3746</v>
      </c>
      <c r="N446" s="4" t="s">
        <v>3747</v>
      </c>
      <c r="O446" s="17">
        <f>INDEX('список ID из СУЭ с должностями'!$A:$F,MATCH(E446,'список ID из СУЭ с должностями'!$B:$B,0),5)</f>
        <v>0</v>
      </c>
    </row>
    <row r="447" spans="1:15" ht="60">
      <c r="A447" s="3" t="s">
        <v>10</v>
      </c>
      <c r="B447" s="3" t="s">
        <v>11</v>
      </c>
      <c r="C447" s="4">
        <v>2026</v>
      </c>
      <c r="D447" s="5" t="s">
        <v>12</v>
      </c>
      <c r="E447" s="4">
        <v>60</v>
      </c>
      <c r="F447" s="4" t="s">
        <v>67</v>
      </c>
      <c r="G447" s="4" t="s">
        <v>706</v>
      </c>
      <c r="H447" s="4" t="s">
        <v>21</v>
      </c>
      <c r="I447" s="4" t="s">
        <v>707</v>
      </c>
      <c r="J447" s="4" t="s">
        <v>708</v>
      </c>
      <c r="K447" s="4" t="s">
        <v>25</v>
      </c>
      <c r="L447" s="4" t="s">
        <v>3742</v>
      </c>
      <c r="M447" s="4" t="s">
        <v>3746</v>
      </c>
      <c r="N447" s="4" t="s">
        <v>3747</v>
      </c>
      <c r="O447" s="17">
        <f>INDEX('список ID из СУЭ с должностями'!$A:$F,MATCH(E447,'список ID из СУЭ с должностями'!$B:$B,0),5)</f>
        <v>0</v>
      </c>
    </row>
    <row r="448" spans="1:15" ht="60">
      <c r="A448" s="3" t="s">
        <v>10</v>
      </c>
      <c r="B448" s="3" t="s">
        <v>11</v>
      </c>
      <c r="C448" s="4">
        <v>2026</v>
      </c>
      <c r="D448" s="5" t="s">
        <v>12</v>
      </c>
      <c r="E448" s="4">
        <v>60</v>
      </c>
      <c r="F448" s="4" t="s">
        <v>67</v>
      </c>
      <c r="G448" s="4" t="s">
        <v>706</v>
      </c>
      <c r="H448" s="4" t="s">
        <v>15</v>
      </c>
      <c r="I448" s="4" t="s">
        <v>709</v>
      </c>
      <c r="J448" s="4" t="s">
        <v>258</v>
      </c>
      <c r="K448" s="4" t="s">
        <v>38</v>
      </c>
      <c r="L448" s="4" t="s">
        <v>3742</v>
      </c>
      <c r="M448" s="4" t="s">
        <v>3746</v>
      </c>
      <c r="N448" s="4" t="s">
        <v>3747</v>
      </c>
      <c r="O448" s="17">
        <f>INDEX('список ID из СУЭ с должностями'!$A:$F,MATCH(E448,'список ID из СУЭ с должностями'!$B:$B,0),5)</f>
        <v>0</v>
      </c>
    </row>
    <row r="449" spans="1:15" ht="60">
      <c r="A449" s="3" t="s">
        <v>10</v>
      </c>
      <c r="B449" s="3" t="s">
        <v>11</v>
      </c>
      <c r="C449" s="4">
        <v>2026</v>
      </c>
      <c r="D449" s="5" t="s">
        <v>12</v>
      </c>
      <c r="E449" s="4">
        <v>60</v>
      </c>
      <c r="F449" s="4" t="s">
        <v>67</v>
      </c>
      <c r="G449" s="4" t="s">
        <v>706</v>
      </c>
      <c r="H449" s="4" t="s">
        <v>15</v>
      </c>
      <c r="I449" s="4" t="s">
        <v>710</v>
      </c>
      <c r="J449" s="4" t="s">
        <v>711</v>
      </c>
      <c r="K449" s="4" t="s">
        <v>38</v>
      </c>
      <c r="L449" s="4" t="s">
        <v>3742</v>
      </c>
      <c r="M449" s="4" t="s">
        <v>3746</v>
      </c>
      <c r="N449" s="4" t="s">
        <v>3747</v>
      </c>
      <c r="O449" s="17">
        <f>INDEX('список ID из СУЭ с должностями'!$A:$F,MATCH(E449,'список ID из СУЭ с должностями'!$B:$B,0),5)</f>
        <v>0</v>
      </c>
    </row>
    <row r="450" spans="1:15" ht="60">
      <c r="A450" s="3" t="s">
        <v>10</v>
      </c>
      <c r="B450" s="3" t="s">
        <v>11</v>
      </c>
      <c r="C450" s="4">
        <v>2026</v>
      </c>
      <c r="D450" s="5" t="s">
        <v>12</v>
      </c>
      <c r="E450" s="4">
        <v>61</v>
      </c>
      <c r="F450" s="4" t="s">
        <v>613</v>
      </c>
      <c r="G450" s="4" t="s">
        <v>614</v>
      </c>
      <c r="H450" s="4" t="s">
        <v>41</v>
      </c>
      <c r="I450" s="4" t="s">
        <v>615</v>
      </c>
      <c r="J450" s="4" t="s">
        <v>616</v>
      </c>
      <c r="K450" s="4" t="s">
        <v>151</v>
      </c>
      <c r="L450" s="4" t="s">
        <v>3743</v>
      </c>
      <c r="M450" s="4" t="s">
        <v>3746</v>
      </c>
      <c r="N450" s="4" t="s">
        <v>3747</v>
      </c>
      <c r="O450" s="17">
        <f>INDEX('список ID из СУЭ с должностями'!$A:$F,MATCH(E450,'список ID из СУЭ с должностями'!$B:$B,0),5)</f>
        <v>0</v>
      </c>
    </row>
    <row r="451" spans="1:15" ht="120">
      <c r="A451" s="3" t="s">
        <v>10</v>
      </c>
      <c r="B451" s="3" t="s">
        <v>11</v>
      </c>
      <c r="C451" s="4">
        <v>2026</v>
      </c>
      <c r="D451" s="5" t="s">
        <v>12</v>
      </c>
      <c r="E451" s="4">
        <v>61</v>
      </c>
      <c r="F451" s="4" t="s">
        <v>613</v>
      </c>
      <c r="G451" s="4" t="s">
        <v>614</v>
      </c>
      <c r="H451" s="4" t="s">
        <v>15</v>
      </c>
      <c r="I451" s="4" t="s">
        <v>617</v>
      </c>
      <c r="J451" s="4" t="s">
        <v>636</v>
      </c>
      <c r="K451" s="4" t="s">
        <v>151</v>
      </c>
      <c r="L451" s="4" t="s">
        <v>3743</v>
      </c>
      <c r="M451" s="4" t="s">
        <v>3746</v>
      </c>
      <c r="N451" s="4" t="s">
        <v>3747</v>
      </c>
      <c r="O451" s="17">
        <f>INDEX('список ID из СУЭ с должностями'!$A:$F,MATCH(E451,'список ID из СУЭ с должностями'!$B:$B,0),5)</f>
        <v>0</v>
      </c>
    </row>
    <row r="452" spans="1:15" ht="60">
      <c r="A452" s="3" t="s">
        <v>10</v>
      </c>
      <c r="B452" s="3" t="s">
        <v>11</v>
      </c>
      <c r="C452" s="4">
        <v>2026</v>
      </c>
      <c r="D452" s="5" t="s">
        <v>12</v>
      </c>
      <c r="E452" s="4">
        <v>61</v>
      </c>
      <c r="F452" s="4" t="s">
        <v>613</v>
      </c>
      <c r="G452" s="4" t="s">
        <v>614</v>
      </c>
      <c r="H452" s="4" t="s">
        <v>15</v>
      </c>
      <c r="I452" s="4" t="s">
        <v>624</v>
      </c>
      <c r="J452" s="4" t="s">
        <v>637</v>
      </c>
      <c r="K452" s="4" t="s">
        <v>151</v>
      </c>
      <c r="L452" s="4" t="s">
        <v>3743</v>
      </c>
      <c r="M452" s="4" t="s">
        <v>3746</v>
      </c>
      <c r="N452" s="4" t="s">
        <v>3747</v>
      </c>
      <c r="O452" s="17">
        <f>INDEX('список ID из СУЭ с должностями'!$A:$F,MATCH(E452,'список ID из СУЭ с должностями'!$B:$B,0),5)</f>
        <v>0</v>
      </c>
    </row>
    <row r="453" spans="1:15" ht="75">
      <c r="A453" s="3" t="s">
        <v>10</v>
      </c>
      <c r="B453" s="3" t="s">
        <v>11</v>
      </c>
      <c r="C453" s="4">
        <v>2026</v>
      </c>
      <c r="D453" s="5" t="s">
        <v>12</v>
      </c>
      <c r="E453" s="4">
        <v>61</v>
      </c>
      <c r="F453" s="4" t="s">
        <v>613</v>
      </c>
      <c r="G453" s="4" t="s">
        <v>614</v>
      </c>
      <c r="H453" s="4" t="s">
        <v>15</v>
      </c>
      <c r="I453" s="4" t="s">
        <v>638</v>
      </c>
      <c r="J453" s="4" t="s">
        <v>639</v>
      </c>
      <c r="K453" s="4" t="s">
        <v>635</v>
      </c>
      <c r="L453" s="4" t="s">
        <v>3743</v>
      </c>
      <c r="M453" s="4" t="s">
        <v>3746</v>
      </c>
      <c r="N453" s="4" t="s">
        <v>3758</v>
      </c>
      <c r="O453" s="17">
        <f>INDEX('список ID из СУЭ с должностями'!$A:$F,MATCH(E453,'список ID из СУЭ с должностями'!$B:$B,0),5)</f>
        <v>0</v>
      </c>
    </row>
    <row r="454" spans="1:15" ht="60">
      <c r="A454" s="3" t="s">
        <v>10</v>
      </c>
      <c r="B454" s="3" t="s">
        <v>11</v>
      </c>
      <c r="C454" s="4">
        <v>2026</v>
      </c>
      <c r="D454" s="5" t="s">
        <v>12</v>
      </c>
      <c r="E454" s="4">
        <v>61</v>
      </c>
      <c r="F454" s="4" t="s">
        <v>613</v>
      </c>
      <c r="G454" s="4" t="s">
        <v>614</v>
      </c>
      <c r="H454" s="4" t="s">
        <v>15</v>
      </c>
      <c r="I454" s="4" t="s">
        <v>622</v>
      </c>
      <c r="J454" s="4" t="s">
        <v>634</v>
      </c>
      <c r="K454" s="4" t="s">
        <v>635</v>
      </c>
      <c r="L454" s="4" t="s">
        <v>3743</v>
      </c>
      <c r="M454" s="4" t="s">
        <v>3746</v>
      </c>
      <c r="N454" s="4" t="s">
        <v>3758</v>
      </c>
      <c r="O454" s="17">
        <f>INDEX('список ID из СУЭ с должностями'!$A:$F,MATCH(E454,'список ID из СУЭ с должностями'!$B:$B,0),5)</f>
        <v>0</v>
      </c>
    </row>
    <row r="455" spans="1:15" ht="75">
      <c r="A455" s="3" t="s">
        <v>10</v>
      </c>
      <c r="B455" s="3" t="s">
        <v>11</v>
      </c>
      <c r="C455" s="4">
        <v>2026</v>
      </c>
      <c r="D455" s="5" t="s">
        <v>12</v>
      </c>
      <c r="E455" s="4">
        <v>61</v>
      </c>
      <c r="F455" s="4" t="s">
        <v>613</v>
      </c>
      <c r="G455" s="4" t="s">
        <v>614</v>
      </c>
      <c r="H455" s="4" t="s">
        <v>15</v>
      </c>
      <c r="I455" s="4" t="s">
        <v>712</v>
      </c>
      <c r="J455" s="4" t="s">
        <v>713</v>
      </c>
      <c r="K455" s="4" t="s">
        <v>35</v>
      </c>
      <c r="L455" s="4" t="s">
        <v>3743</v>
      </c>
      <c r="M455" s="4" t="s">
        <v>3746</v>
      </c>
      <c r="N455" s="4" t="s">
        <v>3747</v>
      </c>
      <c r="O455" s="17">
        <f>INDEX('список ID из СУЭ с должностями'!$A:$F,MATCH(E455,'список ID из СУЭ с должностями'!$B:$B,0),5)</f>
        <v>0</v>
      </c>
    </row>
    <row r="456" spans="1:15" ht="225">
      <c r="A456" s="3" t="s">
        <v>10</v>
      </c>
      <c r="B456" s="3" t="s">
        <v>11</v>
      </c>
      <c r="C456" s="4">
        <v>2026</v>
      </c>
      <c r="D456" s="5" t="s">
        <v>12</v>
      </c>
      <c r="E456" s="4">
        <v>62</v>
      </c>
      <c r="F456" s="4" t="s">
        <v>67</v>
      </c>
      <c r="G456" s="4" t="s">
        <v>614</v>
      </c>
      <c r="H456" s="4" t="s">
        <v>15</v>
      </c>
      <c r="I456" s="4" t="s">
        <v>714</v>
      </c>
      <c r="J456" s="4" t="s">
        <v>715</v>
      </c>
      <c r="K456" s="4" t="s">
        <v>716</v>
      </c>
      <c r="L456" s="4" t="s">
        <v>3743</v>
      </c>
      <c r="M456" s="4" t="s">
        <v>3746</v>
      </c>
      <c r="N456" s="4" t="s">
        <v>3758</v>
      </c>
      <c r="O456" s="17">
        <f>INDEX('список ID из СУЭ с должностями'!$A:$F,MATCH(E456,'список ID из СУЭ с должностями'!$B:$B,0),5)</f>
        <v>0</v>
      </c>
    </row>
    <row r="457" spans="1:15" ht="75">
      <c r="A457" s="3" t="s">
        <v>10</v>
      </c>
      <c r="B457" s="3" t="s">
        <v>11</v>
      </c>
      <c r="C457" s="4">
        <v>2026</v>
      </c>
      <c r="D457" s="5" t="s">
        <v>12</v>
      </c>
      <c r="E457" s="4">
        <v>62</v>
      </c>
      <c r="F457" s="4" t="s">
        <v>67</v>
      </c>
      <c r="G457" s="4" t="s">
        <v>614</v>
      </c>
      <c r="H457" s="4" t="s">
        <v>15</v>
      </c>
      <c r="I457" s="4" t="s">
        <v>717</v>
      </c>
      <c r="J457" s="4" t="s">
        <v>718</v>
      </c>
      <c r="K457" s="4" t="s">
        <v>35</v>
      </c>
      <c r="L457" s="4" t="s">
        <v>3743</v>
      </c>
      <c r="M457" s="4" t="s">
        <v>3746</v>
      </c>
      <c r="N457" s="4" t="s">
        <v>3747</v>
      </c>
      <c r="O457" s="17">
        <f>INDEX('список ID из СУЭ с должностями'!$A:$F,MATCH(E457,'список ID из СУЭ с должностями'!$B:$B,0),5)</f>
        <v>0</v>
      </c>
    </row>
    <row r="458" spans="1:15" ht="240">
      <c r="A458" s="3" t="s">
        <v>10</v>
      </c>
      <c r="B458" s="3" t="s">
        <v>11</v>
      </c>
      <c r="C458" s="4">
        <v>2026</v>
      </c>
      <c r="D458" s="5" t="s">
        <v>12</v>
      </c>
      <c r="E458" s="4">
        <v>62</v>
      </c>
      <c r="F458" s="4" t="s">
        <v>67</v>
      </c>
      <c r="G458" s="4" t="s">
        <v>614</v>
      </c>
      <c r="H458" s="4" t="s">
        <v>15</v>
      </c>
      <c r="I458" s="4" t="s">
        <v>617</v>
      </c>
      <c r="J458" s="4" t="s">
        <v>719</v>
      </c>
      <c r="K458" s="4" t="s">
        <v>619</v>
      </c>
      <c r="L458" s="4" t="s">
        <v>3743</v>
      </c>
      <c r="M458" s="4" t="s">
        <v>3746</v>
      </c>
      <c r="N458" s="4" t="s">
        <v>3758</v>
      </c>
      <c r="O458" s="17">
        <f>INDEX('список ID из СУЭ с должностями'!$A:$F,MATCH(E458,'список ID из СУЭ с должностями'!$B:$B,0),5)</f>
        <v>0</v>
      </c>
    </row>
    <row r="459" spans="1:15" ht="90">
      <c r="A459" s="3" t="s">
        <v>10</v>
      </c>
      <c r="B459" s="3" t="s">
        <v>11</v>
      </c>
      <c r="C459" s="4">
        <v>2026</v>
      </c>
      <c r="D459" s="5" t="s">
        <v>12</v>
      </c>
      <c r="E459" s="4">
        <v>62</v>
      </c>
      <c r="F459" s="4" t="s">
        <v>67</v>
      </c>
      <c r="G459" s="4" t="s">
        <v>614</v>
      </c>
      <c r="H459" s="4" t="s">
        <v>15</v>
      </c>
      <c r="I459" s="4" t="s">
        <v>720</v>
      </c>
      <c r="J459" s="4" t="s">
        <v>721</v>
      </c>
      <c r="K459" s="4" t="s">
        <v>635</v>
      </c>
      <c r="L459" s="4" t="s">
        <v>3743</v>
      </c>
      <c r="M459" s="4" t="s">
        <v>3746</v>
      </c>
      <c r="N459" s="4" t="s">
        <v>3758</v>
      </c>
      <c r="O459" s="17">
        <f>INDEX('список ID из СУЭ с должностями'!$A:$F,MATCH(E459,'список ID из СУЭ с должностями'!$B:$B,0),5)</f>
        <v>0</v>
      </c>
    </row>
    <row r="460" spans="1:15" ht="75">
      <c r="A460" s="3" t="s">
        <v>10</v>
      </c>
      <c r="B460" s="3" t="s">
        <v>11</v>
      </c>
      <c r="C460" s="4">
        <v>2026</v>
      </c>
      <c r="D460" s="5" t="s">
        <v>12</v>
      </c>
      <c r="E460" s="4">
        <v>62</v>
      </c>
      <c r="F460" s="4" t="s">
        <v>67</v>
      </c>
      <c r="G460" s="4" t="s">
        <v>614</v>
      </c>
      <c r="H460" s="4" t="s">
        <v>15</v>
      </c>
      <c r="I460" s="4" t="s">
        <v>624</v>
      </c>
      <c r="J460" s="4" t="s">
        <v>722</v>
      </c>
      <c r="K460" s="4" t="s">
        <v>151</v>
      </c>
      <c r="L460" s="4" t="s">
        <v>3743</v>
      </c>
      <c r="M460" s="4" t="s">
        <v>3746</v>
      </c>
      <c r="N460" s="4" t="s">
        <v>3747</v>
      </c>
      <c r="O460" s="17">
        <f>INDEX('список ID из СУЭ с должностями'!$A:$F,MATCH(E460,'список ID из СУЭ с должностями'!$B:$B,0),5)</f>
        <v>0</v>
      </c>
    </row>
    <row r="461" spans="1:15" ht="135">
      <c r="A461" s="3" t="s">
        <v>10</v>
      </c>
      <c r="B461" s="3" t="s">
        <v>11</v>
      </c>
      <c r="C461" s="4">
        <v>2026</v>
      </c>
      <c r="D461" s="5" t="s">
        <v>12</v>
      </c>
      <c r="E461" s="4">
        <v>62</v>
      </c>
      <c r="F461" s="4" t="s">
        <v>67</v>
      </c>
      <c r="G461" s="4" t="s">
        <v>614</v>
      </c>
      <c r="H461" s="4" t="s">
        <v>15</v>
      </c>
      <c r="I461" s="4" t="s">
        <v>638</v>
      </c>
      <c r="J461" s="4" t="s">
        <v>723</v>
      </c>
      <c r="K461" s="4" t="s">
        <v>635</v>
      </c>
      <c r="L461" s="4" t="s">
        <v>3743</v>
      </c>
      <c r="M461" s="4" t="s">
        <v>3746</v>
      </c>
      <c r="N461" s="4" t="s">
        <v>3758</v>
      </c>
      <c r="O461" s="17">
        <f>INDEX('список ID из СУЭ с должностями'!$A:$F,MATCH(E461,'список ID из СУЭ с должностями'!$B:$B,0),5)</f>
        <v>0</v>
      </c>
    </row>
    <row r="462" spans="1:15" ht="90">
      <c r="A462" s="3" t="s">
        <v>10</v>
      </c>
      <c r="B462" s="3" t="s">
        <v>11</v>
      </c>
      <c r="C462" s="4">
        <v>2026</v>
      </c>
      <c r="D462" s="5" t="s">
        <v>12</v>
      </c>
      <c r="E462" s="4">
        <v>63</v>
      </c>
      <c r="F462" s="4" t="s">
        <v>724</v>
      </c>
      <c r="G462" s="4" t="s">
        <v>725</v>
      </c>
      <c r="H462" s="4" t="s">
        <v>15</v>
      </c>
      <c r="I462" s="4" t="s">
        <v>726</v>
      </c>
      <c r="J462" s="4" t="s">
        <v>182</v>
      </c>
      <c r="K462" s="4" t="s">
        <v>151</v>
      </c>
      <c r="L462" s="4" t="s">
        <v>3742</v>
      </c>
      <c r="M462" s="4" t="s">
        <v>3746</v>
      </c>
      <c r="N462" s="4" t="s">
        <v>3747</v>
      </c>
      <c r="O462" s="17">
        <f>INDEX('список ID из СУЭ с должностями'!$A:$F,MATCH(E462,'список ID из СУЭ с должностями'!$B:$B,0),5)</f>
        <v>0</v>
      </c>
    </row>
    <row r="463" spans="1:15" ht="90">
      <c r="A463" s="3" t="s">
        <v>10</v>
      </c>
      <c r="B463" s="3" t="s">
        <v>11</v>
      </c>
      <c r="C463" s="4">
        <v>2026</v>
      </c>
      <c r="D463" s="5" t="s">
        <v>12</v>
      </c>
      <c r="E463" s="4">
        <v>63</v>
      </c>
      <c r="F463" s="4" t="s">
        <v>724</v>
      </c>
      <c r="G463" s="4" t="s">
        <v>725</v>
      </c>
      <c r="H463" s="4" t="s">
        <v>15</v>
      </c>
      <c r="I463" s="4" t="s">
        <v>728</v>
      </c>
      <c r="J463" s="4" t="s">
        <v>729</v>
      </c>
      <c r="K463" s="4" t="s">
        <v>66</v>
      </c>
      <c r="L463" s="4" t="s">
        <v>3742</v>
      </c>
      <c r="M463" s="4" t="s">
        <v>3746</v>
      </c>
      <c r="N463" s="4" t="s">
        <v>3747</v>
      </c>
      <c r="O463" s="17">
        <f>INDEX('список ID из СУЭ с должностями'!$A:$F,MATCH(E463,'список ID из СУЭ с должностями'!$B:$B,0),5)</f>
        <v>0</v>
      </c>
    </row>
    <row r="464" spans="1:15" ht="90">
      <c r="A464" s="3" t="s">
        <v>10</v>
      </c>
      <c r="B464" s="3" t="s">
        <v>11</v>
      </c>
      <c r="C464" s="4">
        <v>2026</v>
      </c>
      <c r="D464" s="5" t="s">
        <v>12</v>
      </c>
      <c r="E464" s="4">
        <v>63</v>
      </c>
      <c r="F464" s="4" t="s">
        <v>724</v>
      </c>
      <c r="G464" s="4" t="s">
        <v>725</v>
      </c>
      <c r="H464" s="4" t="s">
        <v>15</v>
      </c>
      <c r="I464" s="4" t="s">
        <v>730</v>
      </c>
      <c r="J464" s="4" t="s">
        <v>731</v>
      </c>
      <c r="K464" s="4" t="s">
        <v>151</v>
      </c>
      <c r="L464" s="4" t="s">
        <v>3742</v>
      </c>
      <c r="M464" s="4" t="s">
        <v>3746</v>
      </c>
      <c r="N464" s="4" t="s">
        <v>3747</v>
      </c>
      <c r="O464" s="17">
        <f>INDEX('список ID из СУЭ с должностями'!$A:$F,MATCH(E464,'список ID из СУЭ с должностями'!$B:$B,0),5)</f>
        <v>0</v>
      </c>
    </row>
    <row r="465" spans="1:15" ht="90">
      <c r="A465" s="3" t="s">
        <v>10</v>
      </c>
      <c r="B465" s="3" t="s">
        <v>11</v>
      </c>
      <c r="C465" s="4">
        <v>2026</v>
      </c>
      <c r="D465" s="5" t="s">
        <v>12</v>
      </c>
      <c r="E465" s="4">
        <v>63</v>
      </c>
      <c r="F465" s="4" t="s">
        <v>724</v>
      </c>
      <c r="G465" s="4" t="s">
        <v>725</v>
      </c>
      <c r="H465" s="4" t="s">
        <v>15</v>
      </c>
      <c r="I465" s="4" t="s">
        <v>732</v>
      </c>
      <c r="J465" s="4" t="s">
        <v>182</v>
      </c>
      <c r="K465" s="4" t="s">
        <v>151</v>
      </c>
      <c r="L465" s="4" t="s">
        <v>3742</v>
      </c>
      <c r="M465" s="4" t="s">
        <v>3746</v>
      </c>
      <c r="N465" s="4" t="s">
        <v>3747</v>
      </c>
      <c r="O465" s="17">
        <f>INDEX('список ID из СУЭ с должностями'!$A:$F,MATCH(E465,'список ID из СУЭ с должностями'!$B:$B,0),5)</f>
        <v>0</v>
      </c>
    </row>
    <row r="466" spans="1:15" ht="90">
      <c r="A466" s="3" t="s">
        <v>10</v>
      </c>
      <c r="B466" s="3" t="s">
        <v>11</v>
      </c>
      <c r="C466" s="4">
        <v>2026</v>
      </c>
      <c r="D466" s="5" t="s">
        <v>12</v>
      </c>
      <c r="E466" s="4">
        <v>63</v>
      </c>
      <c r="F466" s="4" t="s">
        <v>724</v>
      </c>
      <c r="G466" s="4" t="s">
        <v>725</v>
      </c>
      <c r="H466" s="4" t="s">
        <v>15</v>
      </c>
      <c r="I466" s="4" t="s">
        <v>733</v>
      </c>
      <c r="J466" s="4" t="s">
        <v>733</v>
      </c>
      <c r="K466" s="4" t="s">
        <v>52</v>
      </c>
      <c r="L466" s="4" t="s">
        <v>3743</v>
      </c>
      <c r="M466" s="4" t="s">
        <v>3746</v>
      </c>
      <c r="N466" s="4" t="s">
        <v>3747</v>
      </c>
      <c r="O466" s="17">
        <f>INDEX('список ID из СУЭ с должностями'!$A:$F,MATCH(E466,'список ID из СУЭ с должностями'!$B:$B,0),5)</f>
        <v>0</v>
      </c>
    </row>
    <row r="467" spans="1:15" ht="90">
      <c r="A467" s="3" t="s">
        <v>10</v>
      </c>
      <c r="B467" s="3" t="s">
        <v>11</v>
      </c>
      <c r="C467" s="4">
        <v>2026</v>
      </c>
      <c r="D467" s="5" t="s">
        <v>12</v>
      </c>
      <c r="E467" s="4">
        <v>63</v>
      </c>
      <c r="F467" s="4" t="s">
        <v>724</v>
      </c>
      <c r="G467" s="4" t="s">
        <v>725</v>
      </c>
      <c r="H467" s="4" t="s">
        <v>15</v>
      </c>
      <c r="I467" s="4" t="s">
        <v>734</v>
      </c>
      <c r="J467" s="4" t="s">
        <v>182</v>
      </c>
      <c r="K467" s="4" t="s">
        <v>23</v>
      </c>
      <c r="L467" s="4" t="s">
        <v>3742</v>
      </c>
      <c r="M467" s="4" t="s">
        <v>3748</v>
      </c>
      <c r="N467" s="4" t="s">
        <v>3752</v>
      </c>
      <c r="O467" s="17">
        <f>INDEX('список ID из СУЭ с должностями'!$A:$F,MATCH(E467,'список ID из СУЭ с должностями'!$B:$B,0),5)</f>
        <v>0</v>
      </c>
    </row>
    <row r="468" spans="1:15" ht="90">
      <c r="A468" s="3" t="s">
        <v>10</v>
      </c>
      <c r="B468" s="3" t="s">
        <v>11</v>
      </c>
      <c r="C468" s="4">
        <v>2026</v>
      </c>
      <c r="D468" s="5" t="s">
        <v>12</v>
      </c>
      <c r="E468" s="4">
        <v>63</v>
      </c>
      <c r="F468" s="4" t="s">
        <v>724</v>
      </c>
      <c r="G468" s="4" t="s">
        <v>725</v>
      </c>
      <c r="H468" s="4" t="s">
        <v>15</v>
      </c>
      <c r="I468" s="4" t="s">
        <v>735</v>
      </c>
      <c r="J468" s="4" t="s">
        <v>132</v>
      </c>
      <c r="K468" s="4" t="s">
        <v>52</v>
      </c>
      <c r="L468" s="4" t="s">
        <v>3742</v>
      </c>
      <c r="M468" s="4" t="s">
        <v>3746</v>
      </c>
      <c r="N468" s="4" t="s">
        <v>3747</v>
      </c>
      <c r="O468" s="17">
        <f>INDEX('список ID из СУЭ с должностями'!$A:$F,MATCH(E468,'список ID из СУЭ с должностями'!$B:$B,0),5)</f>
        <v>0</v>
      </c>
    </row>
    <row r="469" spans="1:15" ht="90">
      <c r="A469" s="3" t="s">
        <v>10</v>
      </c>
      <c r="B469" s="3" t="s">
        <v>11</v>
      </c>
      <c r="C469" s="4">
        <v>2026</v>
      </c>
      <c r="D469" s="5" t="s">
        <v>12</v>
      </c>
      <c r="E469" s="4">
        <v>63</v>
      </c>
      <c r="F469" s="4" t="s">
        <v>724</v>
      </c>
      <c r="G469" s="4" t="s">
        <v>725</v>
      </c>
      <c r="H469" s="4" t="s">
        <v>15</v>
      </c>
      <c r="I469" s="4" t="s">
        <v>736</v>
      </c>
      <c r="J469" s="4" t="s">
        <v>737</v>
      </c>
      <c r="K469" s="4" t="s">
        <v>52</v>
      </c>
      <c r="L469" s="4" t="s">
        <v>3743</v>
      </c>
      <c r="M469" s="4" t="s">
        <v>3746</v>
      </c>
      <c r="N469" s="4" t="s">
        <v>3747</v>
      </c>
      <c r="O469" s="17">
        <f>INDEX('список ID из СУЭ с должностями'!$A:$F,MATCH(E469,'список ID из СУЭ с должностями'!$B:$B,0),5)</f>
        <v>0</v>
      </c>
    </row>
    <row r="470" spans="1:15" ht="90">
      <c r="A470" s="3" t="s">
        <v>10</v>
      </c>
      <c r="B470" s="3" t="s">
        <v>11</v>
      </c>
      <c r="C470" s="4">
        <v>2026</v>
      </c>
      <c r="D470" s="5" t="s">
        <v>12</v>
      </c>
      <c r="E470" s="4">
        <v>63</v>
      </c>
      <c r="F470" s="4" t="s">
        <v>724</v>
      </c>
      <c r="G470" s="4" t="s">
        <v>725</v>
      </c>
      <c r="H470" s="4" t="s">
        <v>15</v>
      </c>
      <c r="I470" s="4" t="s">
        <v>738</v>
      </c>
      <c r="J470" s="4" t="s">
        <v>739</v>
      </c>
      <c r="K470" s="4" t="s">
        <v>25</v>
      </c>
      <c r="L470" s="4" t="s">
        <v>3742</v>
      </c>
      <c r="M470" s="4" t="s">
        <v>3746</v>
      </c>
      <c r="N470" s="4" t="s">
        <v>3747</v>
      </c>
      <c r="O470" s="17">
        <f>INDEX('список ID из СУЭ с должностями'!$A:$F,MATCH(E470,'список ID из СУЭ с должностями'!$B:$B,0),5)</f>
        <v>0</v>
      </c>
    </row>
    <row r="471" spans="1:15" ht="90">
      <c r="A471" s="3" t="s">
        <v>10</v>
      </c>
      <c r="B471" s="3" t="s">
        <v>11</v>
      </c>
      <c r="C471" s="4">
        <v>2026</v>
      </c>
      <c r="D471" s="5" t="s">
        <v>12</v>
      </c>
      <c r="E471" s="4">
        <v>63</v>
      </c>
      <c r="F471" s="4" t="s">
        <v>724</v>
      </c>
      <c r="G471" s="4" t="s">
        <v>725</v>
      </c>
      <c r="H471" s="4" t="s">
        <v>15</v>
      </c>
      <c r="I471" s="4" t="s">
        <v>740</v>
      </c>
      <c r="J471" s="4" t="s">
        <v>741</v>
      </c>
      <c r="K471" s="4" t="s">
        <v>35</v>
      </c>
      <c r="L471" s="4" t="s">
        <v>3743</v>
      </c>
      <c r="M471" s="4" t="s">
        <v>3746</v>
      </c>
      <c r="N471" s="4" t="s">
        <v>3747</v>
      </c>
      <c r="O471" s="17">
        <f>INDEX('список ID из СУЭ с должностями'!$A:$F,MATCH(E471,'список ID из СУЭ с должностями'!$B:$B,0),5)</f>
        <v>0</v>
      </c>
    </row>
    <row r="472" spans="1:15" ht="75">
      <c r="A472" s="3" t="s">
        <v>10</v>
      </c>
      <c r="B472" s="3" t="s">
        <v>11</v>
      </c>
      <c r="C472" s="4">
        <v>2026</v>
      </c>
      <c r="D472" s="5" t="s">
        <v>12</v>
      </c>
      <c r="E472" s="4">
        <v>64</v>
      </c>
      <c r="F472" s="4" t="s">
        <v>67</v>
      </c>
      <c r="G472" s="4" t="s">
        <v>511</v>
      </c>
      <c r="H472" s="4" t="s">
        <v>21</v>
      </c>
      <c r="I472" s="4" t="s">
        <v>742</v>
      </c>
      <c r="J472" s="4" t="s">
        <v>743</v>
      </c>
      <c r="K472" s="4" t="s">
        <v>744</v>
      </c>
      <c r="L472" s="4" t="s">
        <v>3743</v>
      </c>
      <c r="M472" s="4" t="s">
        <v>3750</v>
      </c>
      <c r="N472" s="4" t="s">
        <v>3759</v>
      </c>
      <c r="O472" s="17">
        <f>INDEX('список ID из СУЭ с должностями'!$A:$F,MATCH(E472,'список ID из СУЭ с должностями'!$B:$B,0),5)</f>
        <v>0</v>
      </c>
    </row>
    <row r="473" spans="1:15" ht="75">
      <c r="A473" s="3" t="s">
        <v>10</v>
      </c>
      <c r="B473" s="3" t="s">
        <v>11</v>
      </c>
      <c r="C473" s="4">
        <v>2026</v>
      </c>
      <c r="D473" s="5" t="s">
        <v>12</v>
      </c>
      <c r="E473" s="4">
        <v>64</v>
      </c>
      <c r="F473" s="4" t="s">
        <v>67</v>
      </c>
      <c r="G473" s="4" t="s">
        <v>511</v>
      </c>
      <c r="H473" s="4" t="s">
        <v>41</v>
      </c>
      <c r="I473" s="4" t="s">
        <v>745</v>
      </c>
      <c r="J473" s="4" t="s">
        <v>746</v>
      </c>
      <c r="K473" s="4" t="s">
        <v>30</v>
      </c>
      <c r="L473" s="4" t="s">
        <v>3743</v>
      </c>
      <c r="M473" s="4" t="s">
        <v>3746</v>
      </c>
      <c r="N473" s="4" t="s">
        <v>3747</v>
      </c>
      <c r="O473" s="17">
        <f>INDEX('список ID из СУЭ с должностями'!$A:$F,MATCH(E473,'список ID из СУЭ с должностями'!$B:$B,0),5)</f>
        <v>0</v>
      </c>
    </row>
    <row r="474" spans="1:15" ht="60">
      <c r="A474" s="3" t="s">
        <v>10</v>
      </c>
      <c r="B474" s="3" t="s">
        <v>11</v>
      </c>
      <c r="C474" s="4">
        <v>2026</v>
      </c>
      <c r="D474" s="5" t="s">
        <v>12</v>
      </c>
      <c r="E474" s="4">
        <v>64</v>
      </c>
      <c r="F474" s="4" t="s">
        <v>67</v>
      </c>
      <c r="G474" s="4" t="s">
        <v>511</v>
      </c>
      <c r="H474" s="4" t="s">
        <v>21</v>
      </c>
      <c r="I474" s="4" t="s">
        <v>515</v>
      </c>
      <c r="J474" s="4" t="s">
        <v>516</v>
      </c>
      <c r="K474" s="4" t="s">
        <v>23</v>
      </c>
      <c r="L474" s="4" t="s">
        <v>3743</v>
      </c>
      <c r="M474" s="4" t="s">
        <v>3748</v>
      </c>
      <c r="N474" s="4" t="s">
        <v>3749</v>
      </c>
      <c r="O474" s="17">
        <f>INDEX('список ID из СУЭ с должностями'!$A:$F,MATCH(E474,'список ID из СУЭ с должностями'!$B:$B,0),5)</f>
        <v>0</v>
      </c>
    </row>
    <row r="475" spans="1:15" ht="75">
      <c r="A475" s="3" t="s">
        <v>10</v>
      </c>
      <c r="B475" s="3" t="s">
        <v>11</v>
      </c>
      <c r="C475" s="4">
        <v>2026</v>
      </c>
      <c r="D475" s="5" t="s">
        <v>12</v>
      </c>
      <c r="E475" s="4">
        <v>64</v>
      </c>
      <c r="F475" s="4" t="s">
        <v>67</v>
      </c>
      <c r="G475" s="4" t="s">
        <v>511</v>
      </c>
      <c r="H475" s="4" t="s">
        <v>41</v>
      </c>
      <c r="I475" s="4" t="s">
        <v>747</v>
      </c>
      <c r="J475" s="4" t="s">
        <v>748</v>
      </c>
      <c r="K475" s="4" t="s">
        <v>30</v>
      </c>
      <c r="L475" s="4" t="s">
        <v>3743</v>
      </c>
      <c r="M475" s="4" t="s">
        <v>3746</v>
      </c>
      <c r="N475" s="4" t="s">
        <v>3747</v>
      </c>
      <c r="O475" s="17">
        <f>INDEX('список ID из СУЭ с должностями'!$A:$F,MATCH(E475,'список ID из СУЭ с должностями'!$B:$B,0),5)</f>
        <v>0</v>
      </c>
    </row>
    <row r="476" spans="1:15" ht="60">
      <c r="A476" s="3" t="s">
        <v>10</v>
      </c>
      <c r="B476" s="3" t="s">
        <v>11</v>
      </c>
      <c r="C476" s="4">
        <v>2026</v>
      </c>
      <c r="D476" s="5" t="s">
        <v>12</v>
      </c>
      <c r="E476" s="4">
        <v>64</v>
      </c>
      <c r="F476" s="4" t="s">
        <v>67</v>
      </c>
      <c r="G476" s="4" t="s">
        <v>511</v>
      </c>
      <c r="H476" s="4" t="s">
        <v>21</v>
      </c>
      <c r="I476" s="4" t="s">
        <v>749</v>
      </c>
      <c r="J476" s="4" t="s">
        <v>132</v>
      </c>
      <c r="K476" s="4" t="s">
        <v>30</v>
      </c>
      <c r="L476" s="4" t="s">
        <v>3742</v>
      </c>
      <c r="M476" s="4" t="s">
        <v>3746</v>
      </c>
      <c r="N476" s="4" t="s">
        <v>3747</v>
      </c>
      <c r="O476" s="17">
        <f>INDEX('список ID из СУЭ с должностями'!$A:$F,MATCH(E476,'список ID из СУЭ с должностями'!$B:$B,0),5)</f>
        <v>0</v>
      </c>
    </row>
    <row r="477" spans="1:15" ht="60">
      <c r="A477" s="3" t="s">
        <v>10</v>
      </c>
      <c r="B477" s="3" t="s">
        <v>11</v>
      </c>
      <c r="C477" s="4">
        <v>2026</v>
      </c>
      <c r="D477" s="5" t="s">
        <v>12</v>
      </c>
      <c r="E477" s="4">
        <v>64</v>
      </c>
      <c r="F477" s="4" t="s">
        <v>67</v>
      </c>
      <c r="G477" s="4" t="s">
        <v>511</v>
      </c>
      <c r="H477" s="4" t="s">
        <v>21</v>
      </c>
      <c r="I477" s="4" t="s">
        <v>750</v>
      </c>
      <c r="J477" s="4" t="s">
        <v>751</v>
      </c>
      <c r="K477" s="4" t="s">
        <v>30</v>
      </c>
      <c r="L477" s="4" t="s">
        <v>3742</v>
      </c>
      <c r="M477" s="4" t="s">
        <v>3746</v>
      </c>
      <c r="N477" s="4" t="s">
        <v>3747</v>
      </c>
      <c r="O477" s="17">
        <f>INDEX('список ID из СУЭ с должностями'!$A:$F,MATCH(E477,'список ID из СУЭ с должностями'!$B:$B,0),5)</f>
        <v>0</v>
      </c>
    </row>
    <row r="478" spans="1:15" ht="60">
      <c r="A478" s="3" t="s">
        <v>10</v>
      </c>
      <c r="B478" s="3" t="s">
        <v>11</v>
      </c>
      <c r="C478" s="4">
        <v>2026</v>
      </c>
      <c r="D478" s="5" t="s">
        <v>12</v>
      </c>
      <c r="E478" s="4">
        <v>64</v>
      </c>
      <c r="F478" s="4" t="s">
        <v>67</v>
      </c>
      <c r="G478" s="4" t="s">
        <v>511</v>
      </c>
      <c r="H478" s="4" t="s">
        <v>21</v>
      </c>
      <c r="I478" s="4" t="s">
        <v>752</v>
      </c>
      <c r="J478" s="4" t="s">
        <v>753</v>
      </c>
      <c r="K478" s="4" t="s">
        <v>30</v>
      </c>
      <c r="L478" s="4" t="s">
        <v>3743</v>
      </c>
      <c r="M478" s="4" t="s">
        <v>3746</v>
      </c>
      <c r="N478" s="4" t="s">
        <v>3747</v>
      </c>
      <c r="O478" s="17">
        <f>INDEX('список ID из СУЭ с должностями'!$A:$F,MATCH(E478,'список ID из СУЭ с должностями'!$B:$B,0),5)</f>
        <v>0</v>
      </c>
    </row>
    <row r="479" spans="1:15" ht="90">
      <c r="A479" s="3" t="s">
        <v>10</v>
      </c>
      <c r="B479" s="3" t="s">
        <v>11</v>
      </c>
      <c r="C479" s="4">
        <v>2026</v>
      </c>
      <c r="D479" s="5" t="s">
        <v>12</v>
      </c>
      <c r="E479" s="4">
        <v>64</v>
      </c>
      <c r="F479" s="4" t="s">
        <v>67</v>
      </c>
      <c r="G479" s="4" t="s">
        <v>511</v>
      </c>
      <c r="H479" s="4" t="s">
        <v>21</v>
      </c>
      <c r="I479" s="4" t="s">
        <v>754</v>
      </c>
      <c r="J479" s="4" t="s">
        <v>755</v>
      </c>
      <c r="K479" s="4" t="s">
        <v>517</v>
      </c>
      <c r="L479" s="4" t="s">
        <v>3743</v>
      </c>
      <c r="M479" s="4" t="s">
        <v>3746</v>
      </c>
      <c r="N479" s="4" t="s">
        <v>3757</v>
      </c>
      <c r="O479" s="17">
        <f>INDEX('список ID из СУЭ с должностями'!$A:$F,MATCH(E479,'список ID из СУЭ с должностями'!$B:$B,0),5)</f>
        <v>0</v>
      </c>
    </row>
    <row r="480" spans="1:15" ht="90">
      <c r="A480" s="3" t="s">
        <v>10</v>
      </c>
      <c r="B480" s="3" t="s">
        <v>11</v>
      </c>
      <c r="C480" s="4">
        <v>2026</v>
      </c>
      <c r="D480" s="5" t="s">
        <v>12</v>
      </c>
      <c r="E480" s="4">
        <v>65</v>
      </c>
      <c r="F480" s="4" t="s">
        <v>67</v>
      </c>
      <c r="G480" s="4" t="s">
        <v>68</v>
      </c>
      <c r="H480" s="4" t="s">
        <v>21</v>
      </c>
      <c r="I480" s="4" t="s">
        <v>756</v>
      </c>
      <c r="J480" s="4" t="s">
        <v>757</v>
      </c>
      <c r="K480" s="4" t="s">
        <v>25</v>
      </c>
      <c r="L480" s="4" t="s">
        <v>3743</v>
      </c>
      <c r="M480" s="4" t="s">
        <v>3746</v>
      </c>
      <c r="N480" s="4" t="s">
        <v>3747</v>
      </c>
      <c r="O480" s="17">
        <f>INDEX('список ID из СУЭ с должностями'!$A:$F,MATCH(E480,'список ID из СУЭ с должностями'!$B:$B,0),5)</f>
        <v>0</v>
      </c>
    </row>
    <row r="481" spans="1:15" ht="45">
      <c r="A481" s="3" t="s">
        <v>10</v>
      </c>
      <c r="B481" s="3" t="s">
        <v>11</v>
      </c>
      <c r="C481" s="4">
        <v>2026</v>
      </c>
      <c r="D481" s="5" t="s">
        <v>12</v>
      </c>
      <c r="E481" s="4">
        <v>65</v>
      </c>
      <c r="F481" s="4" t="s">
        <v>67</v>
      </c>
      <c r="G481" s="4" t="s">
        <v>68</v>
      </c>
      <c r="H481" s="4" t="s">
        <v>15</v>
      </c>
      <c r="I481" s="4" t="s">
        <v>758</v>
      </c>
      <c r="J481" s="4" t="s">
        <v>314</v>
      </c>
      <c r="K481" s="4" t="s">
        <v>23</v>
      </c>
      <c r="L481" s="4" t="s">
        <v>3742</v>
      </c>
      <c r="M481" s="4" t="s">
        <v>3748</v>
      </c>
      <c r="N481" s="4" t="s">
        <v>3752</v>
      </c>
      <c r="O481" s="17">
        <f>INDEX('список ID из СУЭ с должностями'!$A:$F,MATCH(E481,'список ID из СУЭ с должностями'!$B:$B,0),5)</f>
        <v>0</v>
      </c>
    </row>
    <row r="482" spans="1:15" ht="90">
      <c r="A482" s="3" t="s">
        <v>10</v>
      </c>
      <c r="B482" s="3" t="s">
        <v>11</v>
      </c>
      <c r="C482" s="4">
        <v>2026</v>
      </c>
      <c r="D482" s="5" t="s">
        <v>12</v>
      </c>
      <c r="E482" s="4">
        <v>65</v>
      </c>
      <c r="F482" s="4" t="s">
        <v>67</v>
      </c>
      <c r="G482" s="4" t="s">
        <v>68</v>
      </c>
      <c r="H482" s="4" t="s">
        <v>15</v>
      </c>
      <c r="I482" s="4" t="s">
        <v>759</v>
      </c>
      <c r="J482" s="4" t="s">
        <v>760</v>
      </c>
      <c r="K482" s="4" t="s">
        <v>25</v>
      </c>
      <c r="L482" s="4" t="s">
        <v>3743</v>
      </c>
      <c r="M482" s="4" t="s">
        <v>3746</v>
      </c>
      <c r="N482" s="4" t="s">
        <v>3747</v>
      </c>
      <c r="O482" s="17">
        <f>INDEX('список ID из СУЭ с должностями'!$A:$F,MATCH(E482,'список ID из СУЭ с должностями'!$B:$B,0),5)</f>
        <v>0</v>
      </c>
    </row>
    <row r="483" spans="1:15" ht="45">
      <c r="A483" s="3" t="s">
        <v>10</v>
      </c>
      <c r="B483" s="3" t="s">
        <v>11</v>
      </c>
      <c r="C483" s="4">
        <v>2026</v>
      </c>
      <c r="D483" s="5" t="s">
        <v>12</v>
      </c>
      <c r="E483" s="4">
        <v>65</v>
      </c>
      <c r="F483" s="4" t="s">
        <v>67</v>
      </c>
      <c r="G483" s="4" t="s">
        <v>68</v>
      </c>
      <c r="H483" s="4" t="s">
        <v>15</v>
      </c>
      <c r="I483" s="4" t="s">
        <v>761</v>
      </c>
      <c r="J483" s="4" t="s">
        <v>762</v>
      </c>
      <c r="K483" s="4" t="s">
        <v>23</v>
      </c>
      <c r="L483" s="4" t="s">
        <v>3742</v>
      </c>
      <c r="M483" s="4" t="s">
        <v>3748</v>
      </c>
      <c r="N483" s="4" t="s">
        <v>3752</v>
      </c>
      <c r="O483" s="17">
        <f>INDEX('список ID из СУЭ с должностями'!$A:$F,MATCH(E483,'список ID из СУЭ с должностями'!$B:$B,0),5)</f>
        <v>0</v>
      </c>
    </row>
    <row r="484" spans="1:15" ht="45">
      <c r="A484" s="3" t="s">
        <v>10</v>
      </c>
      <c r="B484" s="3" t="s">
        <v>11</v>
      </c>
      <c r="C484" s="4">
        <v>2026</v>
      </c>
      <c r="D484" s="5" t="s">
        <v>12</v>
      </c>
      <c r="E484" s="4">
        <v>65</v>
      </c>
      <c r="F484" s="4" t="s">
        <v>67</v>
      </c>
      <c r="G484" s="4" t="s">
        <v>68</v>
      </c>
      <c r="H484" s="4" t="s">
        <v>15</v>
      </c>
      <c r="I484" s="4" t="s">
        <v>763</v>
      </c>
      <c r="J484" s="4" t="s">
        <v>764</v>
      </c>
      <c r="K484" s="4" t="s">
        <v>23</v>
      </c>
      <c r="L484" s="4" t="s">
        <v>3742</v>
      </c>
      <c r="M484" s="4" t="s">
        <v>3748</v>
      </c>
      <c r="N484" s="4" t="s">
        <v>3752</v>
      </c>
      <c r="O484" s="17">
        <f>INDEX('список ID из СУЭ с должностями'!$A:$F,MATCH(E484,'список ID из СУЭ с должностями'!$B:$B,0),5)</f>
        <v>0</v>
      </c>
    </row>
    <row r="485" spans="1:15" ht="45">
      <c r="A485" s="3" t="s">
        <v>10</v>
      </c>
      <c r="B485" s="3" t="s">
        <v>11</v>
      </c>
      <c r="C485" s="4">
        <v>2026</v>
      </c>
      <c r="D485" s="5" t="s">
        <v>12</v>
      </c>
      <c r="E485" s="4">
        <v>65</v>
      </c>
      <c r="F485" s="4" t="s">
        <v>67</v>
      </c>
      <c r="G485" s="4" t="s">
        <v>68</v>
      </c>
      <c r="H485" s="4" t="s">
        <v>15</v>
      </c>
      <c r="I485" s="4" t="s">
        <v>765</v>
      </c>
      <c r="J485" s="4" t="s">
        <v>196</v>
      </c>
      <c r="K485" s="4" t="s">
        <v>23</v>
      </c>
      <c r="L485" s="4" t="s">
        <v>3742</v>
      </c>
      <c r="M485" s="4" t="s">
        <v>3748</v>
      </c>
      <c r="N485" s="4" t="s">
        <v>3752</v>
      </c>
      <c r="O485" s="17">
        <f>INDEX('список ID из СУЭ с должностями'!$A:$F,MATCH(E485,'список ID из СУЭ с должностями'!$B:$B,0),5)</f>
        <v>0</v>
      </c>
    </row>
    <row r="486" spans="1:15" ht="90">
      <c r="A486" s="3" t="s">
        <v>10</v>
      </c>
      <c r="B486" s="3" t="s">
        <v>11</v>
      </c>
      <c r="C486" s="4">
        <v>2026</v>
      </c>
      <c r="D486" s="5" t="s">
        <v>12</v>
      </c>
      <c r="E486" s="4">
        <v>66</v>
      </c>
      <c r="F486" s="4" t="s">
        <v>766</v>
      </c>
      <c r="G486" s="4" t="s">
        <v>725</v>
      </c>
      <c r="H486" s="4" t="s">
        <v>15</v>
      </c>
      <c r="I486" s="4" t="s">
        <v>767</v>
      </c>
      <c r="J486" s="4" t="s">
        <v>196</v>
      </c>
      <c r="K486" s="4" t="s">
        <v>30</v>
      </c>
      <c r="L486" s="4" t="s">
        <v>3742</v>
      </c>
      <c r="M486" s="4" t="s">
        <v>3746</v>
      </c>
      <c r="N486" s="4" t="s">
        <v>3747</v>
      </c>
      <c r="O486" s="17">
        <f>INDEX('список ID из СУЭ с должностями'!$A:$F,MATCH(E486,'список ID из СУЭ с должностями'!$B:$B,0),5)</f>
        <v>0</v>
      </c>
    </row>
    <row r="487" spans="1:15" ht="90">
      <c r="A487" s="3" t="s">
        <v>10</v>
      </c>
      <c r="B487" s="3" t="s">
        <v>11</v>
      </c>
      <c r="C487" s="4">
        <v>2026</v>
      </c>
      <c r="D487" s="5" t="s">
        <v>12</v>
      </c>
      <c r="E487" s="4">
        <v>66</v>
      </c>
      <c r="F487" s="4" t="s">
        <v>766</v>
      </c>
      <c r="G487" s="4" t="s">
        <v>725</v>
      </c>
      <c r="H487" s="4" t="s">
        <v>15</v>
      </c>
      <c r="I487" s="4" t="s">
        <v>768</v>
      </c>
      <c r="J487" s="4" t="s">
        <v>182</v>
      </c>
      <c r="K487" s="4" t="s">
        <v>30</v>
      </c>
      <c r="L487" s="4" t="s">
        <v>3742</v>
      </c>
      <c r="M487" s="4" t="s">
        <v>3746</v>
      </c>
      <c r="N487" s="4" t="s">
        <v>3747</v>
      </c>
      <c r="O487" s="17">
        <f>INDEX('список ID из СУЭ с должностями'!$A:$F,MATCH(E487,'список ID из СУЭ с должностями'!$B:$B,0),5)</f>
        <v>0</v>
      </c>
    </row>
    <row r="488" spans="1:15" ht="90">
      <c r="A488" s="3" t="s">
        <v>10</v>
      </c>
      <c r="B488" s="3" t="s">
        <v>11</v>
      </c>
      <c r="C488" s="4">
        <v>2026</v>
      </c>
      <c r="D488" s="5" t="s">
        <v>12</v>
      </c>
      <c r="E488" s="4">
        <v>66</v>
      </c>
      <c r="F488" s="4" t="s">
        <v>766</v>
      </c>
      <c r="G488" s="4" t="s">
        <v>725</v>
      </c>
      <c r="H488" s="4" t="s">
        <v>15</v>
      </c>
      <c r="I488" s="4" t="s">
        <v>769</v>
      </c>
      <c r="J488" s="4" t="s">
        <v>182</v>
      </c>
      <c r="K488" s="4" t="s">
        <v>30</v>
      </c>
      <c r="L488" s="4" t="s">
        <v>3742</v>
      </c>
      <c r="M488" s="4" t="s">
        <v>3746</v>
      </c>
      <c r="N488" s="4" t="s">
        <v>3747</v>
      </c>
      <c r="O488" s="17">
        <f>INDEX('список ID из СУЭ с должностями'!$A:$F,MATCH(E488,'список ID из СУЭ с должностями'!$B:$B,0),5)</f>
        <v>0</v>
      </c>
    </row>
    <row r="489" spans="1:15" ht="90">
      <c r="A489" s="3" t="s">
        <v>10</v>
      </c>
      <c r="B489" s="3" t="s">
        <v>11</v>
      </c>
      <c r="C489" s="4">
        <v>2026</v>
      </c>
      <c r="D489" s="5" t="s">
        <v>12</v>
      </c>
      <c r="E489" s="4">
        <v>66</v>
      </c>
      <c r="F489" s="4" t="s">
        <v>766</v>
      </c>
      <c r="G489" s="4" t="s">
        <v>725</v>
      </c>
      <c r="H489" s="4" t="s">
        <v>15</v>
      </c>
      <c r="I489" s="4" t="s">
        <v>770</v>
      </c>
      <c r="J489" s="4" t="s">
        <v>771</v>
      </c>
      <c r="K489" s="4" t="s">
        <v>35</v>
      </c>
      <c r="L489" s="4" t="s">
        <v>3742</v>
      </c>
      <c r="M489" s="4" t="s">
        <v>3746</v>
      </c>
      <c r="N489" s="4" t="s">
        <v>3747</v>
      </c>
      <c r="O489" s="17">
        <f>INDEX('список ID из СУЭ с должностями'!$A:$F,MATCH(E489,'список ID из СУЭ с должностями'!$B:$B,0),5)</f>
        <v>0</v>
      </c>
    </row>
    <row r="490" spans="1:15" ht="105">
      <c r="A490" s="3" t="s">
        <v>10</v>
      </c>
      <c r="B490" s="3" t="s">
        <v>11</v>
      </c>
      <c r="C490" s="4">
        <v>2026</v>
      </c>
      <c r="D490" s="5" t="s">
        <v>12</v>
      </c>
      <c r="E490" s="4">
        <v>66</v>
      </c>
      <c r="F490" s="4" t="s">
        <v>766</v>
      </c>
      <c r="G490" s="4" t="s">
        <v>725</v>
      </c>
      <c r="H490" s="4" t="s">
        <v>15</v>
      </c>
      <c r="I490" s="4" t="s">
        <v>772</v>
      </c>
      <c r="J490" s="4" t="s">
        <v>773</v>
      </c>
      <c r="K490" s="4" t="s">
        <v>30</v>
      </c>
      <c r="L490" s="4" t="s">
        <v>3743</v>
      </c>
      <c r="M490" s="4" t="s">
        <v>3746</v>
      </c>
      <c r="N490" s="4" t="s">
        <v>3747</v>
      </c>
      <c r="O490" s="17">
        <f>INDEX('список ID из СУЭ с должностями'!$A:$F,MATCH(E490,'список ID из СУЭ с должностями'!$B:$B,0),5)</f>
        <v>0</v>
      </c>
    </row>
    <row r="491" spans="1:15" ht="90">
      <c r="A491" s="3" t="s">
        <v>10</v>
      </c>
      <c r="B491" s="3" t="s">
        <v>11</v>
      </c>
      <c r="C491" s="4">
        <v>2026</v>
      </c>
      <c r="D491" s="5" t="s">
        <v>12</v>
      </c>
      <c r="E491" s="4">
        <v>66</v>
      </c>
      <c r="F491" s="4" t="s">
        <v>766</v>
      </c>
      <c r="G491" s="4" t="s">
        <v>725</v>
      </c>
      <c r="H491" s="4" t="s">
        <v>15</v>
      </c>
      <c r="I491" s="4" t="s">
        <v>774</v>
      </c>
      <c r="J491" s="4" t="s">
        <v>182</v>
      </c>
      <c r="K491" s="4" t="s">
        <v>30</v>
      </c>
      <c r="L491" s="4" t="s">
        <v>3742</v>
      </c>
      <c r="M491" s="4" t="s">
        <v>3746</v>
      </c>
      <c r="N491" s="4" t="s">
        <v>3747</v>
      </c>
      <c r="O491" s="17">
        <f>INDEX('список ID из СУЭ с должностями'!$A:$F,MATCH(E491,'список ID из СУЭ с должностями'!$B:$B,0),5)</f>
        <v>0</v>
      </c>
    </row>
    <row r="492" spans="1:15" ht="90">
      <c r="A492" s="3" t="s">
        <v>10</v>
      </c>
      <c r="B492" s="3" t="s">
        <v>11</v>
      </c>
      <c r="C492" s="4">
        <v>2026</v>
      </c>
      <c r="D492" s="5" t="s">
        <v>12</v>
      </c>
      <c r="E492" s="4">
        <v>66</v>
      </c>
      <c r="F492" s="4" t="s">
        <v>766</v>
      </c>
      <c r="G492" s="4" t="s">
        <v>725</v>
      </c>
      <c r="H492" s="4" t="s">
        <v>15</v>
      </c>
      <c r="I492" s="4" t="s">
        <v>775</v>
      </c>
      <c r="J492" s="4" t="s">
        <v>776</v>
      </c>
      <c r="K492" s="4" t="s">
        <v>30</v>
      </c>
      <c r="L492" s="4" t="s">
        <v>3743</v>
      </c>
      <c r="M492" s="4" t="s">
        <v>3746</v>
      </c>
      <c r="N492" s="4" t="s">
        <v>3747</v>
      </c>
      <c r="O492" s="17">
        <f>INDEX('список ID из СУЭ с должностями'!$A:$F,MATCH(E492,'список ID из СУЭ с должностями'!$B:$B,0),5)</f>
        <v>0</v>
      </c>
    </row>
    <row r="493" spans="1:15" ht="90">
      <c r="A493" s="3" t="s">
        <v>10</v>
      </c>
      <c r="B493" s="3" t="s">
        <v>11</v>
      </c>
      <c r="C493" s="4">
        <v>2026</v>
      </c>
      <c r="D493" s="5" t="s">
        <v>12</v>
      </c>
      <c r="E493" s="4">
        <v>66</v>
      </c>
      <c r="F493" s="4" t="s">
        <v>766</v>
      </c>
      <c r="G493" s="4" t="s">
        <v>725</v>
      </c>
      <c r="H493" s="4" t="s">
        <v>15</v>
      </c>
      <c r="I493" s="4" t="s">
        <v>777</v>
      </c>
      <c r="J493" s="4" t="s">
        <v>132</v>
      </c>
      <c r="K493" s="4" t="s">
        <v>30</v>
      </c>
      <c r="L493" s="4" t="s">
        <v>3742</v>
      </c>
      <c r="M493" s="4" t="s">
        <v>3746</v>
      </c>
      <c r="N493" s="4" t="s">
        <v>3747</v>
      </c>
      <c r="O493" s="17">
        <f>INDEX('список ID из СУЭ с должностями'!$A:$F,MATCH(E493,'список ID из СУЭ с должностями'!$B:$B,0),5)</f>
        <v>0</v>
      </c>
    </row>
    <row r="494" spans="1:15" ht="90">
      <c r="A494" s="3" t="s">
        <v>10</v>
      </c>
      <c r="B494" s="3" t="s">
        <v>11</v>
      </c>
      <c r="C494" s="4">
        <v>2026</v>
      </c>
      <c r="D494" s="5" t="s">
        <v>12</v>
      </c>
      <c r="E494" s="4">
        <v>66</v>
      </c>
      <c r="F494" s="4" t="s">
        <v>766</v>
      </c>
      <c r="G494" s="4" t="s">
        <v>725</v>
      </c>
      <c r="H494" s="4" t="s">
        <v>15</v>
      </c>
      <c r="I494" s="4" t="s">
        <v>778</v>
      </c>
      <c r="J494" s="4" t="s">
        <v>132</v>
      </c>
      <c r="K494" s="4" t="s">
        <v>30</v>
      </c>
      <c r="L494" s="4" t="s">
        <v>3742</v>
      </c>
      <c r="M494" s="4" t="s">
        <v>3746</v>
      </c>
      <c r="N494" s="4" t="s">
        <v>3747</v>
      </c>
      <c r="O494" s="17">
        <f>INDEX('список ID из СУЭ с должностями'!$A:$F,MATCH(E494,'список ID из СУЭ с должностями'!$B:$B,0),5)</f>
        <v>0</v>
      </c>
    </row>
    <row r="495" spans="1:15" ht="90">
      <c r="A495" s="3" t="s">
        <v>10</v>
      </c>
      <c r="B495" s="3" t="s">
        <v>11</v>
      </c>
      <c r="C495" s="4">
        <v>2026</v>
      </c>
      <c r="D495" s="5" t="s">
        <v>12</v>
      </c>
      <c r="E495" s="4">
        <v>66</v>
      </c>
      <c r="F495" s="4" t="s">
        <v>766</v>
      </c>
      <c r="G495" s="4" t="s">
        <v>725</v>
      </c>
      <c r="H495" s="4" t="s">
        <v>21</v>
      </c>
      <c r="I495" s="4" t="s">
        <v>779</v>
      </c>
      <c r="J495" s="4" t="s">
        <v>132</v>
      </c>
      <c r="K495" s="4" t="s">
        <v>25</v>
      </c>
      <c r="L495" s="4" t="s">
        <v>3742</v>
      </c>
      <c r="M495" s="4" t="s">
        <v>3746</v>
      </c>
      <c r="N495" s="4" t="s">
        <v>3747</v>
      </c>
      <c r="O495" s="17">
        <f>INDEX('список ID из СУЭ с должностями'!$A:$F,MATCH(E495,'список ID из СУЭ с должностями'!$B:$B,0),5)</f>
        <v>0</v>
      </c>
    </row>
    <row r="496" spans="1:15" ht="90">
      <c r="A496" s="3" t="s">
        <v>10</v>
      </c>
      <c r="B496" s="3" t="s">
        <v>11</v>
      </c>
      <c r="C496" s="4">
        <v>2026</v>
      </c>
      <c r="D496" s="5" t="s">
        <v>12</v>
      </c>
      <c r="E496" s="4">
        <v>67</v>
      </c>
      <c r="F496" s="4" t="s">
        <v>780</v>
      </c>
      <c r="G496" s="4" t="s">
        <v>781</v>
      </c>
      <c r="H496" s="4" t="s">
        <v>21</v>
      </c>
      <c r="I496" s="4" t="s">
        <v>782</v>
      </c>
      <c r="J496" s="4" t="s">
        <v>783</v>
      </c>
      <c r="K496" s="4" t="s">
        <v>30</v>
      </c>
      <c r="L496" s="4" t="s">
        <v>3743</v>
      </c>
      <c r="M496" s="4" t="s">
        <v>3746</v>
      </c>
      <c r="N496" s="4" t="s">
        <v>3747</v>
      </c>
      <c r="O496" s="17">
        <f>INDEX('список ID из СУЭ с должностями'!$A:$F,MATCH(E496,'список ID из СУЭ с должностями'!$B:$B,0),5)</f>
        <v>0</v>
      </c>
    </row>
    <row r="497" spans="1:15" ht="75">
      <c r="A497" s="3" t="s">
        <v>10</v>
      </c>
      <c r="B497" s="3" t="s">
        <v>11</v>
      </c>
      <c r="C497" s="4">
        <v>2026</v>
      </c>
      <c r="D497" s="5" t="s">
        <v>12</v>
      </c>
      <c r="E497" s="4">
        <v>67</v>
      </c>
      <c r="F497" s="4" t="s">
        <v>780</v>
      </c>
      <c r="G497" s="4" t="s">
        <v>781</v>
      </c>
      <c r="H497" s="4" t="s">
        <v>21</v>
      </c>
      <c r="I497" s="4" t="s">
        <v>784</v>
      </c>
      <c r="J497" s="4" t="s">
        <v>785</v>
      </c>
      <c r="K497" s="4" t="s">
        <v>38</v>
      </c>
      <c r="L497" s="4" t="s">
        <v>3743</v>
      </c>
      <c r="M497" s="4" t="s">
        <v>3746</v>
      </c>
      <c r="N497" s="4" t="s">
        <v>3747</v>
      </c>
      <c r="O497" s="17">
        <f>INDEX('список ID из СУЭ с должностями'!$A:$F,MATCH(E497,'список ID из СУЭ с должностями'!$B:$B,0),5)</f>
        <v>0</v>
      </c>
    </row>
    <row r="498" spans="1:15" ht="75">
      <c r="A498" s="3" t="s">
        <v>10</v>
      </c>
      <c r="B498" s="3" t="s">
        <v>11</v>
      </c>
      <c r="C498" s="4">
        <v>2026</v>
      </c>
      <c r="D498" s="5" t="s">
        <v>12</v>
      </c>
      <c r="E498" s="4">
        <v>67</v>
      </c>
      <c r="F498" s="4" t="s">
        <v>780</v>
      </c>
      <c r="G498" s="4" t="s">
        <v>781</v>
      </c>
      <c r="H498" s="4" t="s">
        <v>21</v>
      </c>
      <c r="I498" s="4" t="s">
        <v>786</v>
      </c>
      <c r="J498" s="4" t="s">
        <v>164</v>
      </c>
      <c r="K498" s="4" t="s">
        <v>35</v>
      </c>
      <c r="L498" s="4" t="s">
        <v>3742</v>
      </c>
      <c r="M498" s="4" t="s">
        <v>3746</v>
      </c>
      <c r="N498" s="4" t="s">
        <v>3747</v>
      </c>
      <c r="O498" s="17">
        <f>INDEX('список ID из СУЭ с должностями'!$A:$F,MATCH(E498,'список ID из СУЭ с должностями'!$B:$B,0),5)</f>
        <v>0</v>
      </c>
    </row>
    <row r="499" spans="1:15" ht="75">
      <c r="A499" s="3" t="s">
        <v>10</v>
      </c>
      <c r="B499" s="3" t="s">
        <v>11</v>
      </c>
      <c r="C499" s="4">
        <v>2026</v>
      </c>
      <c r="D499" s="5" t="s">
        <v>12</v>
      </c>
      <c r="E499" s="4">
        <v>67</v>
      </c>
      <c r="F499" s="4" t="s">
        <v>780</v>
      </c>
      <c r="G499" s="4" t="s">
        <v>781</v>
      </c>
      <c r="H499" s="4" t="s">
        <v>21</v>
      </c>
      <c r="I499" s="4" t="s">
        <v>787</v>
      </c>
      <c r="J499" s="4" t="s">
        <v>711</v>
      </c>
      <c r="K499" s="4" t="s">
        <v>20</v>
      </c>
      <c r="L499" s="4" t="s">
        <v>3742</v>
      </c>
      <c r="M499" s="4" t="s">
        <v>3746</v>
      </c>
      <c r="N499" s="4" t="s">
        <v>3747</v>
      </c>
      <c r="O499" s="17">
        <f>INDEX('список ID из СУЭ с должностями'!$A:$F,MATCH(E499,'список ID из СУЭ с должностями'!$B:$B,0),5)</f>
        <v>0</v>
      </c>
    </row>
    <row r="500" spans="1:15" ht="165">
      <c r="A500" s="3" t="s">
        <v>10</v>
      </c>
      <c r="B500" s="3" t="s">
        <v>11</v>
      </c>
      <c r="C500" s="4">
        <v>2026</v>
      </c>
      <c r="D500" s="5" t="s">
        <v>12</v>
      </c>
      <c r="E500" s="4">
        <v>67</v>
      </c>
      <c r="F500" s="4" t="s">
        <v>780</v>
      </c>
      <c r="G500" s="4" t="s">
        <v>781</v>
      </c>
      <c r="H500" s="4" t="s">
        <v>41</v>
      </c>
      <c r="I500" s="4" t="s">
        <v>788</v>
      </c>
      <c r="J500" s="4" t="s">
        <v>789</v>
      </c>
      <c r="K500" s="4" t="s">
        <v>30</v>
      </c>
      <c r="L500" s="4" t="s">
        <v>3743</v>
      </c>
      <c r="M500" s="4" t="s">
        <v>3746</v>
      </c>
      <c r="N500" s="4" t="s">
        <v>3747</v>
      </c>
      <c r="O500" s="17">
        <f>INDEX('список ID из СУЭ с должностями'!$A:$F,MATCH(E500,'список ID из СУЭ с должностями'!$B:$B,0),5)</f>
        <v>0</v>
      </c>
    </row>
    <row r="501" spans="1:15" ht="285">
      <c r="A501" s="3" t="s">
        <v>10</v>
      </c>
      <c r="B501" s="3" t="s">
        <v>11</v>
      </c>
      <c r="C501" s="4">
        <v>2026</v>
      </c>
      <c r="D501" s="5" t="s">
        <v>12</v>
      </c>
      <c r="E501" s="4">
        <v>68</v>
      </c>
      <c r="F501" s="4" t="s">
        <v>193</v>
      </c>
      <c r="G501" s="4" t="s">
        <v>790</v>
      </c>
      <c r="H501" s="4" t="s">
        <v>15</v>
      </c>
      <c r="I501" s="4" t="s">
        <v>791</v>
      </c>
      <c r="J501" s="4" t="s">
        <v>792</v>
      </c>
      <c r="K501" s="4" t="s">
        <v>66</v>
      </c>
      <c r="L501" s="4" t="s">
        <v>3743</v>
      </c>
      <c r="M501" s="4" t="s">
        <v>3746</v>
      </c>
      <c r="N501" s="4" t="s">
        <v>3747</v>
      </c>
      <c r="O501" s="17">
        <f>INDEX('список ID из СУЭ с должностями'!$A:$F,MATCH(E501,'список ID из СУЭ с должностями'!$B:$B,0),5)</f>
        <v>0</v>
      </c>
    </row>
    <row r="502" spans="1:15" ht="105">
      <c r="A502" s="3" t="s">
        <v>10</v>
      </c>
      <c r="B502" s="3" t="s">
        <v>11</v>
      </c>
      <c r="C502" s="4">
        <v>2026</v>
      </c>
      <c r="D502" s="5" t="s">
        <v>12</v>
      </c>
      <c r="E502" s="4">
        <v>68</v>
      </c>
      <c r="F502" s="4" t="s">
        <v>193</v>
      </c>
      <c r="G502" s="4" t="s">
        <v>790</v>
      </c>
      <c r="H502" s="4" t="s">
        <v>21</v>
      </c>
      <c r="I502" s="4" t="s">
        <v>793</v>
      </c>
      <c r="J502" s="4" t="s">
        <v>794</v>
      </c>
      <c r="K502" s="4" t="s">
        <v>30</v>
      </c>
      <c r="L502" s="4" t="s">
        <v>3743</v>
      </c>
      <c r="M502" s="4" t="s">
        <v>3746</v>
      </c>
      <c r="N502" s="4" t="s">
        <v>3747</v>
      </c>
      <c r="O502" s="17">
        <f>INDEX('список ID из СУЭ с должностями'!$A:$F,MATCH(E502,'список ID из СУЭ с должностями'!$B:$B,0),5)</f>
        <v>0</v>
      </c>
    </row>
    <row r="503" spans="1:15" ht="105">
      <c r="A503" s="3" t="s">
        <v>10</v>
      </c>
      <c r="B503" s="3" t="s">
        <v>11</v>
      </c>
      <c r="C503" s="4">
        <v>2026</v>
      </c>
      <c r="D503" s="5" t="s">
        <v>12</v>
      </c>
      <c r="E503" s="4">
        <v>68</v>
      </c>
      <c r="F503" s="4" t="s">
        <v>193</v>
      </c>
      <c r="G503" s="4" t="s">
        <v>790</v>
      </c>
      <c r="H503" s="4" t="s">
        <v>21</v>
      </c>
      <c r="I503" s="4" t="s">
        <v>147</v>
      </c>
      <c r="J503" s="4" t="s">
        <v>795</v>
      </c>
      <c r="K503" s="4" t="s">
        <v>35</v>
      </c>
      <c r="L503" s="4" t="s">
        <v>3743</v>
      </c>
      <c r="M503" s="4" t="s">
        <v>3746</v>
      </c>
      <c r="N503" s="4" t="s">
        <v>3747</v>
      </c>
      <c r="O503" s="17">
        <f>INDEX('список ID из СУЭ с должностями'!$A:$F,MATCH(E503,'список ID из СУЭ с должностями'!$B:$B,0),5)</f>
        <v>0</v>
      </c>
    </row>
    <row r="504" spans="1:15" ht="105">
      <c r="A504" s="3" t="s">
        <v>10</v>
      </c>
      <c r="B504" s="3" t="s">
        <v>11</v>
      </c>
      <c r="C504" s="4">
        <v>2026</v>
      </c>
      <c r="D504" s="5" t="s">
        <v>12</v>
      </c>
      <c r="E504" s="4">
        <v>68</v>
      </c>
      <c r="F504" s="4" t="s">
        <v>193</v>
      </c>
      <c r="G504" s="4" t="s">
        <v>790</v>
      </c>
      <c r="H504" s="4" t="s">
        <v>21</v>
      </c>
      <c r="I504" s="4" t="s">
        <v>796</v>
      </c>
      <c r="J504" s="4" t="s">
        <v>797</v>
      </c>
      <c r="K504" s="4" t="s">
        <v>38</v>
      </c>
      <c r="L504" s="4" t="s">
        <v>3743</v>
      </c>
      <c r="M504" s="4" t="s">
        <v>3746</v>
      </c>
      <c r="N504" s="4" t="s">
        <v>3747</v>
      </c>
      <c r="O504" s="17">
        <f>INDEX('список ID из СУЭ с должностями'!$A:$F,MATCH(E504,'список ID из СУЭ с должностями'!$B:$B,0),5)</f>
        <v>0</v>
      </c>
    </row>
    <row r="505" spans="1:15" ht="105">
      <c r="A505" s="3" t="s">
        <v>10</v>
      </c>
      <c r="B505" s="3" t="s">
        <v>11</v>
      </c>
      <c r="C505" s="4">
        <v>2026</v>
      </c>
      <c r="D505" s="5" t="s">
        <v>12</v>
      </c>
      <c r="E505" s="4">
        <v>68</v>
      </c>
      <c r="F505" s="4" t="s">
        <v>193</v>
      </c>
      <c r="G505" s="4" t="s">
        <v>790</v>
      </c>
      <c r="H505" s="4" t="s">
        <v>41</v>
      </c>
      <c r="I505" s="4" t="s">
        <v>798</v>
      </c>
      <c r="J505" s="4" t="s">
        <v>799</v>
      </c>
      <c r="K505" s="4" t="s">
        <v>38</v>
      </c>
      <c r="L505" s="4" t="s">
        <v>3743</v>
      </c>
      <c r="M505" s="4" t="s">
        <v>3746</v>
      </c>
      <c r="N505" s="4" t="s">
        <v>3747</v>
      </c>
      <c r="O505" s="17">
        <f>INDEX('список ID из СУЭ с должностями'!$A:$F,MATCH(E505,'список ID из СУЭ с должностями'!$B:$B,0),5)</f>
        <v>0</v>
      </c>
    </row>
    <row r="506" spans="1:15" ht="240">
      <c r="A506" s="3" t="s">
        <v>10</v>
      </c>
      <c r="B506" s="3" t="s">
        <v>11</v>
      </c>
      <c r="C506" s="4">
        <v>2026</v>
      </c>
      <c r="D506" s="5" t="s">
        <v>12</v>
      </c>
      <c r="E506" s="4">
        <v>68</v>
      </c>
      <c r="F506" s="4" t="s">
        <v>193</v>
      </c>
      <c r="G506" s="4" t="s">
        <v>790</v>
      </c>
      <c r="H506" s="4" t="s">
        <v>15</v>
      </c>
      <c r="I506" s="4" t="s">
        <v>800</v>
      </c>
      <c r="J506" s="4" t="s">
        <v>801</v>
      </c>
      <c r="K506" s="4" t="s">
        <v>38</v>
      </c>
      <c r="L506" s="4" t="s">
        <v>3743</v>
      </c>
      <c r="M506" s="4" t="s">
        <v>3746</v>
      </c>
      <c r="N506" s="4" t="s">
        <v>3747</v>
      </c>
      <c r="O506" s="17">
        <f>INDEX('список ID из СУЭ с должностями'!$A:$F,MATCH(E506,'список ID из СУЭ с должностями'!$B:$B,0),5)</f>
        <v>0</v>
      </c>
    </row>
    <row r="507" spans="1:15" ht="315">
      <c r="A507" s="3" t="s">
        <v>10</v>
      </c>
      <c r="B507" s="3" t="s">
        <v>11</v>
      </c>
      <c r="C507" s="4">
        <v>2026</v>
      </c>
      <c r="D507" s="5" t="s">
        <v>12</v>
      </c>
      <c r="E507" s="4">
        <v>68</v>
      </c>
      <c r="F507" s="4" t="s">
        <v>193</v>
      </c>
      <c r="G507" s="4" t="s">
        <v>790</v>
      </c>
      <c r="H507" s="4" t="s">
        <v>15</v>
      </c>
      <c r="I507" s="4" t="s">
        <v>802</v>
      </c>
      <c r="J507" s="4" t="s">
        <v>803</v>
      </c>
      <c r="K507" s="4" t="s">
        <v>38</v>
      </c>
      <c r="L507" s="4" t="s">
        <v>3743</v>
      </c>
      <c r="M507" s="4" t="s">
        <v>3746</v>
      </c>
      <c r="N507" s="4" t="s">
        <v>3747</v>
      </c>
      <c r="O507" s="17">
        <f>INDEX('список ID из СУЭ с должностями'!$A:$F,MATCH(E507,'список ID из СУЭ с должностями'!$B:$B,0),5)</f>
        <v>0</v>
      </c>
    </row>
    <row r="508" spans="1:15" ht="90">
      <c r="A508" s="3" t="s">
        <v>10</v>
      </c>
      <c r="B508" s="3" t="s">
        <v>11</v>
      </c>
      <c r="C508" s="4">
        <v>2026</v>
      </c>
      <c r="D508" s="5" t="s">
        <v>12</v>
      </c>
      <c r="E508" s="4">
        <v>69</v>
      </c>
      <c r="F508" s="4" t="s">
        <v>766</v>
      </c>
      <c r="G508" s="4" t="s">
        <v>725</v>
      </c>
      <c r="H508" s="4" t="s">
        <v>15</v>
      </c>
      <c r="I508" s="4" t="s">
        <v>767</v>
      </c>
      <c r="J508" s="4" t="s">
        <v>196</v>
      </c>
      <c r="K508" s="4" t="s">
        <v>30</v>
      </c>
      <c r="L508" s="4" t="s">
        <v>3742</v>
      </c>
      <c r="M508" s="4" t="s">
        <v>3746</v>
      </c>
      <c r="N508" s="4" t="s">
        <v>3747</v>
      </c>
      <c r="O508" s="17">
        <f>INDEX('список ID из СУЭ с должностями'!$A:$F,MATCH(E508,'список ID из СУЭ с должностями'!$B:$B,0),5)</f>
        <v>0</v>
      </c>
    </row>
    <row r="509" spans="1:15" ht="90">
      <c r="A509" s="3" t="s">
        <v>10</v>
      </c>
      <c r="B509" s="3" t="s">
        <v>11</v>
      </c>
      <c r="C509" s="4">
        <v>2026</v>
      </c>
      <c r="D509" s="5" t="s">
        <v>12</v>
      </c>
      <c r="E509" s="4">
        <v>69</v>
      </c>
      <c r="F509" s="4" t="s">
        <v>766</v>
      </c>
      <c r="G509" s="4" t="s">
        <v>725</v>
      </c>
      <c r="H509" s="4" t="s">
        <v>15</v>
      </c>
      <c r="I509" s="4" t="s">
        <v>768</v>
      </c>
      <c r="J509" s="4" t="s">
        <v>182</v>
      </c>
      <c r="K509" s="4" t="s">
        <v>30</v>
      </c>
      <c r="L509" s="4" t="s">
        <v>3742</v>
      </c>
      <c r="M509" s="4" t="s">
        <v>3746</v>
      </c>
      <c r="N509" s="4" t="s">
        <v>3747</v>
      </c>
      <c r="O509" s="17">
        <f>INDEX('список ID из СУЭ с должностями'!$A:$F,MATCH(E509,'список ID из СУЭ с должностями'!$B:$B,0),5)</f>
        <v>0</v>
      </c>
    </row>
    <row r="510" spans="1:15" ht="90">
      <c r="A510" s="3" t="s">
        <v>10</v>
      </c>
      <c r="B510" s="3" t="s">
        <v>11</v>
      </c>
      <c r="C510" s="4">
        <v>2026</v>
      </c>
      <c r="D510" s="5" t="s">
        <v>12</v>
      </c>
      <c r="E510" s="4">
        <v>69</v>
      </c>
      <c r="F510" s="4" t="s">
        <v>766</v>
      </c>
      <c r="G510" s="4" t="s">
        <v>725</v>
      </c>
      <c r="H510" s="4" t="s">
        <v>15</v>
      </c>
      <c r="I510" s="4" t="s">
        <v>769</v>
      </c>
      <c r="J510" s="4" t="s">
        <v>182</v>
      </c>
      <c r="K510" s="4" t="s">
        <v>30</v>
      </c>
      <c r="L510" s="4" t="s">
        <v>3742</v>
      </c>
      <c r="M510" s="4" t="s">
        <v>3746</v>
      </c>
      <c r="N510" s="4" t="s">
        <v>3747</v>
      </c>
      <c r="O510" s="17">
        <f>INDEX('список ID из СУЭ с должностями'!$A:$F,MATCH(E510,'список ID из СУЭ с должностями'!$B:$B,0),5)</f>
        <v>0</v>
      </c>
    </row>
    <row r="511" spans="1:15" ht="90">
      <c r="A511" s="3" t="s">
        <v>10</v>
      </c>
      <c r="B511" s="3" t="s">
        <v>11</v>
      </c>
      <c r="C511" s="4">
        <v>2026</v>
      </c>
      <c r="D511" s="5" t="s">
        <v>12</v>
      </c>
      <c r="E511" s="4">
        <v>69</v>
      </c>
      <c r="F511" s="4" t="s">
        <v>766</v>
      </c>
      <c r="G511" s="4" t="s">
        <v>725</v>
      </c>
      <c r="H511" s="4" t="s">
        <v>15</v>
      </c>
      <c r="I511" s="4" t="s">
        <v>770</v>
      </c>
      <c r="J511" s="4" t="s">
        <v>771</v>
      </c>
      <c r="K511" s="4" t="s">
        <v>35</v>
      </c>
      <c r="L511" s="4" t="s">
        <v>3742</v>
      </c>
      <c r="M511" s="4" t="s">
        <v>3746</v>
      </c>
      <c r="N511" s="4" t="s">
        <v>3747</v>
      </c>
      <c r="O511" s="17">
        <f>INDEX('список ID из СУЭ с должностями'!$A:$F,MATCH(E511,'список ID из СУЭ с должностями'!$B:$B,0),5)</f>
        <v>0</v>
      </c>
    </row>
    <row r="512" spans="1:15" ht="105">
      <c r="A512" s="3" t="s">
        <v>10</v>
      </c>
      <c r="B512" s="3" t="s">
        <v>11</v>
      </c>
      <c r="C512" s="4">
        <v>2026</v>
      </c>
      <c r="D512" s="5" t="s">
        <v>12</v>
      </c>
      <c r="E512" s="4">
        <v>69</v>
      </c>
      <c r="F512" s="4" t="s">
        <v>766</v>
      </c>
      <c r="G512" s="4" t="s">
        <v>725</v>
      </c>
      <c r="H512" s="4" t="s">
        <v>15</v>
      </c>
      <c r="I512" s="4" t="s">
        <v>772</v>
      </c>
      <c r="J512" s="4" t="s">
        <v>773</v>
      </c>
      <c r="K512" s="4" t="s">
        <v>30</v>
      </c>
      <c r="L512" s="4" t="s">
        <v>3743</v>
      </c>
      <c r="M512" s="4" t="s">
        <v>3746</v>
      </c>
      <c r="N512" s="4" t="s">
        <v>3747</v>
      </c>
      <c r="O512" s="17">
        <f>INDEX('список ID из СУЭ с должностями'!$A:$F,MATCH(E512,'список ID из СУЭ с должностями'!$B:$B,0),5)</f>
        <v>0</v>
      </c>
    </row>
    <row r="513" spans="1:15" ht="90">
      <c r="A513" s="3" t="s">
        <v>10</v>
      </c>
      <c r="B513" s="3" t="s">
        <v>11</v>
      </c>
      <c r="C513" s="4">
        <v>2026</v>
      </c>
      <c r="D513" s="5" t="s">
        <v>12</v>
      </c>
      <c r="E513" s="4">
        <v>69</v>
      </c>
      <c r="F513" s="4" t="s">
        <v>766</v>
      </c>
      <c r="G513" s="4" t="s">
        <v>725</v>
      </c>
      <c r="H513" s="4" t="s">
        <v>15</v>
      </c>
      <c r="I513" s="4" t="s">
        <v>774</v>
      </c>
      <c r="J513" s="4" t="s">
        <v>182</v>
      </c>
      <c r="K513" s="4" t="s">
        <v>30</v>
      </c>
      <c r="L513" s="4" t="s">
        <v>3742</v>
      </c>
      <c r="M513" s="4" t="s">
        <v>3746</v>
      </c>
      <c r="N513" s="4" t="s">
        <v>3747</v>
      </c>
      <c r="O513" s="17">
        <f>INDEX('список ID из СУЭ с должностями'!$A:$F,MATCH(E513,'список ID из СУЭ с должностями'!$B:$B,0),5)</f>
        <v>0</v>
      </c>
    </row>
    <row r="514" spans="1:15" ht="90">
      <c r="A514" s="3" t="s">
        <v>10</v>
      </c>
      <c r="B514" s="3" t="s">
        <v>11</v>
      </c>
      <c r="C514" s="4">
        <v>2026</v>
      </c>
      <c r="D514" s="5" t="s">
        <v>12</v>
      </c>
      <c r="E514" s="4">
        <v>69</v>
      </c>
      <c r="F514" s="4" t="s">
        <v>766</v>
      </c>
      <c r="G514" s="4" t="s">
        <v>725</v>
      </c>
      <c r="H514" s="4" t="s">
        <v>15</v>
      </c>
      <c r="I514" s="4" t="s">
        <v>775</v>
      </c>
      <c r="J514" s="4" t="s">
        <v>776</v>
      </c>
      <c r="K514" s="4" t="s">
        <v>30</v>
      </c>
      <c r="L514" s="4" t="s">
        <v>3743</v>
      </c>
      <c r="M514" s="4" t="s">
        <v>3746</v>
      </c>
      <c r="N514" s="4" t="s">
        <v>3747</v>
      </c>
      <c r="O514" s="17">
        <f>INDEX('список ID из СУЭ с должностями'!$A:$F,MATCH(E514,'список ID из СУЭ с должностями'!$B:$B,0),5)</f>
        <v>0</v>
      </c>
    </row>
    <row r="515" spans="1:15" ht="90">
      <c r="A515" s="3" t="s">
        <v>10</v>
      </c>
      <c r="B515" s="3" t="s">
        <v>11</v>
      </c>
      <c r="C515" s="4">
        <v>2026</v>
      </c>
      <c r="D515" s="5" t="s">
        <v>12</v>
      </c>
      <c r="E515" s="4">
        <v>69</v>
      </c>
      <c r="F515" s="4" t="s">
        <v>766</v>
      </c>
      <c r="G515" s="4" t="s">
        <v>725</v>
      </c>
      <c r="H515" s="4" t="s">
        <v>15</v>
      </c>
      <c r="I515" s="4" t="s">
        <v>804</v>
      </c>
      <c r="J515" s="4" t="s">
        <v>132</v>
      </c>
      <c r="K515" s="4" t="s">
        <v>30</v>
      </c>
      <c r="L515" s="4" t="s">
        <v>3742</v>
      </c>
      <c r="M515" s="4" t="s">
        <v>3746</v>
      </c>
      <c r="N515" s="4" t="s">
        <v>3747</v>
      </c>
      <c r="O515" s="17">
        <f>INDEX('список ID из СУЭ с должностями'!$A:$F,MATCH(E515,'список ID из СУЭ с должностями'!$B:$B,0),5)</f>
        <v>0</v>
      </c>
    </row>
    <row r="516" spans="1:15" ht="90">
      <c r="A516" s="3" t="s">
        <v>10</v>
      </c>
      <c r="B516" s="3" t="s">
        <v>11</v>
      </c>
      <c r="C516" s="4">
        <v>2026</v>
      </c>
      <c r="D516" s="5" t="s">
        <v>12</v>
      </c>
      <c r="E516" s="4">
        <v>69</v>
      </c>
      <c r="F516" s="4" t="s">
        <v>766</v>
      </c>
      <c r="G516" s="4" t="s">
        <v>725</v>
      </c>
      <c r="H516" s="4" t="s">
        <v>15</v>
      </c>
      <c r="I516" s="4" t="s">
        <v>778</v>
      </c>
      <c r="J516" s="4" t="s">
        <v>132</v>
      </c>
      <c r="K516" s="4" t="s">
        <v>30</v>
      </c>
      <c r="L516" s="4" t="s">
        <v>3742</v>
      </c>
      <c r="M516" s="4" t="s">
        <v>3746</v>
      </c>
      <c r="N516" s="4" t="s">
        <v>3747</v>
      </c>
      <c r="O516" s="17">
        <f>INDEX('список ID из СУЭ с должностями'!$A:$F,MATCH(E516,'список ID из СУЭ с должностями'!$B:$B,0),5)</f>
        <v>0</v>
      </c>
    </row>
    <row r="517" spans="1:15" ht="90">
      <c r="A517" s="3" t="s">
        <v>10</v>
      </c>
      <c r="B517" s="3" t="s">
        <v>11</v>
      </c>
      <c r="C517" s="4">
        <v>2026</v>
      </c>
      <c r="D517" s="5" t="s">
        <v>12</v>
      </c>
      <c r="E517" s="4">
        <v>69</v>
      </c>
      <c r="F517" s="4" t="s">
        <v>766</v>
      </c>
      <c r="G517" s="4" t="s">
        <v>725</v>
      </c>
      <c r="H517" s="4" t="s">
        <v>21</v>
      </c>
      <c r="I517" s="4" t="s">
        <v>779</v>
      </c>
      <c r="J517" s="4" t="s">
        <v>132</v>
      </c>
      <c r="K517" s="4" t="s">
        <v>25</v>
      </c>
      <c r="L517" s="4" t="s">
        <v>3742</v>
      </c>
      <c r="M517" s="4" t="s">
        <v>3746</v>
      </c>
      <c r="N517" s="4" t="s">
        <v>3747</v>
      </c>
      <c r="O517" s="17">
        <f>INDEX('список ID из СУЭ с должностями'!$A:$F,MATCH(E517,'список ID из СУЭ с должностями'!$B:$B,0),5)</f>
        <v>0</v>
      </c>
    </row>
    <row r="518" spans="1:15" ht="135">
      <c r="A518" s="3" t="s">
        <v>10</v>
      </c>
      <c r="B518" s="3" t="s">
        <v>11</v>
      </c>
      <c r="C518" s="4">
        <v>2026</v>
      </c>
      <c r="D518" s="5" t="s">
        <v>12</v>
      </c>
      <c r="E518" s="4">
        <v>70</v>
      </c>
      <c r="F518" s="4" t="s">
        <v>67</v>
      </c>
      <c r="G518" s="4" t="s">
        <v>805</v>
      </c>
      <c r="H518" s="4" t="s">
        <v>15</v>
      </c>
      <c r="I518" s="4" t="s">
        <v>806</v>
      </c>
      <c r="J518" s="4" t="s">
        <v>807</v>
      </c>
      <c r="K518" s="4" t="s">
        <v>38</v>
      </c>
      <c r="L518" s="4" t="s">
        <v>3743</v>
      </c>
      <c r="M518" s="4" t="s">
        <v>3746</v>
      </c>
      <c r="N518" s="4" t="s">
        <v>3747</v>
      </c>
      <c r="O518" s="17">
        <f>INDEX('список ID из СУЭ с должностями'!$A:$F,MATCH(E518,'список ID из СУЭ с должностями'!$B:$B,0),5)</f>
        <v>0</v>
      </c>
    </row>
    <row r="519" spans="1:15" ht="150">
      <c r="A519" s="3" t="s">
        <v>10</v>
      </c>
      <c r="B519" s="3" t="s">
        <v>11</v>
      </c>
      <c r="C519" s="4">
        <v>2026</v>
      </c>
      <c r="D519" s="5" t="s">
        <v>12</v>
      </c>
      <c r="E519" s="4">
        <v>70</v>
      </c>
      <c r="F519" s="4" t="s">
        <v>67</v>
      </c>
      <c r="G519" s="4" t="s">
        <v>805</v>
      </c>
      <c r="H519" s="4" t="s">
        <v>15</v>
      </c>
      <c r="I519" s="4" t="s">
        <v>809</v>
      </c>
      <c r="J519" s="4" t="s">
        <v>810</v>
      </c>
      <c r="K519" s="4" t="s">
        <v>188</v>
      </c>
      <c r="L519" s="4" t="s">
        <v>3743</v>
      </c>
      <c r="M519" s="4" t="s">
        <v>3746</v>
      </c>
      <c r="N519" s="4" t="s">
        <v>3747</v>
      </c>
      <c r="O519" s="17">
        <f>INDEX('список ID из СУЭ с должностями'!$A:$F,MATCH(E519,'список ID из СУЭ с должностями'!$B:$B,0),5)</f>
        <v>0</v>
      </c>
    </row>
    <row r="520" spans="1:15" ht="240">
      <c r="A520" s="3" t="s">
        <v>10</v>
      </c>
      <c r="B520" s="3" t="s">
        <v>11</v>
      </c>
      <c r="C520" s="4">
        <v>2026</v>
      </c>
      <c r="D520" s="5" t="s">
        <v>12</v>
      </c>
      <c r="E520" s="4">
        <v>70</v>
      </c>
      <c r="F520" s="4" t="s">
        <v>67</v>
      </c>
      <c r="G520" s="4" t="s">
        <v>805</v>
      </c>
      <c r="H520" s="4" t="s">
        <v>15</v>
      </c>
      <c r="I520" s="4" t="s">
        <v>147</v>
      </c>
      <c r="J520" s="4" t="s">
        <v>811</v>
      </c>
      <c r="K520" s="4" t="s">
        <v>66</v>
      </c>
      <c r="L520" s="4" t="s">
        <v>3743</v>
      </c>
      <c r="M520" s="4" t="s">
        <v>3746</v>
      </c>
      <c r="N520" s="4" t="s">
        <v>3747</v>
      </c>
      <c r="O520" s="17">
        <f>INDEX('список ID из СУЭ с должностями'!$A:$F,MATCH(E520,'список ID из СУЭ с должностями'!$B:$B,0),5)</f>
        <v>0</v>
      </c>
    </row>
    <row r="521" spans="1:15" ht="135">
      <c r="A521" s="3" t="s">
        <v>10</v>
      </c>
      <c r="B521" s="3" t="s">
        <v>11</v>
      </c>
      <c r="C521" s="4">
        <v>2026</v>
      </c>
      <c r="D521" s="5" t="s">
        <v>12</v>
      </c>
      <c r="E521" s="4">
        <v>70</v>
      </c>
      <c r="F521" s="4" t="s">
        <v>67</v>
      </c>
      <c r="G521" s="4" t="s">
        <v>805</v>
      </c>
      <c r="H521" s="4" t="s">
        <v>15</v>
      </c>
      <c r="I521" s="4" t="s">
        <v>812</v>
      </c>
      <c r="J521" s="4" t="s">
        <v>813</v>
      </c>
      <c r="K521" s="4" t="s">
        <v>20</v>
      </c>
      <c r="L521" s="4" t="s">
        <v>3743</v>
      </c>
      <c r="M521" s="4" t="s">
        <v>3746</v>
      </c>
      <c r="N521" s="4" t="s">
        <v>3747</v>
      </c>
      <c r="O521" s="17">
        <f>INDEX('список ID из СУЭ с должностями'!$A:$F,MATCH(E521,'список ID из СУЭ с должностями'!$B:$B,0),5)</f>
        <v>0</v>
      </c>
    </row>
    <row r="522" spans="1:15" ht="150">
      <c r="A522" s="3" t="s">
        <v>10</v>
      </c>
      <c r="B522" s="3" t="s">
        <v>11</v>
      </c>
      <c r="C522" s="4">
        <v>2026</v>
      </c>
      <c r="D522" s="5" t="s">
        <v>12</v>
      </c>
      <c r="E522" s="4">
        <v>70</v>
      </c>
      <c r="F522" s="4" t="s">
        <v>67</v>
      </c>
      <c r="G522" s="4" t="s">
        <v>805</v>
      </c>
      <c r="H522" s="4" t="s">
        <v>15</v>
      </c>
      <c r="I522" s="4" t="s">
        <v>303</v>
      </c>
      <c r="J522" s="4" t="s">
        <v>814</v>
      </c>
      <c r="K522" s="4" t="s">
        <v>151</v>
      </c>
      <c r="L522" s="4" t="s">
        <v>3743</v>
      </c>
      <c r="M522" s="4" t="s">
        <v>3746</v>
      </c>
      <c r="N522" s="4" t="s">
        <v>3747</v>
      </c>
      <c r="O522" s="17">
        <f>INDEX('список ID из СУЭ с должностями'!$A:$F,MATCH(E522,'список ID из СУЭ с должностями'!$B:$B,0),5)</f>
        <v>0</v>
      </c>
    </row>
    <row r="523" spans="1:15" ht="60">
      <c r="A523" s="3" t="s">
        <v>10</v>
      </c>
      <c r="B523" s="3" t="s">
        <v>11</v>
      </c>
      <c r="C523" s="4">
        <v>2026</v>
      </c>
      <c r="D523" s="5" t="s">
        <v>815</v>
      </c>
      <c r="E523" s="4">
        <v>71</v>
      </c>
      <c r="F523" s="4" t="s">
        <v>193</v>
      </c>
      <c r="G523" s="4" t="s">
        <v>684</v>
      </c>
      <c r="H523" s="4" t="s">
        <v>15</v>
      </c>
      <c r="I523" s="4" t="s">
        <v>816</v>
      </c>
      <c r="J523" s="4" t="s">
        <v>182</v>
      </c>
      <c r="K523" s="4" t="s">
        <v>38</v>
      </c>
      <c r="L523" s="4" t="s">
        <v>3742</v>
      </c>
      <c r="M523" s="4" t="s">
        <v>3746</v>
      </c>
      <c r="N523" s="4" t="s">
        <v>3747</v>
      </c>
      <c r="O523" s="17" t="str">
        <f>INDEX('список ID из СУЭ с должностями'!$A:$F,MATCH(E523,'список ID из СУЭ с должностями'!$B:$B,0),5)</f>
        <v>Инж смены</v>
      </c>
    </row>
    <row r="524" spans="1:15" ht="60">
      <c r="A524" s="3" t="s">
        <v>10</v>
      </c>
      <c r="B524" s="3" t="s">
        <v>11</v>
      </c>
      <c r="C524" s="4">
        <v>2026</v>
      </c>
      <c r="D524" s="5" t="s">
        <v>815</v>
      </c>
      <c r="E524" s="4">
        <v>71</v>
      </c>
      <c r="F524" s="4" t="s">
        <v>193</v>
      </c>
      <c r="G524" s="4" t="s">
        <v>684</v>
      </c>
      <c r="H524" s="4" t="s">
        <v>15</v>
      </c>
      <c r="I524" s="4" t="s">
        <v>817</v>
      </c>
      <c r="J524" s="4" t="s">
        <v>196</v>
      </c>
      <c r="K524" s="4" t="s">
        <v>38</v>
      </c>
      <c r="L524" s="4" t="s">
        <v>3742</v>
      </c>
      <c r="M524" s="4" t="s">
        <v>3746</v>
      </c>
      <c r="N524" s="4" t="s">
        <v>3747</v>
      </c>
      <c r="O524" s="17" t="str">
        <f>INDEX('список ID из СУЭ с должностями'!$A:$F,MATCH(E524,'список ID из СУЭ с должностями'!$B:$B,0),5)</f>
        <v>Инж смены</v>
      </c>
    </row>
    <row r="525" spans="1:15" ht="60">
      <c r="A525" s="3" t="s">
        <v>10</v>
      </c>
      <c r="B525" s="3" t="s">
        <v>11</v>
      </c>
      <c r="C525" s="4">
        <v>2026</v>
      </c>
      <c r="D525" s="5" t="s">
        <v>815</v>
      </c>
      <c r="E525" s="4">
        <v>71</v>
      </c>
      <c r="F525" s="4" t="s">
        <v>193</v>
      </c>
      <c r="G525" s="4" t="s">
        <v>684</v>
      </c>
      <c r="H525" s="4" t="s">
        <v>15</v>
      </c>
      <c r="I525" s="4" t="s">
        <v>243</v>
      </c>
      <c r="J525" s="4" t="s">
        <v>132</v>
      </c>
      <c r="K525" s="4" t="s">
        <v>38</v>
      </c>
      <c r="L525" s="4" t="s">
        <v>3742</v>
      </c>
      <c r="M525" s="4" t="s">
        <v>3746</v>
      </c>
      <c r="N525" s="4" t="s">
        <v>3747</v>
      </c>
      <c r="O525" s="17" t="str">
        <f>INDEX('список ID из СУЭ с должностями'!$A:$F,MATCH(E525,'список ID из СУЭ с должностями'!$B:$B,0),5)</f>
        <v>Инж смены</v>
      </c>
    </row>
    <row r="526" spans="1:15" ht="90">
      <c r="A526" s="3" t="s">
        <v>10</v>
      </c>
      <c r="B526" s="3" t="s">
        <v>11</v>
      </c>
      <c r="C526" s="4">
        <v>2026</v>
      </c>
      <c r="D526" s="5" t="s">
        <v>815</v>
      </c>
      <c r="E526" s="4">
        <v>71</v>
      </c>
      <c r="F526" s="4" t="s">
        <v>193</v>
      </c>
      <c r="G526" s="4" t="s">
        <v>684</v>
      </c>
      <c r="H526" s="4" t="s">
        <v>15</v>
      </c>
      <c r="I526" s="4" t="s">
        <v>198</v>
      </c>
      <c r="J526" s="4" t="s">
        <v>818</v>
      </c>
      <c r="K526" s="4" t="s">
        <v>20</v>
      </c>
      <c r="L526" s="4" t="s">
        <v>3743</v>
      </c>
      <c r="M526" s="4" t="s">
        <v>3746</v>
      </c>
      <c r="N526" s="4" t="s">
        <v>3747</v>
      </c>
      <c r="O526" s="17" t="str">
        <f>INDEX('список ID из СУЭ с должностями'!$A:$F,MATCH(E526,'список ID из СУЭ с должностями'!$B:$B,0),5)</f>
        <v>Инж смены</v>
      </c>
    </row>
    <row r="527" spans="1:15" ht="45">
      <c r="A527" s="3" t="s">
        <v>10</v>
      </c>
      <c r="B527" s="3" t="s">
        <v>11</v>
      </c>
      <c r="C527" s="4">
        <v>2026</v>
      </c>
      <c r="D527" s="5" t="s">
        <v>815</v>
      </c>
      <c r="E527" s="4">
        <v>71</v>
      </c>
      <c r="F527" s="4" t="s">
        <v>193</v>
      </c>
      <c r="G527" s="4" t="s">
        <v>684</v>
      </c>
      <c r="H527" s="4" t="s">
        <v>15</v>
      </c>
      <c r="I527" s="4" t="s">
        <v>819</v>
      </c>
      <c r="J527" s="4" t="s">
        <v>200</v>
      </c>
      <c r="K527" s="4" t="s">
        <v>66</v>
      </c>
      <c r="L527" s="4" t="s">
        <v>3742</v>
      </c>
      <c r="M527" s="4" t="s">
        <v>3746</v>
      </c>
      <c r="N527" s="4" t="s">
        <v>3747</v>
      </c>
      <c r="O527" s="17" t="str">
        <f>INDEX('список ID из СУЭ с должностями'!$A:$F,MATCH(E527,'список ID из СУЭ с должностями'!$B:$B,0),5)</f>
        <v>Инж смены</v>
      </c>
    </row>
    <row r="528" spans="1:15" ht="45">
      <c r="A528" s="3" t="s">
        <v>10</v>
      </c>
      <c r="B528" s="3" t="s">
        <v>11</v>
      </c>
      <c r="C528" s="4">
        <v>2026</v>
      </c>
      <c r="D528" s="5" t="s">
        <v>815</v>
      </c>
      <c r="E528" s="4">
        <v>71</v>
      </c>
      <c r="F528" s="4" t="s">
        <v>193</v>
      </c>
      <c r="G528" s="4" t="s">
        <v>684</v>
      </c>
      <c r="H528" s="4" t="s">
        <v>15</v>
      </c>
      <c r="I528" s="4" t="s">
        <v>48</v>
      </c>
      <c r="J528" s="4" t="s">
        <v>187</v>
      </c>
      <c r="K528" s="4" t="s">
        <v>35</v>
      </c>
      <c r="L528" s="4" t="s">
        <v>3743</v>
      </c>
      <c r="M528" s="4" t="s">
        <v>3746</v>
      </c>
      <c r="N528" s="4" t="s">
        <v>3747</v>
      </c>
      <c r="O528" s="17" t="str">
        <f>INDEX('список ID из СУЭ с должностями'!$A:$F,MATCH(E528,'список ID из СУЭ с должностями'!$B:$B,0),5)</f>
        <v>Инж смены</v>
      </c>
    </row>
    <row r="529" spans="1:15" ht="135">
      <c r="A529" s="3" t="s">
        <v>10</v>
      </c>
      <c r="B529" s="3" t="s">
        <v>11</v>
      </c>
      <c r="C529" s="4">
        <v>2026</v>
      </c>
      <c r="D529" s="5" t="s">
        <v>12</v>
      </c>
      <c r="E529" s="4">
        <v>72</v>
      </c>
      <c r="F529" s="4" t="s">
        <v>316</v>
      </c>
      <c r="G529" s="4" t="s">
        <v>820</v>
      </c>
      <c r="H529" s="4" t="s">
        <v>15</v>
      </c>
      <c r="I529" s="4" t="s">
        <v>318</v>
      </c>
      <c r="J529" s="4" t="s">
        <v>319</v>
      </c>
      <c r="K529" s="4" t="s">
        <v>25</v>
      </c>
      <c r="L529" s="4" t="s">
        <v>3743</v>
      </c>
      <c r="M529" s="4" t="s">
        <v>3746</v>
      </c>
      <c r="N529" s="4" t="s">
        <v>3747</v>
      </c>
      <c r="O529" s="17">
        <f>INDEX('список ID из СУЭ с должностями'!$A:$F,MATCH(E529,'список ID из СУЭ с должностями'!$B:$B,0),5)</f>
        <v>0</v>
      </c>
    </row>
    <row r="530" spans="1:15" ht="120">
      <c r="A530" s="3" t="s">
        <v>10</v>
      </c>
      <c r="B530" s="3" t="s">
        <v>11</v>
      </c>
      <c r="C530" s="4">
        <v>2026</v>
      </c>
      <c r="D530" s="5" t="s">
        <v>12</v>
      </c>
      <c r="E530" s="4">
        <v>72</v>
      </c>
      <c r="F530" s="4" t="s">
        <v>316</v>
      </c>
      <c r="G530" s="4" t="s">
        <v>820</v>
      </c>
      <c r="H530" s="4" t="s">
        <v>15</v>
      </c>
      <c r="I530" s="4" t="s">
        <v>356</v>
      </c>
      <c r="J530" s="4" t="s">
        <v>821</v>
      </c>
      <c r="K530" s="4" t="s">
        <v>25</v>
      </c>
      <c r="L530" s="4" t="s">
        <v>3743</v>
      </c>
      <c r="M530" s="4" t="s">
        <v>3746</v>
      </c>
      <c r="N530" s="4" t="s">
        <v>3747</v>
      </c>
      <c r="O530" s="17">
        <f>INDEX('список ID из СУЭ с должностями'!$A:$F,MATCH(E530,'список ID из СУЭ с должностями'!$B:$B,0),5)</f>
        <v>0</v>
      </c>
    </row>
    <row r="531" spans="1:15" ht="409.5">
      <c r="A531" s="3" t="s">
        <v>10</v>
      </c>
      <c r="B531" s="3" t="s">
        <v>11</v>
      </c>
      <c r="C531" s="4">
        <v>2026</v>
      </c>
      <c r="D531" s="5" t="s">
        <v>12</v>
      </c>
      <c r="E531" s="4">
        <v>72</v>
      </c>
      <c r="F531" s="4" t="s">
        <v>316</v>
      </c>
      <c r="G531" s="4" t="s">
        <v>820</v>
      </c>
      <c r="H531" s="4" t="s">
        <v>15</v>
      </c>
      <c r="I531" s="4" t="s">
        <v>354</v>
      </c>
      <c r="J531" s="4" t="s">
        <v>822</v>
      </c>
      <c r="K531" s="4" t="s">
        <v>25</v>
      </c>
      <c r="L531" s="4" t="s">
        <v>3743</v>
      </c>
      <c r="M531" s="4" t="s">
        <v>3746</v>
      </c>
      <c r="N531" s="4" t="s">
        <v>3747</v>
      </c>
      <c r="O531" s="17">
        <f>INDEX('список ID из СУЭ с должностями'!$A:$F,MATCH(E531,'список ID из СУЭ с должностями'!$B:$B,0),5)</f>
        <v>0</v>
      </c>
    </row>
    <row r="532" spans="1:15" ht="315">
      <c r="A532" s="3" t="s">
        <v>10</v>
      </c>
      <c r="B532" s="3" t="s">
        <v>11</v>
      </c>
      <c r="C532" s="4">
        <v>2026</v>
      </c>
      <c r="D532" s="5" t="s">
        <v>12</v>
      </c>
      <c r="E532" s="4">
        <v>72</v>
      </c>
      <c r="F532" s="4" t="s">
        <v>316</v>
      </c>
      <c r="G532" s="4" t="s">
        <v>820</v>
      </c>
      <c r="H532" s="4" t="s">
        <v>15</v>
      </c>
      <c r="I532" s="4" t="s">
        <v>352</v>
      </c>
      <c r="J532" s="4" t="s">
        <v>823</v>
      </c>
      <c r="K532" s="4" t="s">
        <v>25</v>
      </c>
      <c r="L532" s="4" t="s">
        <v>3743</v>
      </c>
      <c r="M532" s="4" t="s">
        <v>3746</v>
      </c>
      <c r="N532" s="4" t="s">
        <v>3747</v>
      </c>
      <c r="O532" s="17">
        <f>INDEX('список ID из СУЭ с должностями'!$A:$F,MATCH(E532,'список ID из СУЭ с должностями'!$B:$B,0),5)</f>
        <v>0</v>
      </c>
    </row>
    <row r="533" spans="1:15" ht="315">
      <c r="A533" s="3" t="s">
        <v>10</v>
      </c>
      <c r="B533" s="3" t="s">
        <v>11</v>
      </c>
      <c r="C533" s="4">
        <v>2026</v>
      </c>
      <c r="D533" s="5" t="s">
        <v>12</v>
      </c>
      <c r="E533" s="4">
        <v>72</v>
      </c>
      <c r="F533" s="4" t="s">
        <v>316</v>
      </c>
      <c r="G533" s="4" t="s">
        <v>820</v>
      </c>
      <c r="H533" s="4" t="s">
        <v>15</v>
      </c>
      <c r="I533" s="4" t="s">
        <v>28</v>
      </c>
      <c r="J533" s="4" t="s">
        <v>824</v>
      </c>
      <c r="K533" s="4" t="s">
        <v>30</v>
      </c>
      <c r="L533" s="4" t="s">
        <v>3743</v>
      </c>
      <c r="M533" s="4" t="s">
        <v>3746</v>
      </c>
      <c r="N533" s="4" t="s">
        <v>3747</v>
      </c>
      <c r="O533" s="17">
        <f>INDEX('список ID из СУЭ с должностями'!$A:$F,MATCH(E533,'список ID из СУЭ с должностями'!$B:$B,0),5)</f>
        <v>0</v>
      </c>
    </row>
    <row r="534" spans="1:15" ht="105">
      <c r="A534" s="3" t="s">
        <v>10</v>
      </c>
      <c r="B534" s="3" t="s">
        <v>11</v>
      </c>
      <c r="C534" s="4">
        <v>2026</v>
      </c>
      <c r="D534" s="5" t="s">
        <v>12</v>
      </c>
      <c r="E534" s="4">
        <v>72</v>
      </c>
      <c r="F534" s="4" t="s">
        <v>316</v>
      </c>
      <c r="G534" s="4" t="s">
        <v>820</v>
      </c>
      <c r="H534" s="4" t="s">
        <v>15</v>
      </c>
      <c r="I534" s="4" t="s">
        <v>358</v>
      </c>
      <c r="J534" s="4" t="s">
        <v>825</v>
      </c>
      <c r="K534" s="4" t="s">
        <v>66</v>
      </c>
      <c r="L534" s="4" t="s">
        <v>3743</v>
      </c>
      <c r="M534" s="4" t="s">
        <v>3746</v>
      </c>
      <c r="N534" s="4" t="s">
        <v>3747</v>
      </c>
      <c r="O534" s="17">
        <f>INDEX('список ID из СУЭ с должностями'!$A:$F,MATCH(E534,'список ID из СУЭ с должностями'!$B:$B,0),5)</f>
        <v>0</v>
      </c>
    </row>
    <row r="535" spans="1:15" ht="330">
      <c r="A535" s="3" t="s">
        <v>10</v>
      </c>
      <c r="B535" s="3" t="s">
        <v>11</v>
      </c>
      <c r="C535" s="4">
        <v>2026</v>
      </c>
      <c r="D535" s="5" t="s">
        <v>12</v>
      </c>
      <c r="E535" s="4">
        <v>72</v>
      </c>
      <c r="F535" s="4" t="s">
        <v>316</v>
      </c>
      <c r="G535" s="4" t="s">
        <v>820</v>
      </c>
      <c r="H535" s="4" t="s">
        <v>15</v>
      </c>
      <c r="I535" s="4" t="s">
        <v>323</v>
      </c>
      <c r="J535" s="4" t="s">
        <v>826</v>
      </c>
      <c r="K535" s="4" t="s">
        <v>30</v>
      </c>
      <c r="L535" s="4" t="s">
        <v>3743</v>
      </c>
      <c r="M535" s="4" t="s">
        <v>3746</v>
      </c>
      <c r="N535" s="4" t="s">
        <v>3747</v>
      </c>
      <c r="O535" s="17">
        <f>INDEX('список ID из СУЭ с должностями'!$A:$F,MATCH(E535,'список ID из СУЭ с должностями'!$B:$B,0),5)</f>
        <v>0</v>
      </c>
    </row>
    <row r="536" spans="1:15" ht="165">
      <c r="A536" s="3" t="s">
        <v>10</v>
      </c>
      <c r="B536" s="3" t="s">
        <v>11</v>
      </c>
      <c r="C536" s="4">
        <v>2026</v>
      </c>
      <c r="D536" s="5" t="s">
        <v>12</v>
      </c>
      <c r="E536" s="4">
        <v>72</v>
      </c>
      <c r="F536" s="4" t="s">
        <v>316</v>
      </c>
      <c r="G536" s="4" t="s">
        <v>820</v>
      </c>
      <c r="H536" s="4" t="s">
        <v>15</v>
      </c>
      <c r="I536" s="4" t="s">
        <v>325</v>
      </c>
      <c r="J536" s="4" t="s">
        <v>827</v>
      </c>
      <c r="K536" s="4" t="s">
        <v>35</v>
      </c>
      <c r="L536" s="4" t="s">
        <v>3743</v>
      </c>
      <c r="M536" s="4" t="s">
        <v>3746</v>
      </c>
      <c r="N536" s="4" t="s">
        <v>3747</v>
      </c>
      <c r="O536" s="17">
        <f>INDEX('список ID из СУЭ с должностями'!$A:$F,MATCH(E536,'список ID из СУЭ с должностями'!$B:$B,0),5)</f>
        <v>0</v>
      </c>
    </row>
    <row r="537" spans="1:15" ht="60">
      <c r="A537" s="3" t="s">
        <v>10</v>
      </c>
      <c r="B537" s="3" t="s">
        <v>11</v>
      </c>
      <c r="C537" s="4">
        <v>2026</v>
      </c>
      <c r="D537" s="5" t="s">
        <v>12</v>
      </c>
      <c r="E537" s="4">
        <v>73</v>
      </c>
      <c r="F537" s="4" t="s">
        <v>153</v>
      </c>
      <c r="G537" s="4" t="s">
        <v>212</v>
      </c>
      <c r="H537" s="4" t="s">
        <v>15</v>
      </c>
      <c r="I537" s="4" t="s">
        <v>175</v>
      </c>
      <c r="J537" s="4" t="s">
        <v>828</v>
      </c>
      <c r="K537" s="4" t="s">
        <v>38</v>
      </c>
      <c r="L537" s="4" t="s">
        <v>3743</v>
      </c>
      <c r="M537" s="4" t="s">
        <v>3746</v>
      </c>
      <c r="N537" s="4" t="s">
        <v>3747</v>
      </c>
      <c r="O537" s="17">
        <f>INDEX('список ID из СУЭ с должностями'!$A:$F,MATCH(E537,'список ID из СУЭ с должностями'!$B:$B,0),5)</f>
        <v>0</v>
      </c>
    </row>
    <row r="538" spans="1:15" ht="90">
      <c r="A538" s="3" t="s">
        <v>10</v>
      </c>
      <c r="B538" s="3" t="s">
        <v>11</v>
      </c>
      <c r="C538" s="4">
        <v>2026</v>
      </c>
      <c r="D538" s="5" t="s">
        <v>12</v>
      </c>
      <c r="E538" s="4">
        <v>73</v>
      </c>
      <c r="F538" s="4" t="s">
        <v>153</v>
      </c>
      <c r="G538" s="4" t="s">
        <v>212</v>
      </c>
      <c r="H538" s="4" t="s">
        <v>21</v>
      </c>
      <c r="I538" s="4" t="s">
        <v>155</v>
      </c>
      <c r="J538" s="4" t="s">
        <v>156</v>
      </c>
      <c r="K538" s="4" t="s">
        <v>30</v>
      </c>
      <c r="L538" s="4" t="s">
        <v>3743</v>
      </c>
      <c r="M538" s="4" t="s">
        <v>3746</v>
      </c>
      <c r="N538" s="4" t="s">
        <v>3747</v>
      </c>
      <c r="O538" s="17">
        <f>INDEX('список ID из СУЭ с должностями'!$A:$F,MATCH(E538,'список ID из СУЭ с должностями'!$B:$B,0),5)</f>
        <v>0</v>
      </c>
    </row>
    <row r="539" spans="1:15" ht="90">
      <c r="A539" s="3" t="s">
        <v>10</v>
      </c>
      <c r="B539" s="3" t="s">
        <v>11</v>
      </c>
      <c r="C539" s="4">
        <v>2026</v>
      </c>
      <c r="D539" s="5" t="s">
        <v>12</v>
      </c>
      <c r="E539" s="4">
        <v>73</v>
      </c>
      <c r="F539" s="4" t="s">
        <v>153</v>
      </c>
      <c r="G539" s="4" t="s">
        <v>212</v>
      </c>
      <c r="H539" s="4" t="s">
        <v>15</v>
      </c>
      <c r="I539" s="4" t="s">
        <v>159</v>
      </c>
      <c r="J539" s="4" t="s">
        <v>213</v>
      </c>
      <c r="K539" s="4" t="s">
        <v>20</v>
      </c>
      <c r="L539" s="4" t="s">
        <v>3743</v>
      </c>
      <c r="M539" s="4" t="s">
        <v>3746</v>
      </c>
      <c r="N539" s="4" t="s">
        <v>3747</v>
      </c>
      <c r="O539" s="17">
        <f>INDEX('список ID из СУЭ с должностями'!$A:$F,MATCH(E539,'список ID из СУЭ с должностями'!$B:$B,0),5)</f>
        <v>0</v>
      </c>
    </row>
    <row r="540" spans="1:15" ht="60">
      <c r="A540" s="3" t="s">
        <v>10</v>
      </c>
      <c r="B540" s="3" t="s">
        <v>11</v>
      </c>
      <c r="C540" s="4">
        <v>2026</v>
      </c>
      <c r="D540" s="5" t="s">
        <v>12</v>
      </c>
      <c r="E540" s="4">
        <v>73</v>
      </c>
      <c r="F540" s="4" t="s">
        <v>153</v>
      </c>
      <c r="G540" s="4" t="s">
        <v>212</v>
      </c>
      <c r="H540" s="4" t="s">
        <v>15</v>
      </c>
      <c r="I540" s="4" t="s">
        <v>161</v>
      </c>
      <c r="J540" s="4" t="s">
        <v>162</v>
      </c>
      <c r="K540" s="4" t="s">
        <v>151</v>
      </c>
      <c r="L540" s="4" t="s">
        <v>3743</v>
      </c>
      <c r="M540" s="4" t="s">
        <v>3746</v>
      </c>
      <c r="N540" s="4" t="s">
        <v>3747</v>
      </c>
      <c r="O540" s="17">
        <f>INDEX('список ID из СУЭ с должностями'!$A:$F,MATCH(E540,'список ID из СУЭ с должностями'!$B:$B,0),5)</f>
        <v>0</v>
      </c>
    </row>
    <row r="541" spans="1:15" ht="60">
      <c r="A541" s="3" t="s">
        <v>10</v>
      </c>
      <c r="B541" s="3" t="s">
        <v>11</v>
      </c>
      <c r="C541" s="4">
        <v>2026</v>
      </c>
      <c r="D541" s="5" t="s">
        <v>12</v>
      </c>
      <c r="E541" s="4">
        <v>73</v>
      </c>
      <c r="F541" s="4" t="s">
        <v>153</v>
      </c>
      <c r="G541" s="4" t="s">
        <v>212</v>
      </c>
      <c r="H541" s="4" t="s">
        <v>41</v>
      </c>
      <c r="I541" s="4" t="s">
        <v>165</v>
      </c>
      <c r="J541" s="4" t="s">
        <v>166</v>
      </c>
      <c r="K541" s="4" t="s">
        <v>151</v>
      </c>
      <c r="L541" s="4" t="s">
        <v>3743</v>
      </c>
      <c r="M541" s="4" t="s">
        <v>3746</v>
      </c>
      <c r="N541" s="4" t="s">
        <v>3747</v>
      </c>
      <c r="O541" s="17">
        <f>INDEX('список ID из СУЭ с должностями'!$A:$F,MATCH(E541,'список ID из СУЭ с должностями'!$B:$B,0),5)</f>
        <v>0</v>
      </c>
    </row>
    <row r="542" spans="1:15" ht="105">
      <c r="A542" s="3" t="s">
        <v>10</v>
      </c>
      <c r="B542" s="3" t="s">
        <v>11</v>
      </c>
      <c r="C542" s="4">
        <v>2026</v>
      </c>
      <c r="D542" s="5" t="s">
        <v>12</v>
      </c>
      <c r="E542" s="4">
        <v>73</v>
      </c>
      <c r="F542" s="4" t="s">
        <v>153</v>
      </c>
      <c r="G542" s="4" t="s">
        <v>212</v>
      </c>
      <c r="H542" s="4" t="s">
        <v>15</v>
      </c>
      <c r="I542" s="4" t="s">
        <v>167</v>
      </c>
      <c r="J542" s="4" t="s">
        <v>168</v>
      </c>
      <c r="K542" s="4" t="s">
        <v>20</v>
      </c>
      <c r="L542" s="4" t="s">
        <v>3743</v>
      </c>
      <c r="M542" s="4" t="s">
        <v>3746</v>
      </c>
      <c r="N542" s="4" t="s">
        <v>3747</v>
      </c>
      <c r="O542" s="17">
        <f>INDEX('список ID из СУЭ с должностями'!$A:$F,MATCH(E542,'список ID из СУЭ с должностями'!$B:$B,0),5)</f>
        <v>0</v>
      </c>
    </row>
    <row r="543" spans="1:15" ht="60">
      <c r="A543" s="3" t="s">
        <v>10</v>
      </c>
      <c r="B543" s="3" t="s">
        <v>11</v>
      </c>
      <c r="C543" s="4">
        <v>2026</v>
      </c>
      <c r="D543" s="5" t="s">
        <v>12</v>
      </c>
      <c r="E543" s="4">
        <v>73</v>
      </c>
      <c r="F543" s="4" t="s">
        <v>153</v>
      </c>
      <c r="G543" s="4" t="s">
        <v>212</v>
      </c>
      <c r="H543" s="4" t="s">
        <v>15</v>
      </c>
      <c r="I543" s="4" t="s">
        <v>163</v>
      </c>
      <c r="J543" s="4" t="s">
        <v>164</v>
      </c>
      <c r="K543" s="4" t="s">
        <v>38</v>
      </c>
      <c r="L543" s="4" t="s">
        <v>3742</v>
      </c>
      <c r="M543" s="4" t="s">
        <v>3746</v>
      </c>
      <c r="N543" s="4" t="s">
        <v>3747</v>
      </c>
      <c r="O543" s="17">
        <f>INDEX('список ID из СУЭ с должностями'!$A:$F,MATCH(E543,'список ID из СУЭ с должностями'!$B:$B,0),5)</f>
        <v>0</v>
      </c>
    </row>
    <row r="544" spans="1:15" ht="60">
      <c r="A544" s="3" t="s">
        <v>10</v>
      </c>
      <c r="B544" s="3" t="s">
        <v>11</v>
      </c>
      <c r="C544" s="4">
        <v>2026</v>
      </c>
      <c r="D544" s="5" t="s">
        <v>12</v>
      </c>
      <c r="E544" s="4">
        <v>73</v>
      </c>
      <c r="F544" s="4" t="s">
        <v>153</v>
      </c>
      <c r="G544" s="4" t="s">
        <v>212</v>
      </c>
      <c r="H544" s="4" t="s">
        <v>15</v>
      </c>
      <c r="I544" s="4" t="s">
        <v>169</v>
      </c>
      <c r="J544" s="4" t="s">
        <v>170</v>
      </c>
      <c r="K544" s="4" t="s">
        <v>55</v>
      </c>
      <c r="L544" s="4" t="s">
        <v>3743</v>
      </c>
      <c r="M544" s="4" t="s">
        <v>3746</v>
      </c>
      <c r="N544" s="4" t="s">
        <v>3747</v>
      </c>
      <c r="O544" s="17">
        <f>INDEX('список ID из СУЭ с должностями'!$A:$F,MATCH(E544,'список ID из СУЭ с должностями'!$B:$B,0),5)</f>
        <v>0</v>
      </c>
    </row>
    <row r="545" spans="1:15" ht="90">
      <c r="A545" s="3" t="s">
        <v>10</v>
      </c>
      <c r="B545" s="3" t="s">
        <v>11</v>
      </c>
      <c r="C545" s="4">
        <v>2026</v>
      </c>
      <c r="D545" s="5" t="s">
        <v>12</v>
      </c>
      <c r="E545" s="4">
        <v>73</v>
      </c>
      <c r="F545" s="4" t="s">
        <v>153</v>
      </c>
      <c r="G545" s="4" t="s">
        <v>212</v>
      </c>
      <c r="H545" s="4" t="s">
        <v>21</v>
      </c>
      <c r="I545" s="4" t="s">
        <v>171</v>
      </c>
      <c r="J545" s="4" t="s">
        <v>172</v>
      </c>
      <c r="K545" s="4" t="s">
        <v>35</v>
      </c>
      <c r="L545" s="4" t="s">
        <v>3743</v>
      </c>
      <c r="M545" s="4" t="s">
        <v>3746</v>
      </c>
      <c r="N545" s="4" t="s">
        <v>3747</v>
      </c>
      <c r="O545" s="17">
        <f>INDEX('список ID из СУЭ с должностями'!$A:$F,MATCH(E545,'список ID из СУЭ с должностями'!$B:$B,0),5)</f>
        <v>0</v>
      </c>
    </row>
    <row r="546" spans="1:15" ht="60">
      <c r="A546" s="3" t="s">
        <v>10</v>
      </c>
      <c r="B546" s="3" t="s">
        <v>11</v>
      </c>
      <c r="C546" s="4">
        <v>2026</v>
      </c>
      <c r="D546" s="5" t="s">
        <v>12</v>
      </c>
      <c r="E546" s="4">
        <v>73</v>
      </c>
      <c r="F546" s="4" t="s">
        <v>153</v>
      </c>
      <c r="G546" s="4" t="s">
        <v>212</v>
      </c>
      <c r="H546" s="4" t="s">
        <v>15</v>
      </c>
      <c r="I546" s="4" t="s">
        <v>173</v>
      </c>
      <c r="J546" s="4" t="s">
        <v>174</v>
      </c>
      <c r="K546" s="4" t="s">
        <v>151</v>
      </c>
      <c r="L546" s="4" t="s">
        <v>3743</v>
      </c>
      <c r="M546" s="4" t="s">
        <v>3746</v>
      </c>
      <c r="N546" s="4" t="s">
        <v>3747</v>
      </c>
      <c r="O546" s="17">
        <f>INDEX('список ID из СУЭ с должностями'!$A:$F,MATCH(E546,'список ID из СУЭ с должностями'!$B:$B,0),5)</f>
        <v>0</v>
      </c>
    </row>
    <row r="547" spans="1:15" ht="150">
      <c r="A547" s="3" t="s">
        <v>10</v>
      </c>
      <c r="B547" s="3" t="s">
        <v>11</v>
      </c>
      <c r="C547" s="4">
        <v>2026</v>
      </c>
      <c r="D547" s="5" t="s">
        <v>12</v>
      </c>
      <c r="E547" s="4">
        <v>74</v>
      </c>
      <c r="F547" s="4" t="s">
        <v>193</v>
      </c>
      <c r="G547" s="4" t="s">
        <v>40</v>
      </c>
      <c r="H547" s="4" t="s">
        <v>41</v>
      </c>
      <c r="I547" s="4" t="s">
        <v>42</v>
      </c>
      <c r="J547" s="4" t="s">
        <v>43</v>
      </c>
      <c r="K547" s="4" t="s">
        <v>25</v>
      </c>
      <c r="L547" s="4" t="s">
        <v>3743</v>
      </c>
      <c r="M547" s="4" t="s">
        <v>3746</v>
      </c>
      <c r="N547" s="4" t="s">
        <v>3747</v>
      </c>
      <c r="O547" s="17" t="str">
        <f>INDEX('список ID из СУЭ с должностями'!$A:$F,MATCH(E547,'список ID из СУЭ с должностями'!$B:$B,0),5)</f>
        <v>Инж смены</v>
      </c>
    </row>
    <row r="548" spans="1:15" ht="45">
      <c r="A548" s="3" t="s">
        <v>10</v>
      </c>
      <c r="B548" s="3" t="s">
        <v>11</v>
      </c>
      <c r="C548" s="4">
        <v>2026</v>
      </c>
      <c r="D548" s="5" t="s">
        <v>12</v>
      </c>
      <c r="E548" s="4">
        <v>74</v>
      </c>
      <c r="F548" s="4" t="s">
        <v>193</v>
      </c>
      <c r="G548" s="4" t="s">
        <v>40</v>
      </c>
      <c r="H548" s="4" t="s">
        <v>15</v>
      </c>
      <c r="I548" s="4" t="s">
        <v>48</v>
      </c>
      <c r="J548" s="4" t="s">
        <v>187</v>
      </c>
      <c r="K548" s="4" t="s">
        <v>35</v>
      </c>
      <c r="L548" s="4" t="s">
        <v>3743</v>
      </c>
      <c r="M548" s="4" t="s">
        <v>3746</v>
      </c>
      <c r="N548" s="4" t="s">
        <v>3747</v>
      </c>
      <c r="O548" s="17" t="str">
        <f>INDEX('список ID из СУЭ с должностями'!$A:$F,MATCH(E548,'список ID из СУЭ с должностями'!$B:$B,0),5)</f>
        <v>Инж смены</v>
      </c>
    </row>
    <row r="549" spans="1:15" ht="150">
      <c r="A549" s="3" t="s">
        <v>10</v>
      </c>
      <c r="B549" s="3" t="s">
        <v>11</v>
      </c>
      <c r="C549" s="4">
        <v>2026</v>
      </c>
      <c r="D549" s="5" t="s">
        <v>12</v>
      </c>
      <c r="E549" s="4">
        <v>74</v>
      </c>
      <c r="F549" s="4" t="s">
        <v>193</v>
      </c>
      <c r="G549" s="4" t="s">
        <v>40</v>
      </c>
      <c r="H549" s="4" t="s">
        <v>21</v>
      </c>
      <c r="I549" s="4" t="s">
        <v>829</v>
      </c>
      <c r="J549" s="4" t="s">
        <v>830</v>
      </c>
      <c r="K549" s="4" t="s">
        <v>20</v>
      </c>
      <c r="L549" s="4" t="s">
        <v>3743</v>
      </c>
      <c r="M549" s="4" t="s">
        <v>3746</v>
      </c>
      <c r="N549" s="4" t="s">
        <v>3747</v>
      </c>
      <c r="O549" s="17" t="str">
        <f>INDEX('список ID из СУЭ с должностями'!$A:$F,MATCH(E549,'список ID из СУЭ с должностями'!$B:$B,0),5)</f>
        <v>Инж смены</v>
      </c>
    </row>
    <row r="550" spans="1:15" ht="45">
      <c r="A550" s="3" t="s">
        <v>10</v>
      </c>
      <c r="B550" s="3" t="s">
        <v>11</v>
      </c>
      <c r="C550" s="4">
        <v>2026</v>
      </c>
      <c r="D550" s="5" t="s">
        <v>12</v>
      </c>
      <c r="E550" s="4">
        <v>74</v>
      </c>
      <c r="F550" s="4" t="s">
        <v>193</v>
      </c>
      <c r="G550" s="4" t="s">
        <v>40</v>
      </c>
      <c r="H550" s="4" t="s">
        <v>15</v>
      </c>
      <c r="I550" s="4" t="s">
        <v>831</v>
      </c>
      <c r="J550" s="4" t="s">
        <v>832</v>
      </c>
      <c r="K550" s="4" t="s">
        <v>66</v>
      </c>
      <c r="L550" s="4" t="s">
        <v>3742</v>
      </c>
      <c r="M550" s="4" t="s">
        <v>3746</v>
      </c>
      <c r="N550" s="4" t="s">
        <v>3747</v>
      </c>
      <c r="O550" s="17" t="str">
        <f>INDEX('список ID из СУЭ с должностями'!$A:$F,MATCH(E550,'список ID из СУЭ с должностями'!$B:$B,0),5)</f>
        <v>Инж смены</v>
      </c>
    </row>
    <row r="551" spans="1:15" ht="45">
      <c r="A551" s="3" t="s">
        <v>10</v>
      </c>
      <c r="B551" s="3" t="s">
        <v>11</v>
      </c>
      <c r="C551" s="4">
        <v>2026</v>
      </c>
      <c r="D551" s="5" t="s">
        <v>12</v>
      </c>
      <c r="E551" s="4">
        <v>74</v>
      </c>
      <c r="F551" s="4" t="s">
        <v>193</v>
      </c>
      <c r="G551" s="4" t="s">
        <v>40</v>
      </c>
      <c r="H551" s="4" t="s">
        <v>15</v>
      </c>
      <c r="I551" s="4" t="s">
        <v>62</v>
      </c>
      <c r="J551" s="4" t="s">
        <v>833</v>
      </c>
      <c r="K551" s="4" t="s">
        <v>52</v>
      </c>
      <c r="L551" s="4" t="s">
        <v>3743</v>
      </c>
      <c r="M551" s="4" t="s">
        <v>3746</v>
      </c>
      <c r="N551" s="4" t="s">
        <v>3747</v>
      </c>
      <c r="O551" s="17" t="str">
        <f>INDEX('список ID из СУЭ с должностями'!$A:$F,MATCH(E551,'список ID из СУЭ с должностями'!$B:$B,0),5)</f>
        <v>Инж смены</v>
      </c>
    </row>
    <row r="552" spans="1:15" ht="45">
      <c r="A552" s="3" t="s">
        <v>10</v>
      </c>
      <c r="B552" s="3" t="s">
        <v>11</v>
      </c>
      <c r="C552" s="4">
        <v>2026</v>
      </c>
      <c r="D552" s="5" t="s">
        <v>12</v>
      </c>
      <c r="E552" s="4">
        <v>74</v>
      </c>
      <c r="F552" s="4" t="s">
        <v>193</v>
      </c>
      <c r="G552" s="4" t="s">
        <v>40</v>
      </c>
      <c r="H552" s="4" t="s">
        <v>41</v>
      </c>
      <c r="I552" s="4" t="s">
        <v>834</v>
      </c>
      <c r="J552" s="4" t="s">
        <v>835</v>
      </c>
      <c r="K552" s="4" t="s">
        <v>52</v>
      </c>
      <c r="L552" s="4" t="s">
        <v>3743</v>
      </c>
      <c r="M552" s="4" t="s">
        <v>3746</v>
      </c>
      <c r="N552" s="4" t="s">
        <v>3747</v>
      </c>
      <c r="O552" s="17" t="str">
        <f>INDEX('список ID из СУЭ с должностями'!$A:$F,MATCH(E552,'список ID из СУЭ с должностями'!$B:$B,0),5)</f>
        <v>Инж смены</v>
      </c>
    </row>
    <row r="553" spans="1:15" ht="120">
      <c r="A553" s="3" t="s">
        <v>10</v>
      </c>
      <c r="B553" s="3" t="s">
        <v>11</v>
      </c>
      <c r="C553" s="4">
        <v>2026</v>
      </c>
      <c r="D553" s="5" t="s">
        <v>12</v>
      </c>
      <c r="E553" s="4">
        <v>75</v>
      </c>
      <c r="F553" s="4" t="s">
        <v>454</v>
      </c>
      <c r="G553" s="4" t="s">
        <v>455</v>
      </c>
      <c r="H553" s="4" t="s">
        <v>15</v>
      </c>
      <c r="I553" s="4" t="s">
        <v>456</v>
      </c>
      <c r="J553" s="4" t="s">
        <v>457</v>
      </c>
      <c r="K553" s="4" t="s">
        <v>23</v>
      </c>
      <c r="L553" s="4" t="s">
        <v>3743</v>
      </c>
      <c r="M553" s="4" t="s">
        <v>3748</v>
      </c>
      <c r="N553" s="4" t="s">
        <v>3752</v>
      </c>
      <c r="O553" s="17">
        <f>INDEX('список ID из СУЭ с должностями'!$A:$F,MATCH(E553,'список ID из СУЭ с должностями'!$B:$B,0),5)</f>
        <v>0</v>
      </c>
    </row>
    <row r="554" spans="1:15" ht="375">
      <c r="A554" s="3" t="s">
        <v>10</v>
      </c>
      <c r="B554" s="3" t="s">
        <v>11</v>
      </c>
      <c r="C554" s="4">
        <v>2026</v>
      </c>
      <c r="D554" s="5" t="s">
        <v>12</v>
      </c>
      <c r="E554" s="4">
        <v>75</v>
      </c>
      <c r="F554" s="4" t="s">
        <v>454</v>
      </c>
      <c r="G554" s="4" t="s">
        <v>455</v>
      </c>
      <c r="H554" s="4" t="s">
        <v>15</v>
      </c>
      <c r="I554" s="4" t="s">
        <v>460</v>
      </c>
      <c r="J554" s="4" t="s">
        <v>461</v>
      </c>
      <c r="K554" s="4" t="s">
        <v>38</v>
      </c>
      <c r="L554" s="4" t="s">
        <v>3743</v>
      </c>
      <c r="M554" s="4" t="s">
        <v>3746</v>
      </c>
      <c r="N554" s="4" t="s">
        <v>3747</v>
      </c>
      <c r="O554" s="17">
        <f>INDEX('список ID из СУЭ с должностями'!$A:$F,MATCH(E554,'список ID из СУЭ с должностями'!$B:$B,0),5)</f>
        <v>0</v>
      </c>
    </row>
    <row r="555" spans="1:15" ht="120">
      <c r="A555" s="3" t="s">
        <v>10</v>
      </c>
      <c r="B555" s="3" t="s">
        <v>11</v>
      </c>
      <c r="C555" s="4">
        <v>2026</v>
      </c>
      <c r="D555" s="5" t="s">
        <v>12</v>
      </c>
      <c r="E555" s="4">
        <v>75</v>
      </c>
      <c r="F555" s="4" t="s">
        <v>454</v>
      </c>
      <c r="G555" s="4" t="s">
        <v>455</v>
      </c>
      <c r="H555" s="4" t="s">
        <v>15</v>
      </c>
      <c r="I555" s="4" t="s">
        <v>462</v>
      </c>
      <c r="J555" s="4" t="s">
        <v>463</v>
      </c>
      <c r="K555" s="4" t="s">
        <v>35</v>
      </c>
      <c r="L555" s="4" t="s">
        <v>3742</v>
      </c>
      <c r="M555" s="4" t="s">
        <v>3746</v>
      </c>
      <c r="N555" s="4" t="s">
        <v>3747</v>
      </c>
      <c r="O555" s="17">
        <f>INDEX('список ID из СУЭ с должностями'!$A:$F,MATCH(E555,'список ID из СУЭ с должностями'!$B:$B,0),5)</f>
        <v>0</v>
      </c>
    </row>
    <row r="556" spans="1:15" ht="409.5">
      <c r="A556" s="3" t="s">
        <v>10</v>
      </c>
      <c r="B556" s="3" t="s">
        <v>11</v>
      </c>
      <c r="C556" s="4">
        <v>2026</v>
      </c>
      <c r="D556" s="5" t="s">
        <v>12</v>
      </c>
      <c r="E556" s="4">
        <v>75</v>
      </c>
      <c r="F556" s="4" t="s">
        <v>454</v>
      </c>
      <c r="G556" s="4" t="s">
        <v>455</v>
      </c>
      <c r="H556" s="4" t="s">
        <v>15</v>
      </c>
      <c r="I556" s="4" t="s">
        <v>464</v>
      </c>
      <c r="J556" s="4" t="s">
        <v>465</v>
      </c>
      <c r="K556" s="4" t="s">
        <v>66</v>
      </c>
      <c r="L556" s="4" t="s">
        <v>3743</v>
      </c>
      <c r="M556" s="4" t="s">
        <v>3746</v>
      </c>
      <c r="N556" s="4" t="s">
        <v>3747</v>
      </c>
      <c r="O556" s="17">
        <f>INDEX('список ID из СУЭ с должностями'!$A:$F,MATCH(E556,'список ID из СУЭ с должностями'!$B:$B,0),5)</f>
        <v>0</v>
      </c>
    </row>
    <row r="557" spans="1:15" ht="120">
      <c r="A557" s="3" t="s">
        <v>10</v>
      </c>
      <c r="B557" s="3" t="s">
        <v>11</v>
      </c>
      <c r="C557" s="4">
        <v>2026</v>
      </c>
      <c r="D557" s="5" t="s">
        <v>12</v>
      </c>
      <c r="E557" s="4">
        <v>75</v>
      </c>
      <c r="F557" s="4" t="s">
        <v>454</v>
      </c>
      <c r="G557" s="4" t="s">
        <v>455</v>
      </c>
      <c r="H557" s="4" t="s">
        <v>15</v>
      </c>
      <c r="I557" s="4" t="s">
        <v>466</v>
      </c>
      <c r="J557" s="4" t="s">
        <v>467</v>
      </c>
      <c r="K557" s="4" t="s">
        <v>30</v>
      </c>
      <c r="L557" s="4" t="s">
        <v>3742</v>
      </c>
      <c r="M557" s="4" t="s">
        <v>3746</v>
      </c>
      <c r="N557" s="4" t="s">
        <v>3747</v>
      </c>
      <c r="O557" s="17">
        <f>INDEX('список ID из СУЭ с должностями'!$A:$F,MATCH(E557,'список ID из СУЭ с должностями'!$B:$B,0),5)</f>
        <v>0</v>
      </c>
    </row>
    <row r="558" spans="1:15" ht="120">
      <c r="A558" s="3" t="s">
        <v>10</v>
      </c>
      <c r="B558" s="3" t="s">
        <v>11</v>
      </c>
      <c r="C558" s="4">
        <v>2026</v>
      </c>
      <c r="D558" s="5" t="s">
        <v>12</v>
      </c>
      <c r="E558" s="4">
        <v>75</v>
      </c>
      <c r="F558" s="4" t="s">
        <v>454</v>
      </c>
      <c r="G558" s="4" t="s">
        <v>455</v>
      </c>
      <c r="H558" s="4" t="s">
        <v>15</v>
      </c>
      <c r="I558" s="4" t="s">
        <v>468</v>
      </c>
      <c r="J558" s="4" t="s">
        <v>79</v>
      </c>
      <c r="K558" s="4" t="s">
        <v>30</v>
      </c>
      <c r="L558" s="4" t="s">
        <v>3742</v>
      </c>
      <c r="M558" s="4" t="s">
        <v>3746</v>
      </c>
      <c r="N558" s="4" t="s">
        <v>3747</v>
      </c>
      <c r="O558" s="17">
        <f>INDEX('список ID из СУЭ с должностями'!$A:$F,MATCH(E558,'список ID из СУЭ с должностями'!$B:$B,0),5)</f>
        <v>0</v>
      </c>
    </row>
    <row r="559" spans="1:15" ht="210">
      <c r="A559" s="3" t="s">
        <v>10</v>
      </c>
      <c r="B559" s="3" t="s">
        <v>11</v>
      </c>
      <c r="C559" s="4">
        <v>2026</v>
      </c>
      <c r="D559" s="5" t="s">
        <v>12</v>
      </c>
      <c r="E559" s="4">
        <v>75</v>
      </c>
      <c r="F559" s="4" t="s">
        <v>454</v>
      </c>
      <c r="G559" s="4" t="s">
        <v>455</v>
      </c>
      <c r="H559" s="4" t="s">
        <v>15</v>
      </c>
      <c r="I559" s="4" t="s">
        <v>469</v>
      </c>
      <c r="J559" s="4" t="s">
        <v>470</v>
      </c>
      <c r="K559" s="4" t="s">
        <v>30</v>
      </c>
      <c r="L559" s="4" t="s">
        <v>3743</v>
      </c>
      <c r="M559" s="4" t="s">
        <v>3746</v>
      </c>
      <c r="N559" s="4" t="s">
        <v>3747</v>
      </c>
      <c r="O559" s="17">
        <f>INDEX('список ID из СУЭ с должностями'!$A:$F,MATCH(E559,'список ID из СУЭ с должностями'!$B:$B,0),5)</f>
        <v>0</v>
      </c>
    </row>
    <row r="560" spans="1:15" ht="120">
      <c r="A560" s="3" t="s">
        <v>10</v>
      </c>
      <c r="B560" s="3" t="s">
        <v>11</v>
      </c>
      <c r="C560" s="4">
        <v>2026</v>
      </c>
      <c r="D560" s="5" t="s">
        <v>12</v>
      </c>
      <c r="E560" s="4">
        <v>75</v>
      </c>
      <c r="F560" s="4" t="s">
        <v>454</v>
      </c>
      <c r="G560" s="4" t="s">
        <v>455</v>
      </c>
      <c r="H560" s="4" t="s">
        <v>15</v>
      </c>
      <c r="I560" s="4" t="s">
        <v>471</v>
      </c>
      <c r="J560" s="4" t="s">
        <v>463</v>
      </c>
      <c r="K560" s="4" t="s">
        <v>188</v>
      </c>
      <c r="L560" s="4" t="s">
        <v>3742</v>
      </c>
      <c r="M560" s="4" t="s">
        <v>3746</v>
      </c>
      <c r="N560" s="4" t="s">
        <v>3747</v>
      </c>
      <c r="O560" s="17">
        <f>INDEX('список ID из СУЭ с должностями'!$A:$F,MATCH(E560,'список ID из СУЭ с должностями'!$B:$B,0),5)</f>
        <v>0</v>
      </c>
    </row>
    <row r="561" spans="1:15" ht="409.5">
      <c r="A561" s="3" t="s">
        <v>10</v>
      </c>
      <c r="B561" s="3" t="s">
        <v>11</v>
      </c>
      <c r="C561" s="4">
        <v>2026</v>
      </c>
      <c r="D561" s="5" t="s">
        <v>12</v>
      </c>
      <c r="E561" s="4">
        <v>75</v>
      </c>
      <c r="F561" s="4" t="s">
        <v>454</v>
      </c>
      <c r="G561" s="4" t="s">
        <v>455</v>
      </c>
      <c r="H561" s="4" t="s">
        <v>15</v>
      </c>
      <c r="I561" s="4" t="s">
        <v>472</v>
      </c>
      <c r="J561" s="4" t="s">
        <v>473</v>
      </c>
      <c r="K561" s="4" t="s">
        <v>25</v>
      </c>
      <c r="L561" s="4" t="s">
        <v>3743</v>
      </c>
      <c r="M561" s="4" t="s">
        <v>3746</v>
      </c>
      <c r="N561" s="4" t="s">
        <v>3747</v>
      </c>
      <c r="O561" s="17">
        <f>INDEX('список ID из СУЭ с должностями'!$A:$F,MATCH(E561,'список ID из СУЭ с должностями'!$B:$B,0),5)</f>
        <v>0</v>
      </c>
    </row>
    <row r="562" spans="1:15" ht="330">
      <c r="A562" s="3" t="s">
        <v>10</v>
      </c>
      <c r="B562" s="3" t="s">
        <v>11</v>
      </c>
      <c r="C562" s="4">
        <v>2026</v>
      </c>
      <c r="D562" s="5" t="s">
        <v>12</v>
      </c>
      <c r="E562" s="4">
        <v>76</v>
      </c>
      <c r="F562" s="4" t="s">
        <v>385</v>
      </c>
      <c r="G562" s="4" t="s">
        <v>836</v>
      </c>
      <c r="H562" s="4" t="s">
        <v>15</v>
      </c>
      <c r="I562" s="4" t="s">
        <v>837</v>
      </c>
      <c r="J562" s="4" t="s">
        <v>838</v>
      </c>
      <c r="K562" s="4" t="s">
        <v>23</v>
      </c>
      <c r="L562" s="4" t="s">
        <v>3743</v>
      </c>
      <c r="M562" s="4" t="s">
        <v>3748</v>
      </c>
      <c r="N562" s="4" t="s">
        <v>3752</v>
      </c>
      <c r="O562" s="17">
        <f>INDEX('список ID из СУЭ с должностями'!$A:$F,MATCH(E562,'список ID из СУЭ с должностями'!$B:$B,0),5)</f>
        <v>0</v>
      </c>
    </row>
    <row r="563" spans="1:15" ht="225">
      <c r="A563" s="3" t="s">
        <v>10</v>
      </c>
      <c r="B563" s="3" t="s">
        <v>11</v>
      </c>
      <c r="C563" s="4">
        <v>2026</v>
      </c>
      <c r="D563" s="5" t="s">
        <v>12</v>
      </c>
      <c r="E563" s="4">
        <v>76</v>
      </c>
      <c r="F563" s="4" t="s">
        <v>385</v>
      </c>
      <c r="G563" s="4" t="s">
        <v>836</v>
      </c>
      <c r="H563" s="4" t="s">
        <v>15</v>
      </c>
      <c r="I563" s="4" t="s">
        <v>839</v>
      </c>
      <c r="J563" s="4" t="s">
        <v>840</v>
      </c>
      <c r="K563" s="4" t="s">
        <v>23</v>
      </c>
      <c r="L563" s="4" t="s">
        <v>3743</v>
      </c>
      <c r="M563" s="4" t="s">
        <v>3748</v>
      </c>
      <c r="N563" s="4" t="s">
        <v>3752</v>
      </c>
      <c r="O563" s="17">
        <f>INDEX('список ID из СУЭ с должностями'!$A:$F,MATCH(E563,'список ID из СУЭ с должностями'!$B:$B,0),5)</f>
        <v>0</v>
      </c>
    </row>
    <row r="564" spans="1:15" ht="285">
      <c r="A564" s="3" t="s">
        <v>10</v>
      </c>
      <c r="B564" s="3" t="s">
        <v>11</v>
      </c>
      <c r="C564" s="4">
        <v>2026</v>
      </c>
      <c r="D564" s="5" t="s">
        <v>12</v>
      </c>
      <c r="E564" s="4">
        <v>76</v>
      </c>
      <c r="F564" s="4" t="s">
        <v>385</v>
      </c>
      <c r="G564" s="4" t="s">
        <v>836</v>
      </c>
      <c r="H564" s="4" t="s">
        <v>21</v>
      </c>
      <c r="I564" s="4" t="s">
        <v>841</v>
      </c>
      <c r="J564" s="4" t="s">
        <v>842</v>
      </c>
      <c r="K564" s="4" t="s">
        <v>23</v>
      </c>
      <c r="L564" s="4" t="s">
        <v>3743</v>
      </c>
      <c r="M564" s="4" t="s">
        <v>3748</v>
      </c>
      <c r="N564" s="4" t="s">
        <v>3752</v>
      </c>
      <c r="O564" s="17">
        <f>INDEX('список ID из СУЭ с должностями'!$A:$F,MATCH(E564,'список ID из СУЭ с должностями'!$B:$B,0),5)</f>
        <v>0</v>
      </c>
    </row>
    <row r="565" spans="1:15" ht="255">
      <c r="A565" s="3" t="s">
        <v>10</v>
      </c>
      <c r="B565" s="3" t="s">
        <v>11</v>
      </c>
      <c r="C565" s="4">
        <v>2026</v>
      </c>
      <c r="D565" s="5" t="s">
        <v>12</v>
      </c>
      <c r="E565" s="4">
        <v>76</v>
      </c>
      <c r="F565" s="4" t="s">
        <v>385</v>
      </c>
      <c r="G565" s="4" t="s">
        <v>836</v>
      </c>
      <c r="H565" s="4" t="s">
        <v>21</v>
      </c>
      <c r="I565" s="4" t="s">
        <v>843</v>
      </c>
      <c r="J565" s="4" t="s">
        <v>844</v>
      </c>
      <c r="K565" s="4" t="s">
        <v>23</v>
      </c>
      <c r="L565" s="4" t="s">
        <v>3743</v>
      </c>
      <c r="M565" s="4" t="s">
        <v>3748</v>
      </c>
      <c r="N565" s="4" t="s">
        <v>3752</v>
      </c>
      <c r="O565" s="17">
        <f>INDEX('список ID из СУЭ с должностями'!$A:$F,MATCH(E565,'список ID из СУЭ с должностями'!$B:$B,0),5)</f>
        <v>0</v>
      </c>
    </row>
    <row r="566" spans="1:15" ht="225">
      <c r="A566" s="3" t="s">
        <v>10</v>
      </c>
      <c r="B566" s="3" t="s">
        <v>11</v>
      </c>
      <c r="C566" s="4">
        <v>2026</v>
      </c>
      <c r="D566" s="5" t="s">
        <v>12</v>
      </c>
      <c r="E566" s="4">
        <v>76</v>
      </c>
      <c r="F566" s="4" t="s">
        <v>385</v>
      </c>
      <c r="G566" s="4" t="s">
        <v>836</v>
      </c>
      <c r="H566" s="4" t="s">
        <v>15</v>
      </c>
      <c r="I566" s="4" t="s">
        <v>845</v>
      </c>
      <c r="J566" s="4" t="s">
        <v>846</v>
      </c>
      <c r="K566" s="4" t="s">
        <v>23</v>
      </c>
      <c r="L566" s="4" t="s">
        <v>3743</v>
      </c>
      <c r="M566" s="4" t="s">
        <v>3748</v>
      </c>
      <c r="N566" s="4" t="s">
        <v>3752</v>
      </c>
      <c r="O566" s="17">
        <f>INDEX('список ID из СУЭ с должностями'!$A:$F,MATCH(E566,'список ID из СУЭ с должностями'!$B:$B,0),5)</f>
        <v>0</v>
      </c>
    </row>
    <row r="567" spans="1:15" ht="75">
      <c r="A567" s="3" t="s">
        <v>10</v>
      </c>
      <c r="B567" s="3" t="s">
        <v>11</v>
      </c>
      <c r="C567" s="4">
        <v>2026</v>
      </c>
      <c r="D567" s="5" t="s">
        <v>12</v>
      </c>
      <c r="E567" s="4">
        <v>77</v>
      </c>
      <c r="F567" s="4" t="s">
        <v>67</v>
      </c>
      <c r="G567" s="4" t="s">
        <v>614</v>
      </c>
      <c r="H567" s="4" t="s">
        <v>15</v>
      </c>
      <c r="I567" s="4" t="s">
        <v>847</v>
      </c>
      <c r="J567" s="4" t="s">
        <v>718</v>
      </c>
      <c r="K567" s="4" t="s">
        <v>35</v>
      </c>
      <c r="L567" s="4" t="s">
        <v>3743</v>
      </c>
      <c r="M567" s="4" t="s">
        <v>3746</v>
      </c>
      <c r="N567" s="4" t="s">
        <v>3747</v>
      </c>
      <c r="O567" s="17">
        <f>INDEX('список ID из СУЭ с должностями'!$A:$F,MATCH(E567,'список ID из СУЭ с должностями'!$B:$B,0),5)</f>
        <v>0</v>
      </c>
    </row>
    <row r="568" spans="1:15" ht="165">
      <c r="A568" s="3" t="s">
        <v>10</v>
      </c>
      <c r="B568" s="3" t="s">
        <v>11</v>
      </c>
      <c r="C568" s="4">
        <v>2026</v>
      </c>
      <c r="D568" s="5" t="s">
        <v>12</v>
      </c>
      <c r="E568" s="4">
        <v>77</v>
      </c>
      <c r="F568" s="4" t="s">
        <v>67</v>
      </c>
      <c r="G568" s="4" t="s">
        <v>614</v>
      </c>
      <c r="H568" s="4" t="s">
        <v>15</v>
      </c>
      <c r="I568" s="4" t="s">
        <v>720</v>
      </c>
      <c r="J568" s="4" t="s">
        <v>848</v>
      </c>
      <c r="K568" s="4" t="s">
        <v>66</v>
      </c>
      <c r="L568" s="4" t="s">
        <v>3743</v>
      </c>
      <c r="M568" s="4" t="s">
        <v>3746</v>
      </c>
      <c r="N568" s="4" t="s">
        <v>3747</v>
      </c>
      <c r="O568" s="17">
        <f>INDEX('список ID из СУЭ с должностями'!$A:$F,MATCH(E568,'список ID из СУЭ с должностями'!$B:$B,0),5)</f>
        <v>0</v>
      </c>
    </row>
    <row r="569" spans="1:15" ht="105">
      <c r="A569" s="3" t="s">
        <v>10</v>
      </c>
      <c r="B569" s="3" t="s">
        <v>11</v>
      </c>
      <c r="C569" s="4">
        <v>2026</v>
      </c>
      <c r="D569" s="5" t="s">
        <v>12</v>
      </c>
      <c r="E569" s="4">
        <v>77</v>
      </c>
      <c r="F569" s="4" t="s">
        <v>67</v>
      </c>
      <c r="G569" s="4" t="s">
        <v>614</v>
      </c>
      <c r="H569" s="4" t="s">
        <v>15</v>
      </c>
      <c r="I569" s="4" t="s">
        <v>624</v>
      </c>
      <c r="J569" s="4" t="s">
        <v>849</v>
      </c>
      <c r="K569" s="4" t="s">
        <v>151</v>
      </c>
      <c r="L569" s="4" t="s">
        <v>3743</v>
      </c>
      <c r="M569" s="4" t="s">
        <v>3746</v>
      </c>
      <c r="N569" s="4" t="s">
        <v>3747</v>
      </c>
      <c r="O569" s="17">
        <f>INDEX('список ID из СУЭ с должностями'!$A:$F,MATCH(E569,'список ID из СУЭ с должностями'!$B:$B,0),5)</f>
        <v>0</v>
      </c>
    </row>
    <row r="570" spans="1:15" ht="165">
      <c r="A570" s="3" t="s">
        <v>10</v>
      </c>
      <c r="B570" s="3" t="s">
        <v>11</v>
      </c>
      <c r="C570" s="4">
        <v>2026</v>
      </c>
      <c r="D570" s="5" t="s">
        <v>12</v>
      </c>
      <c r="E570" s="4">
        <v>77</v>
      </c>
      <c r="F570" s="4" t="s">
        <v>67</v>
      </c>
      <c r="G570" s="4" t="s">
        <v>614</v>
      </c>
      <c r="H570" s="4" t="s">
        <v>15</v>
      </c>
      <c r="I570" s="4" t="s">
        <v>714</v>
      </c>
      <c r="J570" s="4" t="s">
        <v>850</v>
      </c>
      <c r="K570" s="4" t="s">
        <v>716</v>
      </c>
      <c r="L570" s="4" t="s">
        <v>3743</v>
      </c>
      <c r="M570" s="4" t="s">
        <v>3746</v>
      </c>
      <c r="N570" s="4" t="s">
        <v>3758</v>
      </c>
      <c r="O570" s="17">
        <f>INDEX('список ID из СУЭ с должностями'!$A:$F,MATCH(E570,'список ID из СУЭ с должностями'!$B:$B,0),5)</f>
        <v>0</v>
      </c>
    </row>
    <row r="571" spans="1:15" ht="165">
      <c r="A571" s="3" t="s">
        <v>10</v>
      </c>
      <c r="B571" s="3" t="s">
        <v>11</v>
      </c>
      <c r="C571" s="4">
        <v>2026</v>
      </c>
      <c r="D571" s="5" t="s">
        <v>12</v>
      </c>
      <c r="E571" s="4">
        <v>78</v>
      </c>
      <c r="F571" s="4" t="s">
        <v>851</v>
      </c>
      <c r="G571" s="4" t="s">
        <v>852</v>
      </c>
      <c r="H571" s="4" t="s">
        <v>21</v>
      </c>
      <c r="I571" s="4" t="s">
        <v>806</v>
      </c>
      <c r="J571" s="4" t="s">
        <v>853</v>
      </c>
      <c r="K571" s="4" t="s">
        <v>35</v>
      </c>
      <c r="L571" s="4" t="s">
        <v>3742</v>
      </c>
      <c r="M571" s="4" t="s">
        <v>3746</v>
      </c>
      <c r="N571" s="4" t="s">
        <v>3747</v>
      </c>
      <c r="O571" s="17">
        <f>INDEX('список ID из СУЭ с должностями'!$A:$F,MATCH(E571,'список ID из СУЭ с должностями'!$B:$B,0),5)</f>
        <v>0</v>
      </c>
    </row>
    <row r="572" spans="1:15" ht="165">
      <c r="A572" s="3" t="s">
        <v>10</v>
      </c>
      <c r="B572" s="3" t="s">
        <v>11</v>
      </c>
      <c r="C572" s="4">
        <v>2026</v>
      </c>
      <c r="D572" s="5" t="s">
        <v>12</v>
      </c>
      <c r="E572" s="4">
        <v>78</v>
      </c>
      <c r="F572" s="4" t="s">
        <v>851</v>
      </c>
      <c r="G572" s="4" t="s">
        <v>852</v>
      </c>
      <c r="H572" s="4" t="s">
        <v>15</v>
      </c>
      <c r="I572" s="4" t="s">
        <v>855</v>
      </c>
      <c r="J572" s="4" t="s">
        <v>856</v>
      </c>
      <c r="K572" s="4" t="s">
        <v>35</v>
      </c>
      <c r="L572" s="4" t="s">
        <v>3743</v>
      </c>
      <c r="M572" s="4" t="s">
        <v>3746</v>
      </c>
      <c r="N572" s="4" t="s">
        <v>3747</v>
      </c>
      <c r="O572" s="17">
        <f>INDEX('список ID из СУЭ с должностями'!$A:$F,MATCH(E572,'список ID из СУЭ с должностями'!$B:$B,0),5)</f>
        <v>0</v>
      </c>
    </row>
    <row r="573" spans="1:15" ht="165">
      <c r="A573" s="3" t="s">
        <v>10</v>
      </c>
      <c r="B573" s="3" t="s">
        <v>11</v>
      </c>
      <c r="C573" s="4">
        <v>2026</v>
      </c>
      <c r="D573" s="5" t="s">
        <v>12</v>
      </c>
      <c r="E573" s="4">
        <v>78</v>
      </c>
      <c r="F573" s="4" t="s">
        <v>851</v>
      </c>
      <c r="G573" s="4" t="s">
        <v>852</v>
      </c>
      <c r="H573" s="4" t="s">
        <v>41</v>
      </c>
      <c r="I573" s="4" t="s">
        <v>857</v>
      </c>
      <c r="J573" s="4" t="s">
        <v>858</v>
      </c>
      <c r="K573" s="4" t="s">
        <v>35</v>
      </c>
      <c r="L573" s="4" t="s">
        <v>3742</v>
      </c>
      <c r="M573" s="4" t="s">
        <v>3746</v>
      </c>
      <c r="N573" s="4" t="s">
        <v>3747</v>
      </c>
      <c r="O573" s="17">
        <f>INDEX('список ID из СУЭ с должностями'!$A:$F,MATCH(E573,'список ID из СУЭ с должностями'!$B:$B,0),5)</f>
        <v>0</v>
      </c>
    </row>
    <row r="574" spans="1:15" ht="165">
      <c r="A574" s="3" t="s">
        <v>10</v>
      </c>
      <c r="B574" s="3" t="s">
        <v>11</v>
      </c>
      <c r="C574" s="4">
        <v>2026</v>
      </c>
      <c r="D574" s="5" t="s">
        <v>12</v>
      </c>
      <c r="E574" s="4">
        <v>78</v>
      </c>
      <c r="F574" s="4" t="s">
        <v>851</v>
      </c>
      <c r="G574" s="4" t="s">
        <v>852</v>
      </c>
      <c r="H574" s="4" t="s">
        <v>15</v>
      </c>
      <c r="I574" s="4" t="s">
        <v>149</v>
      </c>
      <c r="J574" s="4" t="s">
        <v>859</v>
      </c>
      <c r="K574" s="4" t="s">
        <v>52</v>
      </c>
      <c r="L574" s="4" t="s">
        <v>3743</v>
      </c>
      <c r="M574" s="4" t="s">
        <v>3746</v>
      </c>
      <c r="N574" s="4" t="s">
        <v>3747</v>
      </c>
      <c r="O574" s="17">
        <f>INDEX('список ID из СУЭ с должностями'!$A:$F,MATCH(E574,'список ID из СУЭ с должностями'!$B:$B,0),5)</f>
        <v>0</v>
      </c>
    </row>
    <row r="575" spans="1:15" ht="225">
      <c r="A575" s="3" t="s">
        <v>10</v>
      </c>
      <c r="B575" s="3" t="s">
        <v>11</v>
      </c>
      <c r="C575" s="4">
        <v>2026</v>
      </c>
      <c r="D575" s="5" t="s">
        <v>12</v>
      </c>
      <c r="E575" s="4">
        <v>78</v>
      </c>
      <c r="F575" s="4" t="s">
        <v>851</v>
      </c>
      <c r="G575" s="4" t="s">
        <v>852</v>
      </c>
      <c r="H575" s="4" t="s">
        <v>15</v>
      </c>
      <c r="I575" s="4" t="s">
        <v>303</v>
      </c>
      <c r="J575" s="4" t="s">
        <v>860</v>
      </c>
      <c r="K575" s="4" t="s">
        <v>52</v>
      </c>
      <c r="L575" s="4" t="s">
        <v>3743</v>
      </c>
      <c r="M575" s="4" t="s">
        <v>3746</v>
      </c>
      <c r="N575" s="4" t="s">
        <v>3747</v>
      </c>
      <c r="O575" s="17">
        <f>INDEX('список ID из СУЭ с должностями'!$A:$F,MATCH(E575,'список ID из СУЭ с должностями'!$B:$B,0),5)</f>
        <v>0</v>
      </c>
    </row>
    <row r="576" spans="1:15" ht="90">
      <c r="A576" s="3" t="s">
        <v>10</v>
      </c>
      <c r="B576" s="3" t="s">
        <v>11</v>
      </c>
      <c r="C576" s="4">
        <v>2026</v>
      </c>
      <c r="D576" s="5" t="s">
        <v>12</v>
      </c>
      <c r="E576" s="4">
        <v>79</v>
      </c>
      <c r="F576" s="4" t="s">
        <v>385</v>
      </c>
      <c r="G576" s="4" t="s">
        <v>477</v>
      </c>
      <c r="H576" s="4" t="s">
        <v>15</v>
      </c>
      <c r="I576" s="4" t="s">
        <v>861</v>
      </c>
      <c r="J576" s="4" t="s">
        <v>862</v>
      </c>
      <c r="K576" s="4" t="s">
        <v>25</v>
      </c>
      <c r="L576" s="4" t="s">
        <v>3743</v>
      </c>
      <c r="M576" s="4" t="s">
        <v>3746</v>
      </c>
      <c r="N576" s="4" t="s">
        <v>3747</v>
      </c>
      <c r="O576" s="17">
        <f>INDEX('список ID из СУЭ с должностями'!$A:$F,MATCH(E576,'список ID из СУЭ с должностями'!$B:$B,0),5)</f>
        <v>0</v>
      </c>
    </row>
    <row r="577" spans="1:15" ht="75">
      <c r="A577" s="3" t="s">
        <v>10</v>
      </c>
      <c r="B577" s="3" t="s">
        <v>11</v>
      </c>
      <c r="C577" s="4">
        <v>2026</v>
      </c>
      <c r="D577" s="5" t="s">
        <v>12</v>
      </c>
      <c r="E577" s="4">
        <v>79</v>
      </c>
      <c r="F577" s="4" t="s">
        <v>385</v>
      </c>
      <c r="G577" s="4" t="s">
        <v>477</v>
      </c>
      <c r="H577" s="4" t="s">
        <v>41</v>
      </c>
      <c r="I577" s="4" t="s">
        <v>863</v>
      </c>
      <c r="J577" s="4" t="s">
        <v>864</v>
      </c>
      <c r="K577" s="4" t="s">
        <v>66</v>
      </c>
      <c r="L577" s="4" t="s">
        <v>3742</v>
      </c>
      <c r="M577" s="4" t="s">
        <v>3746</v>
      </c>
      <c r="N577" s="4" t="s">
        <v>3747</v>
      </c>
      <c r="O577" s="17">
        <f>INDEX('список ID из СУЭ с должностями'!$A:$F,MATCH(E577,'список ID из СУЭ с должностями'!$B:$B,0),5)</f>
        <v>0</v>
      </c>
    </row>
    <row r="578" spans="1:15" ht="75">
      <c r="A578" s="3" t="s">
        <v>10</v>
      </c>
      <c r="B578" s="3" t="s">
        <v>11</v>
      </c>
      <c r="C578" s="4">
        <v>2026</v>
      </c>
      <c r="D578" s="5" t="s">
        <v>12</v>
      </c>
      <c r="E578" s="4">
        <v>79</v>
      </c>
      <c r="F578" s="4" t="s">
        <v>385</v>
      </c>
      <c r="G578" s="4" t="s">
        <v>477</v>
      </c>
      <c r="H578" s="4" t="s">
        <v>15</v>
      </c>
      <c r="I578" s="4" t="s">
        <v>865</v>
      </c>
      <c r="J578" s="4" t="s">
        <v>866</v>
      </c>
      <c r="K578" s="4" t="s">
        <v>55</v>
      </c>
      <c r="L578" s="4" t="s">
        <v>3743</v>
      </c>
      <c r="M578" s="4" t="s">
        <v>3746</v>
      </c>
      <c r="N578" s="4" t="s">
        <v>3747</v>
      </c>
      <c r="O578" s="17">
        <f>INDEX('список ID из СУЭ с должностями'!$A:$F,MATCH(E578,'список ID из СУЭ с должностями'!$B:$B,0),5)</f>
        <v>0</v>
      </c>
    </row>
    <row r="579" spans="1:15" ht="105">
      <c r="A579" s="3" t="s">
        <v>10</v>
      </c>
      <c r="B579" s="3" t="s">
        <v>11</v>
      </c>
      <c r="C579" s="4">
        <v>2026</v>
      </c>
      <c r="D579" s="5" t="s">
        <v>12</v>
      </c>
      <c r="E579" s="4">
        <v>79</v>
      </c>
      <c r="F579" s="4" t="s">
        <v>385</v>
      </c>
      <c r="G579" s="4" t="s">
        <v>477</v>
      </c>
      <c r="H579" s="4" t="s">
        <v>15</v>
      </c>
      <c r="I579" s="4" t="s">
        <v>867</v>
      </c>
      <c r="J579" s="4" t="s">
        <v>868</v>
      </c>
      <c r="K579" s="4" t="s">
        <v>66</v>
      </c>
      <c r="L579" s="4" t="s">
        <v>3743</v>
      </c>
      <c r="M579" s="4" t="s">
        <v>3746</v>
      </c>
      <c r="N579" s="4" t="s">
        <v>3747</v>
      </c>
      <c r="O579" s="17">
        <f>INDEX('список ID из СУЭ с должностями'!$A:$F,MATCH(E579,'список ID из СУЭ с должностями'!$B:$B,0),5)</f>
        <v>0</v>
      </c>
    </row>
    <row r="580" spans="1:15" ht="45">
      <c r="A580" s="3" t="s">
        <v>10</v>
      </c>
      <c r="B580" s="3" t="s">
        <v>11</v>
      </c>
      <c r="C580" s="4">
        <v>2026</v>
      </c>
      <c r="D580" s="5" t="s">
        <v>12</v>
      </c>
      <c r="E580" s="4">
        <v>80</v>
      </c>
      <c r="F580" s="4" t="s">
        <v>307</v>
      </c>
      <c r="G580" s="4" t="s">
        <v>869</v>
      </c>
      <c r="H580" s="4" t="s">
        <v>15</v>
      </c>
      <c r="I580" s="4" t="s">
        <v>870</v>
      </c>
      <c r="J580" s="4" t="s">
        <v>871</v>
      </c>
      <c r="K580" s="4" t="s">
        <v>23</v>
      </c>
      <c r="L580" s="4" t="s">
        <v>3742</v>
      </c>
      <c r="M580" s="4" t="s">
        <v>3748</v>
      </c>
      <c r="N580" s="4" t="s">
        <v>3752</v>
      </c>
      <c r="O580" s="17">
        <f>INDEX('список ID из СУЭ с должностями'!$A:$F,MATCH(E580,'список ID из СУЭ с должностями'!$B:$B,0),5)</f>
        <v>0</v>
      </c>
    </row>
    <row r="581" spans="1:15" ht="165">
      <c r="A581" s="3" t="s">
        <v>10</v>
      </c>
      <c r="B581" s="3" t="s">
        <v>11</v>
      </c>
      <c r="C581" s="4">
        <v>2026</v>
      </c>
      <c r="D581" s="5" t="s">
        <v>12</v>
      </c>
      <c r="E581" s="4">
        <v>80</v>
      </c>
      <c r="F581" s="4" t="s">
        <v>307</v>
      </c>
      <c r="G581" s="4" t="s">
        <v>869</v>
      </c>
      <c r="H581" s="4" t="s">
        <v>15</v>
      </c>
      <c r="I581" s="4" t="s">
        <v>874</v>
      </c>
      <c r="J581" s="4" t="s">
        <v>875</v>
      </c>
      <c r="K581" s="4" t="s">
        <v>30</v>
      </c>
      <c r="L581" s="4" t="s">
        <v>3743</v>
      </c>
      <c r="M581" s="4" t="s">
        <v>3746</v>
      </c>
      <c r="N581" s="4" t="s">
        <v>3747</v>
      </c>
      <c r="O581" s="17">
        <f>INDEX('список ID из СУЭ с должностями'!$A:$F,MATCH(E581,'список ID из СУЭ с должностями'!$B:$B,0),5)</f>
        <v>0</v>
      </c>
    </row>
    <row r="582" spans="1:15" ht="90">
      <c r="A582" s="3" t="s">
        <v>10</v>
      </c>
      <c r="B582" s="3" t="s">
        <v>11</v>
      </c>
      <c r="C582" s="4">
        <v>2026</v>
      </c>
      <c r="D582" s="5" t="s">
        <v>12</v>
      </c>
      <c r="E582" s="4">
        <v>80</v>
      </c>
      <c r="F582" s="4" t="s">
        <v>307</v>
      </c>
      <c r="G582" s="4" t="s">
        <v>869</v>
      </c>
      <c r="H582" s="4" t="s">
        <v>15</v>
      </c>
      <c r="I582" s="4" t="s">
        <v>876</v>
      </c>
      <c r="J582" s="4" t="s">
        <v>877</v>
      </c>
      <c r="K582" s="4" t="s">
        <v>30</v>
      </c>
      <c r="L582" s="4" t="s">
        <v>3743</v>
      </c>
      <c r="M582" s="4" t="s">
        <v>3746</v>
      </c>
      <c r="N582" s="4" t="s">
        <v>3747</v>
      </c>
      <c r="O582" s="17">
        <f>INDEX('список ID из СУЭ с должностями'!$A:$F,MATCH(E582,'список ID из СУЭ с должностями'!$B:$B,0),5)</f>
        <v>0</v>
      </c>
    </row>
    <row r="583" spans="1:15" ht="45">
      <c r="A583" s="3" t="s">
        <v>10</v>
      </c>
      <c r="B583" s="3" t="s">
        <v>11</v>
      </c>
      <c r="C583" s="4">
        <v>2026</v>
      </c>
      <c r="D583" s="5" t="s">
        <v>12</v>
      </c>
      <c r="E583" s="4">
        <v>80</v>
      </c>
      <c r="F583" s="4" t="s">
        <v>307</v>
      </c>
      <c r="G583" s="4" t="s">
        <v>869</v>
      </c>
      <c r="H583" s="4" t="s">
        <v>21</v>
      </c>
      <c r="I583" s="4" t="s">
        <v>878</v>
      </c>
      <c r="J583" s="4" t="s">
        <v>879</v>
      </c>
      <c r="K583" s="4" t="s">
        <v>52</v>
      </c>
      <c r="L583" s="4" t="s">
        <v>3742</v>
      </c>
      <c r="M583" s="4" t="s">
        <v>3746</v>
      </c>
      <c r="N583" s="4" t="s">
        <v>3747</v>
      </c>
      <c r="O583" s="17">
        <f>INDEX('список ID из СУЭ с должностями'!$A:$F,MATCH(E583,'список ID из СУЭ с должностями'!$B:$B,0),5)</f>
        <v>0</v>
      </c>
    </row>
    <row r="584" spans="1:15" ht="45">
      <c r="A584" s="3" t="s">
        <v>10</v>
      </c>
      <c r="B584" s="3" t="s">
        <v>11</v>
      </c>
      <c r="C584" s="4">
        <v>2026</v>
      </c>
      <c r="D584" s="5" t="s">
        <v>12</v>
      </c>
      <c r="E584" s="4">
        <v>80</v>
      </c>
      <c r="F584" s="4" t="s">
        <v>307</v>
      </c>
      <c r="G584" s="4" t="s">
        <v>869</v>
      </c>
      <c r="H584" s="4" t="s">
        <v>21</v>
      </c>
      <c r="I584" s="4" t="s">
        <v>880</v>
      </c>
      <c r="J584" s="4" t="s">
        <v>881</v>
      </c>
      <c r="K584" s="4" t="s">
        <v>52</v>
      </c>
      <c r="L584" s="4" t="s">
        <v>3742</v>
      </c>
      <c r="M584" s="4" t="s">
        <v>3746</v>
      </c>
      <c r="N584" s="4" t="s">
        <v>3747</v>
      </c>
      <c r="O584" s="17">
        <f>INDEX('список ID из СУЭ с должностями'!$A:$F,MATCH(E584,'список ID из СУЭ с должностями'!$B:$B,0),5)</f>
        <v>0</v>
      </c>
    </row>
    <row r="585" spans="1:15" ht="45">
      <c r="A585" s="3" t="s">
        <v>10</v>
      </c>
      <c r="B585" s="3" t="s">
        <v>11</v>
      </c>
      <c r="C585" s="4">
        <v>2026</v>
      </c>
      <c r="D585" s="5" t="s">
        <v>12</v>
      </c>
      <c r="E585" s="4">
        <v>80</v>
      </c>
      <c r="F585" s="4" t="s">
        <v>307</v>
      </c>
      <c r="G585" s="4" t="s">
        <v>869</v>
      </c>
      <c r="H585" s="4" t="s">
        <v>21</v>
      </c>
      <c r="I585" s="4" t="s">
        <v>882</v>
      </c>
      <c r="J585" s="4" t="s">
        <v>883</v>
      </c>
      <c r="K585" s="4" t="s">
        <v>52</v>
      </c>
      <c r="L585" s="4" t="s">
        <v>3742</v>
      </c>
      <c r="M585" s="4" t="s">
        <v>3746</v>
      </c>
      <c r="N585" s="4" t="s">
        <v>3747</v>
      </c>
      <c r="O585" s="17">
        <f>INDEX('список ID из СУЭ с должностями'!$A:$F,MATCH(E585,'список ID из СУЭ с должностями'!$B:$B,0),5)</f>
        <v>0</v>
      </c>
    </row>
    <row r="586" spans="1:15" ht="105">
      <c r="A586" s="3" t="s">
        <v>10</v>
      </c>
      <c r="B586" s="3" t="s">
        <v>11</v>
      </c>
      <c r="C586" s="4">
        <v>2026</v>
      </c>
      <c r="D586" s="5" t="s">
        <v>12</v>
      </c>
      <c r="E586" s="4">
        <v>81</v>
      </c>
      <c r="F586" s="4" t="s">
        <v>280</v>
      </c>
      <c r="G586" s="4" t="s">
        <v>436</v>
      </c>
      <c r="H586" s="4" t="s">
        <v>21</v>
      </c>
      <c r="I586" s="4" t="s">
        <v>884</v>
      </c>
      <c r="J586" s="4" t="s">
        <v>885</v>
      </c>
      <c r="K586" s="4" t="s">
        <v>52</v>
      </c>
      <c r="L586" s="4" t="s">
        <v>3743</v>
      </c>
      <c r="M586" s="4" t="s">
        <v>3746</v>
      </c>
      <c r="N586" s="4" t="s">
        <v>3747</v>
      </c>
      <c r="O586" s="17">
        <f>INDEX('список ID из СУЭ с должностями'!$A:$F,MATCH(E586,'список ID из СУЭ с должностями'!$B:$B,0),5)</f>
        <v>0</v>
      </c>
    </row>
    <row r="587" spans="1:15" ht="90">
      <c r="A587" s="3" t="s">
        <v>10</v>
      </c>
      <c r="B587" s="3" t="s">
        <v>11</v>
      </c>
      <c r="C587" s="4">
        <v>2026</v>
      </c>
      <c r="D587" s="5" t="s">
        <v>12</v>
      </c>
      <c r="E587" s="4">
        <v>81</v>
      </c>
      <c r="F587" s="4" t="s">
        <v>280</v>
      </c>
      <c r="G587" s="4" t="s">
        <v>436</v>
      </c>
      <c r="H587" s="4" t="s">
        <v>21</v>
      </c>
      <c r="I587" s="4" t="s">
        <v>886</v>
      </c>
      <c r="J587" s="4" t="s">
        <v>887</v>
      </c>
      <c r="K587" s="4" t="s">
        <v>35</v>
      </c>
      <c r="L587" s="4" t="s">
        <v>3743</v>
      </c>
      <c r="M587" s="4" t="s">
        <v>3746</v>
      </c>
      <c r="N587" s="4" t="s">
        <v>3747</v>
      </c>
      <c r="O587" s="17">
        <f>INDEX('список ID из СУЭ с должностями'!$A:$F,MATCH(E587,'список ID из СУЭ с должностями'!$B:$B,0),5)</f>
        <v>0</v>
      </c>
    </row>
    <row r="588" spans="1:15" ht="75">
      <c r="A588" s="3" t="s">
        <v>10</v>
      </c>
      <c r="B588" s="3" t="s">
        <v>11</v>
      </c>
      <c r="C588" s="4">
        <v>2026</v>
      </c>
      <c r="D588" s="5" t="s">
        <v>12</v>
      </c>
      <c r="E588" s="4">
        <v>81</v>
      </c>
      <c r="F588" s="4" t="s">
        <v>280</v>
      </c>
      <c r="G588" s="4" t="s">
        <v>436</v>
      </c>
      <c r="H588" s="4" t="s">
        <v>15</v>
      </c>
      <c r="I588" s="4" t="s">
        <v>888</v>
      </c>
      <c r="J588" s="4" t="s">
        <v>889</v>
      </c>
      <c r="K588" s="4" t="s">
        <v>35</v>
      </c>
      <c r="L588" s="4" t="s">
        <v>3743</v>
      </c>
      <c r="M588" s="4" t="s">
        <v>3746</v>
      </c>
      <c r="N588" s="4" t="s">
        <v>3747</v>
      </c>
      <c r="O588" s="17">
        <f>INDEX('список ID из СУЭ с должностями'!$A:$F,MATCH(E588,'список ID из СУЭ с должностями'!$B:$B,0),5)</f>
        <v>0</v>
      </c>
    </row>
    <row r="589" spans="1:15" ht="75">
      <c r="A589" s="3" t="s">
        <v>10</v>
      </c>
      <c r="B589" s="3" t="s">
        <v>11</v>
      </c>
      <c r="C589" s="4">
        <v>2026</v>
      </c>
      <c r="D589" s="5" t="s">
        <v>12</v>
      </c>
      <c r="E589" s="4">
        <v>81</v>
      </c>
      <c r="F589" s="4" t="s">
        <v>280</v>
      </c>
      <c r="G589" s="4" t="s">
        <v>436</v>
      </c>
      <c r="H589" s="4" t="s">
        <v>21</v>
      </c>
      <c r="I589" s="4" t="s">
        <v>890</v>
      </c>
      <c r="J589" s="4" t="s">
        <v>891</v>
      </c>
      <c r="K589" s="4" t="s">
        <v>35</v>
      </c>
      <c r="L589" s="4" t="s">
        <v>3743</v>
      </c>
      <c r="M589" s="4" t="s">
        <v>3746</v>
      </c>
      <c r="N589" s="4" t="s">
        <v>3747</v>
      </c>
      <c r="O589" s="17">
        <f>INDEX('список ID из СУЭ с должностями'!$A:$F,MATCH(E589,'список ID из СУЭ с должностями'!$B:$B,0),5)</f>
        <v>0</v>
      </c>
    </row>
    <row r="590" spans="1:15" ht="90">
      <c r="A590" s="3" t="s">
        <v>10</v>
      </c>
      <c r="B590" s="3" t="s">
        <v>11</v>
      </c>
      <c r="C590" s="4">
        <v>2026</v>
      </c>
      <c r="D590" s="5" t="s">
        <v>12</v>
      </c>
      <c r="E590" s="4">
        <v>81</v>
      </c>
      <c r="F590" s="4" t="s">
        <v>280</v>
      </c>
      <c r="G590" s="4" t="s">
        <v>436</v>
      </c>
      <c r="H590" s="4" t="s">
        <v>21</v>
      </c>
      <c r="I590" s="4" t="s">
        <v>892</v>
      </c>
      <c r="J590" s="4" t="s">
        <v>893</v>
      </c>
      <c r="K590" s="4" t="s">
        <v>35</v>
      </c>
      <c r="L590" s="4" t="s">
        <v>3743</v>
      </c>
      <c r="M590" s="4" t="s">
        <v>3746</v>
      </c>
      <c r="N590" s="4" t="s">
        <v>3747</v>
      </c>
      <c r="O590" s="17">
        <f>INDEX('список ID из СУЭ с должностями'!$A:$F,MATCH(E590,'список ID из СУЭ с должностями'!$B:$B,0),5)</f>
        <v>0</v>
      </c>
    </row>
    <row r="591" spans="1:15" ht="75">
      <c r="A591" s="3" t="s">
        <v>10</v>
      </c>
      <c r="B591" s="3" t="s">
        <v>11</v>
      </c>
      <c r="C591" s="4">
        <v>2026</v>
      </c>
      <c r="D591" s="5" t="s">
        <v>12</v>
      </c>
      <c r="E591" s="4">
        <v>81</v>
      </c>
      <c r="F591" s="4" t="s">
        <v>280</v>
      </c>
      <c r="G591" s="4" t="s">
        <v>436</v>
      </c>
      <c r="H591" s="4" t="s">
        <v>15</v>
      </c>
      <c r="I591" s="4" t="s">
        <v>468</v>
      </c>
      <c r="J591" s="4" t="s">
        <v>79</v>
      </c>
      <c r="K591" s="4" t="s">
        <v>30</v>
      </c>
      <c r="L591" s="4" t="s">
        <v>3742</v>
      </c>
      <c r="M591" s="4" t="s">
        <v>3746</v>
      </c>
      <c r="N591" s="4" t="s">
        <v>3747</v>
      </c>
      <c r="O591" s="17">
        <f>INDEX('список ID из СУЭ с должностями'!$A:$F,MATCH(E591,'список ID из СУЭ с должностями'!$B:$B,0),5)</f>
        <v>0</v>
      </c>
    </row>
    <row r="592" spans="1:15" ht="75">
      <c r="A592" s="3" t="s">
        <v>10</v>
      </c>
      <c r="B592" s="3" t="s">
        <v>11</v>
      </c>
      <c r="C592" s="4">
        <v>2026</v>
      </c>
      <c r="D592" s="5" t="s">
        <v>12</v>
      </c>
      <c r="E592" s="4">
        <v>81</v>
      </c>
      <c r="F592" s="4" t="s">
        <v>280</v>
      </c>
      <c r="G592" s="4" t="s">
        <v>436</v>
      </c>
      <c r="H592" s="4" t="s">
        <v>21</v>
      </c>
      <c r="I592" s="4" t="s">
        <v>894</v>
      </c>
      <c r="J592" s="4" t="s">
        <v>895</v>
      </c>
      <c r="K592" s="4" t="s">
        <v>151</v>
      </c>
      <c r="L592" s="4" t="s">
        <v>3743</v>
      </c>
      <c r="M592" s="4" t="s">
        <v>3746</v>
      </c>
      <c r="N592" s="4" t="s">
        <v>3747</v>
      </c>
      <c r="O592" s="17">
        <f>INDEX('список ID из СУЭ с должностями'!$A:$F,MATCH(E592,'список ID из СУЭ с должностями'!$B:$B,0),5)</f>
        <v>0</v>
      </c>
    </row>
    <row r="593" spans="1:15" ht="409.5">
      <c r="A593" s="3" t="s">
        <v>10</v>
      </c>
      <c r="B593" s="3" t="s">
        <v>11</v>
      </c>
      <c r="C593" s="4">
        <v>2026</v>
      </c>
      <c r="D593" s="5" t="s">
        <v>12</v>
      </c>
      <c r="E593" s="4">
        <v>82</v>
      </c>
      <c r="F593" s="4" t="s">
        <v>403</v>
      </c>
      <c r="G593" s="4" t="s">
        <v>404</v>
      </c>
      <c r="H593" s="4" t="s">
        <v>21</v>
      </c>
      <c r="I593" s="4" t="s">
        <v>52</v>
      </c>
      <c r="J593" s="4" t="s">
        <v>896</v>
      </c>
      <c r="K593" s="4" t="s">
        <v>897</v>
      </c>
      <c r="L593" s="4" t="s">
        <v>3743</v>
      </c>
      <c r="M593" s="4" t="s">
        <v>3750</v>
      </c>
      <c r="N593" s="4" t="s">
        <v>3760</v>
      </c>
      <c r="O593" s="17">
        <f>INDEX('список ID из СУЭ с должностями'!$A:$F,MATCH(E593,'список ID из СУЭ с должностями'!$B:$B,0),5)</f>
        <v>0</v>
      </c>
    </row>
    <row r="594" spans="1:15" ht="409.5">
      <c r="A594" s="3" t="s">
        <v>10</v>
      </c>
      <c r="B594" s="3" t="s">
        <v>11</v>
      </c>
      <c r="C594" s="4">
        <v>2026</v>
      </c>
      <c r="D594" s="5" t="s">
        <v>12</v>
      </c>
      <c r="E594" s="4">
        <v>82</v>
      </c>
      <c r="F594" s="4" t="s">
        <v>403</v>
      </c>
      <c r="G594" s="4" t="s">
        <v>404</v>
      </c>
      <c r="H594" s="4" t="s">
        <v>21</v>
      </c>
      <c r="I594" s="4" t="s">
        <v>55</v>
      </c>
      <c r="J594" s="4" t="s">
        <v>898</v>
      </c>
      <c r="K594" s="4" t="s">
        <v>899</v>
      </c>
      <c r="L594" s="4" t="s">
        <v>3743</v>
      </c>
      <c r="M594" s="4" t="s">
        <v>3750</v>
      </c>
      <c r="N594" s="4" t="s">
        <v>3760</v>
      </c>
      <c r="O594" s="17">
        <f>INDEX('список ID из СУЭ с должностями'!$A:$F,MATCH(E594,'список ID из СУЭ с должностями'!$B:$B,0),5)</f>
        <v>0</v>
      </c>
    </row>
    <row r="595" spans="1:15" ht="45">
      <c r="A595" s="3" t="s">
        <v>10</v>
      </c>
      <c r="B595" s="3" t="s">
        <v>11</v>
      </c>
      <c r="C595" s="4">
        <v>2026</v>
      </c>
      <c r="D595" s="5" t="s">
        <v>12</v>
      </c>
      <c r="E595" s="4">
        <v>82</v>
      </c>
      <c r="F595" s="4" t="s">
        <v>403</v>
      </c>
      <c r="G595" s="4" t="s">
        <v>404</v>
      </c>
      <c r="H595" s="4" t="s">
        <v>21</v>
      </c>
      <c r="I595" s="4" t="s">
        <v>410</v>
      </c>
      <c r="J595" s="4" t="s">
        <v>900</v>
      </c>
      <c r="K595" s="4" t="s">
        <v>901</v>
      </c>
      <c r="L595" s="4" t="s">
        <v>3743</v>
      </c>
      <c r="M595" s="4" t="s">
        <v>3750</v>
      </c>
      <c r="N595" s="4" t="s">
        <v>3760</v>
      </c>
      <c r="O595" s="17">
        <f>INDEX('список ID из СУЭ с должностями'!$A:$F,MATCH(E595,'список ID из СУЭ с должностями'!$B:$B,0),5)</f>
        <v>0</v>
      </c>
    </row>
    <row r="596" spans="1:15" ht="135">
      <c r="A596" s="3" t="s">
        <v>10</v>
      </c>
      <c r="B596" s="3" t="s">
        <v>11</v>
      </c>
      <c r="C596" s="4">
        <v>2026</v>
      </c>
      <c r="D596" s="5" t="s">
        <v>12</v>
      </c>
      <c r="E596" s="4">
        <v>82</v>
      </c>
      <c r="F596" s="4" t="s">
        <v>403</v>
      </c>
      <c r="G596" s="4" t="s">
        <v>404</v>
      </c>
      <c r="H596" s="4" t="s">
        <v>21</v>
      </c>
      <c r="I596" s="4" t="s">
        <v>902</v>
      </c>
      <c r="J596" s="4" t="s">
        <v>903</v>
      </c>
      <c r="K596" s="4" t="s">
        <v>897</v>
      </c>
      <c r="L596" s="4" t="s">
        <v>3743</v>
      </c>
      <c r="M596" s="4" t="s">
        <v>3750</v>
      </c>
      <c r="N596" s="4" t="s">
        <v>3760</v>
      </c>
      <c r="O596" s="17">
        <f>INDEX('список ID из СУЭ с должностями'!$A:$F,MATCH(E596,'список ID из СУЭ с должностями'!$B:$B,0),5)</f>
        <v>0</v>
      </c>
    </row>
    <row r="597" spans="1:15" ht="165">
      <c r="A597" s="3" t="s">
        <v>10</v>
      </c>
      <c r="B597" s="3" t="s">
        <v>11</v>
      </c>
      <c r="C597" s="4">
        <v>2026</v>
      </c>
      <c r="D597" s="5" t="s">
        <v>12</v>
      </c>
      <c r="E597" s="4">
        <v>82</v>
      </c>
      <c r="F597" s="4" t="s">
        <v>403</v>
      </c>
      <c r="G597" s="4" t="s">
        <v>404</v>
      </c>
      <c r="H597" s="4" t="s">
        <v>15</v>
      </c>
      <c r="I597" s="4" t="s">
        <v>904</v>
      </c>
      <c r="J597" s="4" t="s">
        <v>905</v>
      </c>
      <c r="K597" s="4" t="s">
        <v>904</v>
      </c>
      <c r="L597" s="4" t="s">
        <v>3743</v>
      </c>
      <c r="M597" s="4" t="s">
        <v>3750</v>
      </c>
      <c r="N597" s="4" t="s">
        <v>3760</v>
      </c>
      <c r="O597" s="17">
        <f>INDEX('список ID из СУЭ с должностями'!$A:$F,MATCH(E597,'список ID из СУЭ с должностями'!$B:$B,0),5)</f>
        <v>0</v>
      </c>
    </row>
    <row r="598" spans="1:15" ht="150">
      <c r="A598" s="3" t="s">
        <v>10</v>
      </c>
      <c r="B598" s="3" t="s">
        <v>11</v>
      </c>
      <c r="C598" s="4">
        <v>2026</v>
      </c>
      <c r="D598" s="5" t="s">
        <v>12</v>
      </c>
      <c r="E598" s="4">
        <v>82</v>
      </c>
      <c r="F598" s="4" t="s">
        <v>403</v>
      </c>
      <c r="G598" s="4" t="s">
        <v>404</v>
      </c>
      <c r="H598" s="4" t="s">
        <v>15</v>
      </c>
      <c r="I598" s="4" t="s">
        <v>408</v>
      </c>
      <c r="J598" s="4" t="s">
        <v>906</v>
      </c>
      <c r="K598" s="4" t="s">
        <v>408</v>
      </c>
      <c r="L598" s="4" t="s">
        <v>3743</v>
      </c>
      <c r="M598" s="4" t="s">
        <v>3750</v>
      </c>
      <c r="N598" s="4" t="s">
        <v>3760</v>
      </c>
      <c r="O598" s="17">
        <f>INDEX('список ID из СУЭ с должностями'!$A:$F,MATCH(E598,'список ID из СУЭ с должностями'!$B:$B,0),5)</f>
        <v>0</v>
      </c>
    </row>
    <row r="599" spans="1:15" ht="75">
      <c r="A599" s="3" t="s">
        <v>10</v>
      </c>
      <c r="B599" s="3" t="s">
        <v>11</v>
      </c>
      <c r="C599" s="4">
        <v>2026</v>
      </c>
      <c r="D599" s="5" t="s">
        <v>12</v>
      </c>
      <c r="E599" s="4">
        <v>83</v>
      </c>
      <c r="F599" s="4" t="s">
        <v>416</v>
      </c>
      <c r="G599" s="4" t="s">
        <v>436</v>
      </c>
      <c r="H599" s="4" t="s">
        <v>15</v>
      </c>
      <c r="I599" s="4" t="s">
        <v>437</v>
      </c>
      <c r="J599" s="4" t="s">
        <v>438</v>
      </c>
      <c r="K599" s="4" t="s">
        <v>52</v>
      </c>
      <c r="L599" s="4" t="s">
        <v>3743</v>
      </c>
      <c r="M599" s="4" t="s">
        <v>3746</v>
      </c>
      <c r="N599" s="4" t="s">
        <v>3747</v>
      </c>
      <c r="O599" s="17">
        <f>INDEX('список ID из СУЭ с должностями'!$A:$F,MATCH(E599,'список ID из СУЭ с должностями'!$B:$B,0),5)</f>
        <v>0</v>
      </c>
    </row>
    <row r="600" spans="1:15" ht="165">
      <c r="A600" s="3" t="s">
        <v>10</v>
      </c>
      <c r="B600" s="3" t="s">
        <v>11</v>
      </c>
      <c r="C600" s="4">
        <v>2026</v>
      </c>
      <c r="D600" s="5" t="s">
        <v>12</v>
      </c>
      <c r="E600" s="4">
        <v>83</v>
      </c>
      <c r="F600" s="4" t="s">
        <v>416</v>
      </c>
      <c r="G600" s="4" t="s">
        <v>436</v>
      </c>
      <c r="H600" s="4" t="s">
        <v>15</v>
      </c>
      <c r="I600" s="4" t="s">
        <v>439</v>
      </c>
      <c r="J600" s="4" t="s">
        <v>440</v>
      </c>
      <c r="K600" s="4" t="s">
        <v>52</v>
      </c>
      <c r="L600" s="4" t="s">
        <v>3743</v>
      </c>
      <c r="M600" s="4" t="s">
        <v>3746</v>
      </c>
      <c r="N600" s="4" t="s">
        <v>3747</v>
      </c>
      <c r="O600" s="17">
        <f>INDEX('список ID из СУЭ с должностями'!$A:$F,MATCH(E600,'список ID из СУЭ с должностями'!$B:$B,0),5)</f>
        <v>0</v>
      </c>
    </row>
    <row r="601" spans="1:15" ht="150">
      <c r="A601" s="3" t="s">
        <v>10</v>
      </c>
      <c r="B601" s="3" t="s">
        <v>11</v>
      </c>
      <c r="C601" s="4">
        <v>2026</v>
      </c>
      <c r="D601" s="5" t="s">
        <v>12</v>
      </c>
      <c r="E601" s="4">
        <v>83</v>
      </c>
      <c r="F601" s="4" t="s">
        <v>416</v>
      </c>
      <c r="G601" s="4" t="s">
        <v>436</v>
      </c>
      <c r="H601" s="4" t="s">
        <v>15</v>
      </c>
      <c r="I601" s="4" t="s">
        <v>441</v>
      </c>
      <c r="J601" s="4" t="s">
        <v>442</v>
      </c>
      <c r="K601" s="4" t="s">
        <v>35</v>
      </c>
      <c r="L601" s="4" t="s">
        <v>3743</v>
      </c>
      <c r="M601" s="4" t="s">
        <v>3746</v>
      </c>
      <c r="N601" s="4" t="s">
        <v>3747</v>
      </c>
      <c r="O601" s="17">
        <f>INDEX('список ID из СУЭ с должностями'!$A:$F,MATCH(E601,'список ID из СУЭ с должностями'!$B:$B,0),5)</f>
        <v>0</v>
      </c>
    </row>
    <row r="602" spans="1:15" ht="240">
      <c r="A602" s="3" t="s">
        <v>10</v>
      </c>
      <c r="B602" s="3" t="s">
        <v>11</v>
      </c>
      <c r="C602" s="4">
        <v>2026</v>
      </c>
      <c r="D602" s="5" t="s">
        <v>12</v>
      </c>
      <c r="E602" s="4">
        <v>84</v>
      </c>
      <c r="F602" s="4" t="s">
        <v>84</v>
      </c>
      <c r="G602" s="4" t="s">
        <v>436</v>
      </c>
      <c r="H602" s="4" t="s">
        <v>15</v>
      </c>
      <c r="I602" s="4" t="s">
        <v>907</v>
      </c>
      <c r="J602" s="4" t="s">
        <v>908</v>
      </c>
      <c r="K602" s="4" t="s">
        <v>30</v>
      </c>
      <c r="L602" s="4" t="s">
        <v>3743</v>
      </c>
      <c r="M602" s="4" t="s">
        <v>3746</v>
      </c>
      <c r="N602" s="4" t="s">
        <v>3747</v>
      </c>
      <c r="O602" s="17">
        <f>INDEX('список ID из СУЭ с должностями'!$A:$F,MATCH(E602,'список ID из СУЭ с должностями'!$B:$B,0),5)</f>
        <v>0</v>
      </c>
    </row>
    <row r="603" spans="1:15" ht="75">
      <c r="A603" s="3" t="s">
        <v>10</v>
      </c>
      <c r="B603" s="3" t="s">
        <v>11</v>
      </c>
      <c r="C603" s="4">
        <v>2026</v>
      </c>
      <c r="D603" s="5" t="s">
        <v>12</v>
      </c>
      <c r="E603" s="4">
        <v>84</v>
      </c>
      <c r="F603" s="4" t="s">
        <v>84</v>
      </c>
      <c r="G603" s="4" t="s">
        <v>436</v>
      </c>
      <c r="H603" s="4" t="s">
        <v>15</v>
      </c>
      <c r="I603" s="4" t="s">
        <v>462</v>
      </c>
      <c r="J603" s="4" t="s">
        <v>463</v>
      </c>
      <c r="K603" s="4" t="s">
        <v>35</v>
      </c>
      <c r="L603" s="4" t="s">
        <v>3742</v>
      </c>
      <c r="M603" s="4" t="s">
        <v>3746</v>
      </c>
      <c r="N603" s="4" t="s">
        <v>3747</v>
      </c>
      <c r="O603" s="17">
        <f>INDEX('список ID из СУЭ с должностями'!$A:$F,MATCH(E603,'список ID из СУЭ с должностями'!$B:$B,0),5)</f>
        <v>0</v>
      </c>
    </row>
    <row r="604" spans="1:15" ht="210">
      <c r="A604" s="3" t="s">
        <v>10</v>
      </c>
      <c r="B604" s="3" t="s">
        <v>11</v>
      </c>
      <c r="C604" s="4">
        <v>2026</v>
      </c>
      <c r="D604" s="5" t="s">
        <v>12</v>
      </c>
      <c r="E604" s="4">
        <v>84</v>
      </c>
      <c r="F604" s="4" t="s">
        <v>84</v>
      </c>
      <c r="G604" s="4" t="s">
        <v>436</v>
      </c>
      <c r="H604" s="4" t="s">
        <v>15</v>
      </c>
      <c r="I604" s="4" t="s">
        <v>469</v>
      </c>
      <c r="J604" s="4" t="s">
        <v>592</v>
      </c>
      <c r="K604" s="4" t="s">
        <v>30</v>
      </c>
      <c r="L604" s="4" t="s">
        <v>3743</v>
      </c>
      <c r="M604" s="4" t="s">
        <v>3746</v>
      </c>
      <c r="N604" s="4" t="s">
        <v>3747</v>
      </c>
      <c r="O604" s="17">
        <f>INDEX('список ID из СУЭ с должностями'!$A:$F,MATCH(E604,'список ID из СУЭ с должностями'!$B:$B,0),5)</f>
        <v>0</v>
      </c>
    </row>
    <row r="605" spans="1:15" ht="75">
      <c r="A605" s="3" t="s">
        <v>10</v>
      </c>
      <c r="B605" s="3" t="s">
        <v>11</v>
      </c>
      <c r="C605" s="4">
        <v>2026</v>
      </c>
      <c r="D605" s="5" t="s">
        <v>12</v>
      </c>
      <c r="E605" s="4">
        <v>85</v>
      </c>
      <c r="F605" s="4" t="s">
        <v>316</v>
      </c>
      <c r="G605" s="4" t="s">
        <v>909</v>
      </c>
      <c r="H605" s="4" t="s">
        <v>15</v>
      </c>
      <c r="I605" s="4" t="s">
        <v>910</v>
      </c>
      <c r="J605" s="4" t="s">
        <v>911</v>
      </c>
      <c r="K605" s="4" t="s">
        <v>25</v>
      </c>
      <c r="L605" s="4" t="s">
        <v>3742</v>
      </c>
      <c r="M605" s="4" t="s">
        <v>3746</v>
      </c>
      <c r="N605" s="4" t="s">
        <v>3747</v>
      </c>
      <c r="O605" s="17">
        <f>INDEX('список ID из СУЭ с должностями'!$A:$F,MATCH(E605,'список ID из СУЭ с должностями'!$B:$B,0),5)</f>
        <v>0</v>
      </c>
    </row>
    <row r="606" spans="1:15" ht="75">
      <c r="A606" s="3" t="s">
        <v>10</v>
      </c>
      <c r="B606" s="3" t="s">
        <v>11</v>
      </c>
      <c r="C606" s="4">
        <v>2026</v>
      </c>
      <c r="D606" s="5" t="s">
        <v>12</v>
      </c>
      <c r="E606" s="4">
        <v>85</v>
      </c>
      <c r="F606" s="4" t="s">
        <v>316</v>
      </c>
      <c r="G606" s="4" t="s">
        <v>909</v>
      </c>
      <c r="H606" s="4" t="s">
        <v>15</v>
      </c>
      <c r="I606" s="4" t="s">
        <v>914</v>
      </c>
      <c r="J606" s="4" t="s">
        <v>132</v>
      </c>
      <c r="K606" s="4" t="s">
        <v>25</v>
      </c>
      <c r="L606" s="4" t="s">
        <v>3742</v>
      </c>
      <c r="M606" s="4" t="s">
        <v>3746</v>
      </c>
      <c r="N606" s="4" t="s">
        <v>3747</v>
      </c>
      <c r="O606" s="17">
        <f>INDEX('список ID из СУЭ с должностями'!$A:$F,MATCH(E606,'список ID из СУЭ с должностями'!$B:$B,0),5)</f>
        <v>0</v>
      </c>
    </row>
    <row r="607" spans="1:15" ht="75">
      <c r="A607" s="3" t="s">
        <v>10</v>
      </c>
      <c r="B607" s="3" t="s">
        <v>11</v>
      </c>
      <c r="C607" s="4">
        <v>2026</v>
      </c>
      <c r="D607" s="5" t="s">
        <v>12</v>
      </c>
      <c r="E607" s="4">
        <v>85</v>
      </c>
      <c r="F607" s="4" t="s">
        <v>316</v>
      </c>
      <c r="G607" s="4" t="s">
        <v>909</v>
      </c>
      <c r="H607" s="4" t="s">
        <v>15</v>
      </c>
      <c r="I607" s="4" t="s">
        <v>915</v>
      </c>
      <c r="J607" s="4" t="s">
        <v>132</v>
      </c>
      <c r="K607" s="4" t="s">
        <v>25</v>
      </c>
      <c r="L607" s="4" t="s">
        <v>3742</v>
      </c>
      <c r="M607" s="4" t="s">
        <v>3746</v>
      </c>
      <c r="N607" s="4" t="s">
        <v>3747</v>
      </c>
      <c r="O607" s="17">
        <f>INDEX('список ID из СУЭ с должностями'!$A:$F,MATCH(E607,'список ID из СУЭ с должностями'!$B:$B,0),5)</f>
        <v>0</v>
      </c>
    </row>
    <row r="608" spans="1:15" ht="75">
      <c r="A608" s="3" t="s">
        <v>10</v>
      </c>
      <c r="B608" s="3" t="s">
        <v>11</v>
      </c>
      <c r="C608" s="4">
        <v>2026</v>
      </c>
      <c r="D608" s="5" t="s">
        <v>12</v>
      </c>
      <c r="E608" s="4">
        <v>85</v>
      </c>
      <c r="F608" s="4" t="s">
        <v>316</v>
      </c>
      <c r="G608" s="4" t="s">
        <v>909</v>
      </c>
      <c r="H608" s="4" t="s">
        <v>15</v>
      </c>
      <c r="I608" s="4" t="s">
        <v>916</v>
      </c>
      <c r="J608" s="4" t="s">
        <v>917</v>
      </c>
      <c r="K608" s="4" t="s">
        <v>25</v>
      </c>
      <c r="L608" s="4" t="s">
        <v>3742</v>
      </c>
      <c r="M608" s="4" t="s">
        <v>3746</v>
      </c>
      <c r="N608" s="4" t="s">
        <v>3747</v>
      </c>
      <c r="O608" s="17">
        <f>INDEX('список ID из СУЭ с должностями'!$A:$F,MATCH(E608,'список ID из СУЭ с должностями'!$B:$B,0),5)</f>
        <v>0</v>
      </c>
    </row>
    <row r="609" spans="1:15" ht="75">
      <c r="A609" s="3" t="s">
        <v>10</v>
      </c>
      <c r="B609" s="3" t="s">
        <v>11</v>
      </c>
      <c r="C609" s="4">
        <v>2026</v>
      </c>
      <c r="D609" s="5" t="s">
        <v>12</v>
      </c>
      <c r="E609" s="4">
        <v>85</v>
      </c>
      <c r="F609" s="4" t="s">
        <v>316</v>
      </c>
      <c r="G609" s="4" t="s">
        <v>909</v>
      </c>
      <c r="H609" s="4" t="s">
        <v>15</v>
      </c>
      <c r="I609" s="4" t="s">
        <v>918</v>
      </c>
      <c r="J609" s="4" t="s">
        <v>919</v>
      </c>
      <c r="K609" s="4" t="s">
        <v>25</v>
      </c>
      <c r="L609" s="4" t="s">
        <v>3743</v>
      </c>
      <c r="M609" s="4" t="s">
        <v>3746</v>
      </c>
      <c r="N609" s="4" t="s">
        <v>3747</v>
      </c>
      <c r="O609" s="17">
        <f>INDEX('список ID из СУЭ с должностями'!$A:$F,MATCH(E609,'список ID из СУЭ с должностями'!$B:$B,0),5)</f>
        <v>0</v>
      </c>
    </row>
    <row r="610" spans="1:15" ht="75">
      <c r="A610" s="3" t="s">
        <v>10</v>
      </c>
      <c r="B610" s="3" t="s">
        <v>11</v>
      </c>
      <c r="C610" s="4">
        <v>2026</v>
      </c>
      <c r="D610" s="5" t="s">
        <v>12</v>
      </c>
      <c r="E610" s="4">
        <v>85</v>
      </c>
      <c r="F610" s="4" t="s">
        <v>316</v>
      </c>
      <c r="G610" s="4" t="s">
        <v>909</v>
      </c>
      <c r="H610" s="4" t="s">
        <v>15</v>
      </c>
      <c r="I610" s="4" t="s">
        <v>920</v>
      </c>
      <c r="J610" s="4" t="s">
        <v>132</v>
      </c>
      <c r="K610" s="4" t="s">
        <v>25</v>
      </c>
      <c r="L610" s="4" t="s">
        <v>3742</v>
      </c>
      <c r="M610" s="4" t="s">
        <v>3746</v>
      </c>
      <c r="N610" s="4" t="s">
        <v>3747</v>
      </c>
      <c r="O610" s="17">
        <f>INDEX('список ID из СУЭ с должностями'!$A:$F,MATCH(E610,'список ID из СУЭ с должностями'!$B:$B,0),5)</f>
        <v>0</v>
      </c>
    </row>
    <row r="611" spans="1:15" ht="75">
      <c r="A611" s="3" t="s">
        <v>10</v>
      </c>
      <c r="B611" s="3" t="s">
        <v>11</v>
      </c>
      <c r="C611" s="4">
        <v>2026</v>
      </c>
      <c r="D611" s="5" t="s">
        <v>12</v>
      </c>
      <c r="E611" s="4">
        <v>85</v>
      </c>
      <c r="F611" s="4" t="s">
        <v>316</v>
      </c>
      <c r="G611" s="4" t="s">
        <v>909</v>
      </c>
      <c r="H611" s="4" t="s">
        <v>15</v>
      </c>
      <c r="I611" s="4" t="s">
        <v>921</v>
      </c>
      <c r="J611" s="4" t="s">
        <v>132</v>
      </c>
      <c r="K611" s="4" t="s">
        <v>25</v>
      </c>
      <c r="L611" s="4" t="s">
        <v>3742</v>
      </c>
      <c r="M611" s="4" t="s">
        <v>3746</v>
      </c>
      <c r="N611" s="4" t="s">
        <v>3747</v>
      </c>
      <c r="O611" s="17">
        <f>INDEX('список ID из СУЭ с должностями'!$A:$F,MATCH(E611,'список ID из СУЭ с должностями'!$B:$B,0),5)</f>
        <v>0</v>
      </c>
    </row>
    <row r="612" spans="1:15" ht="105">
      <c r="A612" s="3" t="s">
        <v>10</v>
      </c>
      <c r="B612" s="3" t="s">
        <v>11</v>
      </c>
      <c r="C612" s="4">
        <v>2026</v>
      </c>
      <c r="D612" s="5" t="s">
        <v>12</v>
      </c>
      <c r="E612" s="4">
        <v>85</v>
      </c>
      <c r="F612" s="4" t="s">
        <v>316</v>
      </c>
      <c r="G612" s="4" t="s">
        <v>909</v>
      </c>
      <c r="H612" s="4" t="s">
        <v>15</v>
      </c>
      <c r="I612" s="4" t="s">
        <v>922</v>
      </c>
      <c r="J612" s="4" t="s">
        <v>923</v>
      </c>
      <c r="K612" s="4" t="s">
        <v>25</v>
      </c>
      <c r="L612" s="4" t="s">
        <v>3743</v>
      </c>
      <c r="M612" s="4" t="s">
        <v>3746</v>
      </c>
      <c r="N612" s="4" t="s">
        <v>3747</v>
      </c>
      <c r="O612" s="17">
        <f>INDEX('список ID из СУЭ с должностями'!$A:$F,MATCH(E612,'список ID из СУЭ с должностями'!$B:$B,0),5)</f>
        <v>0</v>
      </c>
    </row>
    <row r="613" spans="1:15" ht="120">
      <c r="A613" s="3" t="s">
        <v>10</v>
      </c>
      <c r="B613" s="3" t="s">
        <v>11</v>
      </c>
      <c r="C613" s="4">
        <v>2026</v>
      </c>
      <c r="D613" s="5" t="s">
        <v>12</v>
      </c>
      <c r="E613" s="4">
        <v>85</v>
      </c>
      <c r="F613" s="4" t="s">
        <v>316</v>
      </c>
      <c r="G613" s="4" t="s">
        <v>909</v>
      </c>
      <c r="H613" s="4" t="s">
        <v>15</v>
      </c>
      <c r="I613" s="4" t="s">
        <v>924</v>
      </c>
      <c r="J613" s="4" t="s">
        <v>925</v>
      </c>
      <c r="K613" s="4" t="s">
        <v>25</v>
      </c>
      <c r="L613" s="4" t="s">
        <v>3743</v>
      </c>
      <c r="M613" s="4" t="s">
        <v>3746</v>
      </c>
      <c r="N613" s="4" t="s">
        <v>3747</v>
      </c>
      <c r="O613" s="17">
        <f>INDEX('список ID из СУЭ с должностями'!$A:$F,MATCH(E613,'список ID из СУЭ с должностями'!$B:$B,0),5)</f>
        <v>0</v>
      </c>
    </row>
    <row r="614" spans="1:15" ht="75">
      <c r="A614" s="3" t="s">
        <v>10</v>
      </c>
      <c r="B614" s="3" t="s">
        <v>11</v>
      </c>
      <c r="C614" s="4">
        <v>2026</v>
      </c>
      <c r="D614" s="5" t="s">
        <v>12</v>
      </c>
      <c r="E614" s="4">
        <v>85</v>
      </c>
      <c r="F614" s="4" t="s">
        <v>316</v>
      </c>
      <c r="G614" s="4" t="s">
        <v>909</v>
      </c>
      <c r="H614" s="4" t="s">
        <v>15</v>
      </c>
      <c r="I614" s="4" t="s">
        <v>926</v>
      </c>
      <c r="J614" s="4" t="s">
        <v>927</v>
      </c>
      <c r="K614" s="4" t="s">
        <v>25</v>
      </c>
      <c r="L614" s="4" t="s">
        <v>3742</v>
      </c>
      <c r="M614" s="4" t="s">
        <v>3746</v>
      </c>
      <c r="N614" s="4" t="s">
        <v>3747</v>
      </c>
      <c r="O614" s="17">
        <f>INDEX('список ID из СУЭ с должностями'!$A:$F,MATCH(E614,'список ID из СУЭ с должностями'!$B:$B,0),5)</f>
        <v>0</v>
      </c>
    </row>
    <row r="615" spans="1:15" ht="75">
      <c r="A615" s="3" t="s">
        <v>10</v>
      </c>
      <c r="B615" s="3" t="s">
        <v>11</v>
      </c>
      <c r="C615" s="4">
        <v>2026</v>
      </c>
      <c r="D615" s="5" t="s">
        <v>12</v>
      </c>
      <c r="E615" s="4">
        <v>86</v>
      </c>
      <c r="F615" s="4" t="s">
        <v>928</v>
      </c>
      <c r="G615" s="4" t="s">
        <v>929</v>
      </c>
      <c r="H615" s="4" t="s">
        <v>15</v>
      </c>
      <c r="I615" s="4" t="s">
        <v>437</v>
      </c>
      <c r="J615" s="4" t="s">
        <v>930</v>
      </c>
      <c r="K615" s="4" t="s">
        <v>55</v>
      </c>
      <c r="L615" s="4" t="s">
        <v>3743</v>
      </c>
      <c r="M615" s="4" t="s">
        <v>3746</v>
      </c>
      <c r="N615" s="4" t="s">
        <v>3747</v>
      </c>
      <c r="O615" s="17">
        <f>INDEX('список ID из СУЭ с должностями'!$A:$F,MATCH(E615,'список ID из СУЭ с должностями'!$B:$B,0),5)</f>
        <v>0</v>
      </c>
    </row>
    <row r="616" spans="1:15" ht="60">
      <c r="A616" s="3" t="s">
        <v>10</v>
      </c>
      <c r="B616" s="3" t="s">
        <v>11</v>
      </c>
      <c r="C616" s="4">
        <v>2026</v>
      </c>
      <c r="D616" s="5" t="s">
        <v>12</v>
      </c>
      <c r="E616" s="4">
        <v>86</v>
      </c>
      <c r="F616" s="4" t="s">
        <v>928</v>
      </c>
      <c r="G616" s="4" t="s">
        <v>929</v>
      </c>
      <c r="H616" s="4" t="s">
        <v>21</v>
      </c>
      <c r="I616" s="4" t="s">
        <v>26</v>
      </c>
      <c r="J616" s="4" t="s">
        <v>931</v>
      </c>
      <c r="K616" s="4" t="s">
        <v>25</v>
      </c>
      <c r="L616" s="4" t="s">
        <v>3743</v>
      </c>
      <c r="M616" s="4" t="s">
        <v>3746</v>
      </c>
      <c r="N616" s="4" t="s">
        <v>3747</v>
      </c>
      <c r="O616" s="17">
        <f>INDEX('список ID из СУЭ с должностями'!$A:$F,MATCH(E616,'список ID из СУЭ с должностями'!$B:$B,0),5)</f>
        <v>0</v>
      </c>
    </row>
    <row r="617" spans="1:15" ht="75">
      <c r="A617" s="3" t="s">
        <v>10</v>
      </c>
      <c r="B617" s="3" t="s">
        <v>11</v>
      </c>
      <c r="C617" s="4">
        <v>2026</v>
      </c>
      <c r="D617" s="5" t="s">
        <v>12</v>
      </c>
      <c r="E617" s="4">
        <v>86</v>
      </c>
      <c r="F617" s="4" t="s">
        <v>928</v>
      </c>
      <c r="G617" s="4" t="s">
        <v>929</v>
      </c>
      <c r="H617" s="4" t="s">
        <v>15</v>
      </c>
      <c r="I617" s="4" t="s">
        <v>201</v>
      </c>
      <c r="J617" s="4" t="s">
        <v>932</v>
      </c>
      <c r="K617" s="4" t="s">
        <v>188</v>
      </c>
      <c r="L617" s="4" t="s">
        <v>3743</v>
      </c>
      <c r="M617" s="4" t="s">
        <v>3746</v>
      </c>
      <c r="N617" s="4" t="s">
        <v>3747</v>
      </c>
      <c r="O617" s="17">
        <f>INDEX('список ID из СУЭ с должностями'!$A:$F,MATCH(E617,'список ID из СУЭ с должностями'!$B:$B,0),5)</f>
        <v>0</v>
      </c>
    </row>
    <row r="618" spans="1:15" ht="240">
      <c r="A618" s="3" t="s">
        <v>10</v>
      </c>
      <c r="B618" s="3" t="s">
        <v>11</v>
      </c>
      <c r="C618" s="4">
        <v>2026</v>
      </c>
      <c r="D618" s="5" t="s">
        <v>12</v>
      </c>
      <c r="E618" s="4">
        <v>86</v>
      </c>
      <c r="F618" s="4" t="s">
        <v>928</v>
      </c>
      <c r="G618" s="4" t="s">
        <v>929</v>
      </c>
      <c r="H618" s="4" t="s">
        <v>15</v>
      </c>
      <c r="I618" s="4" t="s">
        <v>933</v>
      </c>
      <c r="J618" s="4" t="s">
        <v>934</v>
      </c>
      <c r="K618" s="4" t="s">
        <v>30</v>
      </c>
      <c r="L618" s="4" t="s">
        <v>3743</v>
      </c>
      <c r="M618" s="4" t="s">
        <v>3746</v>
      </c>
      <c r="N618" s="4" t="s">
        <v>3747</v>
      </c>
      <c r="O618" s="17">
        <f>INDEX('список ID из СУЭ с должностями'!$A:$F,MATCH(E618,'список ID из СУЭ с должностями'!$B:$B,0),5)</f>
        <v>0</v>
      </c>
    </row>
    <row r="619" spans="1:15" ht="60">
      <c r="A619" s="3" t="s">
        <v>10</v>
      </c>
      <c r="B619" s="3" t="s">
        <v>11</v>
      </c>
      <c r="C619" s="4">
        <v>2026</v>
      </c>
      <c r="D619" s="5" t="s">
        <v>12</v>
      </c>
      <c r="E619" s="4">
        <v>86</v>
      </c>
      <c r="F619" s="4" t="s">
        <v>928</v>
      </c>
      <c r="G619" s="4" t="s">
        <v>929</v>
      </c>
      <c r="H619" s="4" t="s">
        <v>15</v>
      </c>
      <c r="I619" s="4" t="s">
        <v>935</v>
      </c>
      <c r="J619" s="4" t="s">
        <v>182</v>
      </c>
      <c r="K619" s="4" t="s">
        <v>30</v>
      </c>
      <c r="L619" s="4" t="s">
        <v>3742</v>
      </c>
      <c r="M619" s="4" t="s">
        <v>3746</v>
      </c>
      <c r="N619" s="4" t="s">
        <v>3747</v>
      </c>
      <c r="O619" s="17">
        <f>INDEX('список ID из СУЭ с должностями'!$A:$F,MATCH(E619,'список ID из СУЭ с должностями'!$B:$B,0),5)</f>
        <v>0</v>
      </c>
    </row>
    <row r="620" spans="1:15" ht="60">
      <c r="A620" s="3" t="s">
        <v>10</v>
      </c>
      <c r="B620" s="3" t="s">
        <v>11</v>
      </c>
      <c r="C620" s="4">
        <v>2026</v>
      </c>
      <c r="D620" s="5" t="s">
        <v>12</v>
      </c>
      <c r="E620" s="4">
        <v>86</v>
      </c>
      <c r="F620" s="4" t="s">
        <v>928</v>
      </c>
      <c r="G620" s="4" t="s">
        <v>929</v>
      </c>
      <c r="H620" s="4" t="s">
        <v>15</v>
      </c>
      <c r="I620" s="4" t="s">
        <v>36</v>
      </c>
      <c r="J620" s="4" t="s">
        <v>79</v>
      </c>
      <c r="K620" s="4" t="s">
        <v>38</v>
      </c>
      <c r="L620" s="4" t="s">
        <v>3742</v>
      </c>
      <c r="M620" s="4" t="s">
        <v>3746</v>
      </c>
      <c r="N620" s="4" t="s">
        <v>3747</v>
      </c>
      <c r="O620" s="17">
        <f>INDEX('список ID из СУЭ с должностями'!$A:$F,MATCH(E620,'список ID из СУЭ с должностями'!$B:$B,0),5)</f>
        <v>0</v>
      </c>
    </row>
    <row r="621" spans="1:15" ht="150">
      <c r="A621" s="3" t="s">
        <v>10</v>
      </c>
      <c r="B621" s="3" t="s">
        <v>11</v>
      </c>
      <c r="C621" s="4">
        <v>2026</v>
      </c>
      <c r="D621" s="5" t="s">
        <v>12</v>
      </c>
      <c r="E621" s="4">
        <v>86</v>
      </c>
      <c r="F621" s="4" t="s">
        <v>928</v>
      </c>
      <c r="G621" s="4" t="s">
        <v>929</v>
      </c>
      <c r="H621" s="4" t="s">
        <v>15</v>
      </c>
      <c r="I621" s="4" t="s">
        <v>303</v>
      </c>
      <c r="J621" s="4" t="s">
        <v>936</v>
      </c>
      <c r="K621" s="4" t="s">
        <v>30</v>
      </c>
      <c r="L621" s="4" t="s">
        <v>3743</v>
      </c>
      <c r="M621" s="4" t="s">
        <v>3746</v>
      </c>
      <c r="N621" s="4" t="s">
        <v>3747</v>
      </c>
      <c r="O621" s="17">
        <f>INDEX('список ID из СУЭ с должностями'!$A:$F,MATCH(E621,'список ID из СУЭ с должностями'!$B:$B,0),5)</f>
        <v>0</v>
      </c>
    </row>
    <row r="622" spans="1:15" ht="60">
      <c r="A622" s="3" t="s">
        <v>10</v>
      </c>
      <c r="B622" s="3" t="s">
        <v>11</v>
      </c>
      <c r="C622" s="4">
        <v>2026</v>
      </c>
      <c r="D622" s="5" t="s">
        <v>12</v>
      </c>
      <c r="E622" s="4">
        <v>86</v>
      </c>
      <c r="F622" s="4" t="s">
        <v>928</v>
      </c>
      <c r="G622" s="4" t="s">
        <v>929</v>
      </c>
      <c r="H622" s="4" t="s">
        <v>15</v>
      </c>
      <c r="I622" s="4" t="s">
        <v>937</v>
      </c>
      <c r="J622" s="4" t="s">
        <v>938</v>
      </c>
      <c r="K622" s="4" t="s">
        <v>66</v>
      </c>
      <c r="L622" s="4" t="s">
        <v>3742</v>
      </c>
      <c r="M622" s="4" t="s">
        <v>3746</v>
      </c>
      <c r="N622" s="4" t="s">
        <v>3747</v>
      </c>
      <c r="O622" s="17">
        <f>INDEX('список ID из СУЭ с должностями'!$A:$F,MATCH(E622,'список ID из СУЭ с должностями'!$B:$B,0),5)</f>
        <v>0</v>
      </c>
    </row>
    <row r="623" spans="1:15" ht="165">
      <c r="A623" s="3" t="s">
        <v>10</v>
      </c>
      <c r="B623" s="3" t="s">
        <v>11</v>
      </c>
      <c r="C623" s="4">
        <v>2026</v>
      </c>
      <c r="D623" s="5" t="s">
        <v>12</v>
      </c>
      <c r="E623" s="4">
        <v>86</v>
      </c>
      <c r="F623" s="4" t="s">
        <v>928</v>
      </c>
      <c r="G623" s="4" t="s">
        <v>929</v>
      </c>
      <c r="H623" s="4" t="s">
        <v>15</v>
      </c>
      <c r="I623" s="4" t="s">
        <v>33</v>
      </c>
      <c r="J623" s="4" t="s">
        <v>939</v>
      </c>
      <c r="K623" s="4" t="s">
        <v>35</v>
      </c>
      <c r="L623" s="4" t="s">
        <v>3743</v>
      </c>
      <c r="M623" s="4" t="s">
        <v>3746</v>
      </c>
      <c r="N623" s="4" t="s">
        <v>3747</v>
      </c>
      <c r="O623" s="17">
        <f>INDEX('список ID из СУЭ с должностями'!$A:$F,MATCH(E623,'список ID из СУЭ с должностями'!$B:$B,0),5)</f>
        <v>0</v>
      </c>
    </row>
    <row r="624" spans="1:15" ht="409.5">
      <c r="A624" s="3" t="s">
        <v>10</v>
      </c>
      <c r="B624" s="3" t="s">
        <v>11</v>
      </c>
      <c r="C624" s="4">
        <v>2026</v>
      </c>
      <c r="D624" s="5" t="s">
        <v>12</v>
      </c>
      <c r="E624" s="4">
        <v>86</v>
      </c>
      <c r="F624" s="4" t="s">
        <v>928</v>
      </c>
      <c r="G624" s="4" t="s">
        <v>929</v>
      </c>
      <c r="H624" s="4" t="s">
        <v>15</v>
      </c>
      <c r="I624" s="4" t="s">
        <v>940</v>
      </c>
      <c r="J624" s="4" t="s">
        <v>941</v>
      </c>
      <c r="K624" s="4" t="s">
        <v>25</v>
      </c>
      <c r="L624" s="4" t="s">
        <v>3743</v>
      </c>
      <c r="M624" s="4" t="s">
        <v>3746</v>
      </c>
      <c r="N624" s="4" t="s">
        <v>3747</v>
      </c>
      <c r="O624" s="17">
        <f>INDEX('список ID из СУЭ с должностями'!$A:$F,MATCH(E624,'список ID из СУЭ с должностями'!$B:$B,0),5)</f>
        <v>0</v>
      </c>
    </row>
    <row r="625" spans="1:15" ht="75">
      <c r="A625" s="3" t="s">
        <v>10</v>
      </c>
      <c r="B625" s="3" t="s">
        <v>11</v>
      </c>
      <c r="C625" s="4">
        <v>2026</v>
      </c>
      <c r="D625" s="5" t="s">
        <v>12</v>
      </c>
      <c r="E625" s="4">
        <v>87</v>
      </c>
      <c r="F625" s="4" t="s">
        <v>942</v>
      </c>
      <c r="G625" s="4" t="s">
        <v>558</v>
      </c>
      <c r="H625" s="4" t="s">
        <v>15</v>
      </c>
      <c r="I625" s="4" t="s">
        <v>35</v>
      </c>
      <c r="J625" s="4">
        <v>0</v>
      </c>
      <c r="K625" s="4" t="s">
        <v>35</v>
      </c>
      <c r="L625" s="4" t="s">
        <v>3743</v>
      </c>
      <c r="M625" s="4" t="s">
        <v>3746</v>
      </c>
      <c r="N625" s="4" t="s">
        <v>3747</v>
      </c>
      <c r="O625" s="17">
        <f>INDEX('список ID из СУЭ с должностями'!$A:$F,MATCH(E625,'список ID из СУЭ с должностями'!$B:$B,0),5)</f>
        <v>0</v>
      </c>
    </row>
    <row r="626" spans="1:15" ht="75">
      <c r="A626" s="3" t="s">
        <v>10</v>
      </c>
      <c r="B626" s="3" t="s">
        <v>11</v>
      </c>
      <c r="C626" s="4">
        <v>2026</v>
      </c>
      <c r="D626" s="5" t="s">
        <v>12</v>
      </c>
      <c r="E626" s="4">
        <v>87</v>
      </c>
      <c r="F626" s="4" t="s">
        <v>942</v>
      </c>
      <c r="G626" s="4" t="s">
        <v>558</v>
      </c>
      <c r="H626" s="4" t="s">
        <v>15</v>
      </c>
      <c r="I626" s="4" t="s">
        <v>943</v>
      </c>
      <c r="J626" s="4" t="s">
        <v>944</v>
      </c>
      <c r="K626" s="4" t="s">
        <v>188</v>
      </c>
      <c r="L626" s="4" t="s">
        <v>3743</v>
      </c>
      <c r="M626" s="4" t="s">
        <v>3746</v>
      </c>
      <c r="N626" s="4" t="s">
        <v>3747</v>
      </c>
      <c r="O626" s="17">
        <f>INDEX('список ID из СУЭ с должностями'!$A:$F,MATCH(E626,'список ID из СУЭ с должностями'!$B:$B,0),5)</f>
        <v>0</v>
      </c>
    </row>
    <row r="627" spans="1:15" ht="75">
      <c r="A627" s="3" t="s">
        <v>10</v>
      </c>
      <c r="B627" s="3" t="s">
        <v>11</v>
      </c>
      <c r="C627" s="4">
        <v>2026</v>
      </c>
      <c r="D627" s="5" t="s">
        <v>12</v>
      </c>
      <c r="E627" s="4">
        <v>87</v>
      </c>
      <c r="F627" s="4" t="s">
        <v>942</v>
      </c>
      <c r="G627" s="4" t="s">
        <v>558</v>
      </c>
      <c r="H627" s="4" t="s">
        <v>41</v>
      </c>
      <c r="I627" s="4" t="s">
        <v>945</v>
      </c>
      <c r="J627" s="4" t="s">
        <v>946</v>
      </c>
      <c r="K627" s="4" t="s">
        <v>35</v>
      </c>
      <c r="L627" s="4" t="s">
        <v>3742</v>
      </c>
      <c r="M627" s="4" t="s">
        <v>3746</v>
      </c>
      <c r="N627" s="4" t="s">
        <v>3747</v>
      </c>
      <c r="O627" s="17">
        <f>INDEX('список ID из СУЭ с должностями'!$A:$F,MATCH(E627,'список ID из СУЭ с должностями'!$B:$B,0),5)</f>
        <v>0</v>
      </c>
    </row>
    <row r="628" spans="1:15" ht="75">
      <c r="A628" s="3" t="s">
        <v>10</v>
      </c>
      <c r="B628" s="3" t="s">
        <v>11</v>
      </c>
      <c r="C628" s="4">
        <v>2026</v>
      </c>
      <c r="D628" s="5" t="s">
        <v>12</v>
      </c>
      <c r="E628" s="4">
        <v>87</v>
      </c>
      <c r="F628" s="4" t="s">
        <v>942</v>
      </c>
      <c r="G628" s="4" t="s">
        <v>558</v>
      </c>
      <c r="H628" s="4" t="s">
        <v>41</v>
      </c>
      <c r="I628" s="4" t="s">
        <v>947</v>
      </c>
      <c r="J628" s="4" t="s">
        <v>948</v>
      </c>
      <c r="K628" s="4" t="s">
        <v>188</v>
      </c>
      <c r="L628" s="4" t="s">
        <v>3743</v>
      </c>
      <c r="M628" s="4" t="s">
        <v>3746</v>
      </c>
      <c r="N628" s="4" t="s">
        <v>3747</v>
      </c>
      <c r="O628" s="17">
        <f>INDEX('список ID из СУЭ с должностями'!$A:$F,MATCH(E628,'список ID из СУЭ с должностями'!$B:$B,0),5)</f>
        <v>0</v>
      </c>
    </row>
    <row r="629" spans="1:15" ht="90">
      <c r="A629" s="3" t="s">
        <v>10</v>
      </c>
      <c r="B629" s="3" t="s">
        <v>11</v>
      </c>
      <c r="C629" s="4">
        <v>2026</v>
      </c>
      <c r="D629" s="5" t="s">
        <v>12</v>
      </c>
      <c r="E629" s="4">
        <v>87</v>
      </c>
      <c r="F629" s="4" t="s">
        <v>942</v>
      </c>
      <c r="G629" s="4" t="s">
        <v>558</v>
      </c>
      <c r="H629" s="4" t="s">
        <v>41</v>
      </c>
      <c r="I629" s="4" t="s">
        <v>949</v>
      </c>
      <c r="J629" s="4" t="s">
        <v>950</v>
      </c>
      <c r="K629" s="4" t="s">
        <v>230</v>
      </c>
      <c r="L629" s="4" t="s">
        <v>3743</v>
      </c>
      <c r="M629" s="4" t="s">
        <v>3746</v>
      </c>
      <c r="N629" s="4" t="s">
        <v>3754</v>
      </c>
      <c r="O629" s="17">
        <f>INDEX('список ID из СУЭ с должностями'!$A:$F,MATCH(E629,'список ID из СУЭ с должностями'!$B:$B,0),5)</f>
        <v>0</v>
      </c>
    </row>
    <row r="630" spans="1:15" ht="75">
      <c r="A630" s="3" t="s">
        <v>10</v>
      </c>
      <c r="B630" s="3" t="s">
        <v>11</v>
      </c>
      <c r="C630" s="4">
        <v>2026</v>
      </c>
      <c r="D630" s="5" t="s">
        <v>12</v>
      </c>
      <c r="E630" s="4">
        <v>87</v>
      </c>
      <c r="F630" s="4" t="s">
        <v>942</v>
      </c>
      <c r="G630" s="4" t="s">
        <v>558</v>
      </c>
      <c r="H630" s="4" t="s">
        <v>15</v>
      </c>
      <c r="I630" s="4" t="s">
        <v>188</v>
      </c>
      <c r="J630" s="4">
        <v>0</v>
      </c>
      <c r="K630" s="4" t="s">
        <v>188</v>
      </c>
      <c r="L630" s="4" t="s">
        <v>3743</v>
      </c>
      <c r="M630" s="4" t="s">
        <v>3746</v>
      </c>
      <c r="N630" s="4" t="s">
        <v>3747</v>
      </c>
      <c r="O630" s="17">
        <f>INDEX('список ID из СУЭ с должностями'!$A:$F,MATCH(E630,'список ID из СУЭ с должностями'!$B:$B,0),5)</f>
        <v>0</v>
      </c>
    </row>
    <row r="631" spans="1:15" ht="75">
      <c r="A631" s="3" t="s">
        <v>10</v>
      </c>
      <c r="B631" s="3" t="s">
        <v>11</v>
      </c>
      <c r="C631" s="4">
        <v>2026</v>
      </c>
      <c r="D631" s="5" t="s">
        <v>12</v>
      </c>
      <c r="E631" s="4">
        <v>87</v>
      </c>
      <c r="F631" s="4" t="s">
        <v>942</v>
      </c>
      <c r="G631" s="4" t="s">
        <v>558</v>
      </c>
      <c r="H631" s="4" t="s">
        <v>21</v>
      </c>
      <c r="I631" s="4" t="s">
        <v>559</v>
      </c>
      <c r="J631" s="4" t="s">
        <v>560</v>
      </c>
      <c r="K631" s="4" t="s">
        <v>25</v>
      </c>
      <c r="L631" s="4" t="s">
        <v>3743</v>
      </c>
      <c r="M631" s="4" t="s">
        <v>3746</v>
      </c>
      <c r="N631" s="4" t="s">
        <v>3747</v>
      </c>
      <c r="O631" s="17">
        <f>INDEX('список ID из СУЭ с должностями'!$A:$F,MATCH(E631,'список ID из СУЭ с должностями'!$B:$B,0),5)</f>
        <v>0</v>
      </c>
    </row>
    <row r="632" spans="1:15" ht="135">
      <c r="A632" s="3" t="s">
        <v>10</v>
      </c>
      <c r="B632" s="3" t="s">
        <v>11</v>
      </c>
      <c r="C632" s="4">
        <v>2026</v>
      </c>
      <c r="D632" s="5" t="s">
        <v>12</v>
      </c>
      <c r="E632" s="4">
        <v>88</v>
      </c>
      <c r="F632" s="4" t="s">
        <v>280</v>
      </c>
      <c r="G632" s="4" t="s">
        <v>951</v>
      </c>
      <c r="H632" s="4" t="s">
        <v>15</v>
      </c>
      <c r="I632" s="4" t="s">
        <v>952</v>
      </c>
      <c r="J632" s="4" t="s">
        <v>953</v>
      </c>
      <c r="K632" s="4" t="s">
        <v>954</v>
      </c>
      <c r="L632" s="4" t="s">
        <v>3743</v>
      </c>
      <c r="M632" s="4" t="s">
        <v>3750</v>
      </c>
      <c r="N632" s="4" t="s">
        <v>3761</v>
      </c>
      <c r="O632" s="17">
        <f>INDEX('список ID из СУЭ с должностями'!$A:$F,MATCH(E632,'список ID из СУЭ с должностями'!$B:$B,0),5)</f>
        <v>0</v>
      </c>
    </row>
    <row r="633" spans="1:15" ht="135">
      <c r="A633" s="3" t="s">
        <v>10</v>
      </c>
      <c r="B633" s="3" t="s">
        <v>11</v>
      </c>
      <c r="C633" s="4">
        <v>2026</v>
      </c>
      <c r="D633" s="5" t="s">
        <v>12</v>
      </c>
      <c r="E633" s="4">
        <v>88</v>
      </c>
      <c r="F633" s="4" t="s">
        <v>280</v>
      </c>
      <c r="G633" s="4" t="s">
        <v>951</v>
      </c>
      <c r="H633" s="4" t="s">
        <v>15</v>
      </c>
      <c r="I633" s="4" t="s">
        <v>955</v>
      </c>
      <c r="J633" s="4" t="s">
        <v>953</v>
      </c>
      <c r="K633" s="4" t="s">
        <v>954</v>
      </c>
      <c r="L633" s="4" t="s">
        <v>3743</v>
      </c>
      <c r="M633" s="4" t="s">
        <v>3750</v>
      </c>
      <c r="N633" s="4" t="s">
        <v>3761</v>
      </c>
      <c r="O633" s="17">
        <f>INDEX('список ID из СУЭ с должностями'!$A:$F,MATCH(E633,'список ID из СУЭ с должностями'!$B:$B,0),5)</f>
        <v>0</v>
      </c>
    </row>
    <row r="634" spans="1:15" ht="60">
      <c r="A634" s="3" t="s">
        <v>10</v>
      </c>
      <c r="B634" s="3" t="s">
        <v>11</v>
      </c>
      <c r="C634" s="4">
        <v>2026</v>
      </c>
      <c r="D634" s="5" t="s">
        <v>12</v>
      </c>
      <c r="E634" s="4">
        <v>88</v>
      </c>
      <c r="F634" s="4" t="s">
        <v>280</v>
      </c>
      <c r="G634" s="4" t="s">
        <v>951</v>
      </c>
      <c r="H634" s="4" t="s">
        <v>15</v>
      </c>
      <c r="I634" s="4" t="s">
        <v>956</v>
      </c>
      <c r="J634" s="4" t="s">
        <v>957</v>
      </c>
      <c r="K634" s="4" t="s">
        <v>35</v>
      </c>
      <c r="L634" s="4" t="s">
        <v>3742</v>
      </c>
      <c r="M634" s="4" t="s">
        <v>3746</v>
      </c>
      <c r="N634" s="4" t="s">
        <v>3747</v>
      </c>
      <c r="O634" s="17">
        <f>INDEX('список ID из СУЭ с должностями'!$A:$F,MATCH(E634,'список ID из СУЭ с должностями'!$B:$B,0),5)</f>
        <v>0</v>
      </c>
    </row>
    <row r="635" spans="1:15" ht="60">
      <c r="A635" s="3" t="s">
        <v>10</v>
      </c>
      <c r="B635" s="3" t="s">
        <v>11</v>
      </c>
      <c r="C635" s="4">
        <v>2026</v>
      </c>
      <c r="D635" s="5" t="s">
        <v>12</v>
      </c>
      <c r="E635" s="4">
        <v>88</v>
      </c>
      <c r="F635" s="4" t="s">
        <v>280</v>
      </c>
      <c r="G635" s="4" t="s">
        <v>951</v>
      </c>
      <c r="H635" s="4" t="s">
        <v>21</v>
      </c>
      <c r="I635" s="4" t="s">
        <v>958</v>
      </c>
      <c r="J635" s="4" t="s">
        <v>959</v>
      </c>
      <c r="K635" s="4" t="s">
        <v>25</v>
      </c>
      <c r="L635" s="4" t="s">
        <v>3743</v>
      </c>
      <c r="M635" s="4" t="s">
        <v>3746</v>
      </c>
      <c r="N635" s="4" t="s">
        <v>3747</v>
      </c>
      <c r="O635" s="17">
        <f>INDEX('список ID из СУЭ с должностями'!$A:$F,MATCH(E635,'список ID из СУЭ с должностями'!$B:$B,0),5)</f>
        <v>0</v>
      </c>
    </row>
    <row r="636" spans="1:15" ht="180">
      <c r="A636" s="3" t="s">
        <v>10</v>
      </c>
      <c r="B636" s="3" t="s">
        <v>11</v>
      </c>
      <c r="C636" s="4">
        <v>2026</v>
      </c>
      <c r="D636" s="5" t="s">
        <v>12</v>
      </c>
      <c r="E636" s="4">
        <v>88</v>
      </c>
      <c r="F636" s="4" t="s">
        <v>280</v>
      </c>
      <c r="G636" s="4" t="s">
        <v>951</v>
      </c>
      <c r="H636" s="4" t="s">
        <v>15</v>
      </c>
      <c r="I636" s="4" t="s">
        <v>960</v>
      </c>
      <c r="J636" s="4" t="s">
        <v>961</v>
      </c>
      <c r="K636" s="4" t="s">
        <v>188</v>
      </c>
      <c r="L636" s="4" t="s">
        <v>3743</v>
      </c>
      <c r="M636" s="4" t="s">
        <v>3746</v>
      </c>
      <c r="N636" s="4" t="s">
        <v>3747</v>
      </c>
      <c r="O636" s="17">
        <f>INDEX('список ID из СУЭ с должностями'!$A:$F,MATCH(E636,'список ID из СУЭ с должностями'!$B:$B,0),5)</f>
        <v>0</v>
      </c>
    </row>
    <row r="637" spans="1:15" ht="60">
      <c r="A637" s="3" t="s">
        <v>10</v>
      </c>
      <c r="B637" s="3" t="s">
        <v>11</v>
      </c>
      <c r="C637" s="4">
        <v>2026</v>
      </c>
      <c r="D637" s="5" t="s">
        <v>12</v>
      </c>
      <c r="E637" s="4">
        <v>89</v>
      </c>
      <c r="F637" s="4" t="s">
        <v>193</v>
      </c>
      <c r="G637" s="4" t="s">
        <v>962</v>
      </c>
      <c r="H637" s="4" t="s">
        <v>15</v>
      </c>
      <c r="I637" s="4" t="s">
        <v>609</v>
      </c>
      <c r="J637" s="4" t="s">
        <v>963</v>
      </c>
      <c r="K637" s="4" t="s">
        <v>52</v>
      </c>
      <c r="L637" s="4" t="s">
        <v>3742</v>
      </c>
      <c r="M637" s="4" t="s">
        <v>3746</v>
      </c>
      <c r="N637" s="4" t="s">
        <v>3747</v>
      </c>
      <c r="O637" s="17" t="str">
        <f>INDEX('список ID из СУЭ с должностями'!$A:$F,MATCH(E637,'список ID из СУЭ с должностями'!$B:$B,0),5)</f>
        <v>Инж смены</v>
      </c>
    </row>
    <row r="638" spans="1:15" ht="60">
      <c r="A638" s="3" t="s">
        <v>10</v>
      </c>
      <c r="B638" s="3" t="s">
        <v>11</v>
      </c>
      <c r="C638" s="4">
        <v>2026</v>
      </c>
      <c r="D638" s="5" t="s">
        <v>12</v>
      </c>
      <c r="E638" s="4">
        <v>89</v>
      </c>
      <c r="F638" s="4" t="s">
        <v>193</v>
      </c>
      <c r="G638" s="4" t="s">
        <v>962</v>
      </c>
      <c r="H638" s="4" t="s">
        <v>15</v>
      </c>
      <c r="I638" s="4" t="s">
        <v>601</v>
      </c>
      <c r="J638" s="4" t="s">
        <v>602</v>
      </c>
      <c r="K638" s="4" t="s">
        <v>52</v>
      </c>
      <c r="L638" s="4" t="s">
        <v>3742</v>
      </c>
      <c r="M638" s="4" t="s">
        <v>3746</v>
      </c>
      <c r="N638" s="4" t="s">
        <v>3747</v>
      </c>
      <c r="O638" s="17" t="str">
        <f>INDEX('список ID из СУЭ с должностями'!$A:$F,MATCH(E638,'список ID из СУЭ с должностями'!$B:$B,0),5)</f>
        <v>Инж смены</v>
      </c>
    </row>
    <row r="639" spans="1:15" ht="60">
      <c r="A639" s="3" t="s">
        <v>10</v>
      </c>
      <c r="B639" s="3" t="s">
        <v>11</v>
      </c>
      <c r="C639" s="4">
        <v>2026</v>
      </c>
      <c r="D639" s="5" t="s">
        <v>12</v>
      </c>
      <c r="E639" s="4">
        <v>89</v>
      </c>
      <c r="F639" s="4" t="s">
        <v>193</v>
      </c>
      <c r="G639" s="4" t="s">
        <v>962</v>
      </c>
      <c r="H639" s="4" t="s">
        <v>15</v>
      </c>
      <c r="I639" s="4" t="s">
        <v>605</v>
      </c>
      <c r="J639" s="4" t="s">
        <v>965</v>
      </c>
      <c r="K639" s="4" t="s">
        <v>52</v>
      </c>
      <c r="L639" s="4" t="s">
        <v>3742</v>
      </c>
      <c r="M639" s="4" t="s">
        <v>3746</v>
      </c>
      <c r="N639" s="4" t="s">
        <v>3747</v>
      </c>
      <c r="O639" s="17" t="str">
        <f>INDEX('список ID из СУЭ с должностями'!$A:$F,MATCH(E639,'список ID из СУЭ с должностями'!$B:$B,0),5)</f>
        <v>Инж смены</v>
      </c>
    </row>
    <row r="640" spans="1:15" ht="60">
      <c r="A640" s="3" t="s">
        <v>10</v>
      </c>
      <c r="B640" s="3" t="s">
        <v>11</v>
      </c>
      <c r="C640" s="4">
        <v>2026</v>
      </c>
      <c r="D640" s="5" t="s">
        <v>12</v>
      </c>
      <c r="E640" s="4">
        <v>89</v>
      </c>
      <c r="F640" s="4" t="s">
        <v>193</v>
      </c>
      <c r="G640" s="4" t="s">
        <v>962</v>
      </c>
      <c r="H640" s="4" t="s">
        <v>15</v>
      </c>
      <c r="I640" s="4" t="s">
        <v>611</v>
      </c>
      <c r="J640" s="4" t="s">
        <v>966</v>
      </c>
      <c r="K640" s="4" t="s">
        <v>52</v>
      </c>
      <c r="L640" s="4" t="s">
        <v>3742</v>
      </c>
      <c r="M640" s="4" t="s">
        <v>3746</v>
      </c>
      <c r="N640" s="4" t="s">
        <v>3747</v>
      </c>
      <c r="O640" s="17" t="str">
        <f>INDEX('список ID из СУЭ с должностями'!$A:$F,MATCH(E640,'список ID из СУЭ с должностями'!$B:$B,0),5)</f>
        <v>Инж смены</v>
      </c>
    </row>
    <row r="641" spans="1:15" ht="60">
      <c r="A641" s="3" t="s">
        <v>10</v>
      </c>
      <c r="B641" s="3" t="s">
        <v>11</v>
      </c>
      <c r="C641" s="4">
        <v>2026</v>
      </c>
      <c r="D641" s="5" t="s">
        <v>12</v>
      </c>
      <c r="E641" s="4">
        <v>89</v>
      </c>
      <c r="F641" s="4" t="s">
        <v>193</v>
      </c>
      <c r="G641" s="4" t="s">
        <v>962</v>
      </c>
      <c r="H641" s="4" t="s">
        <v>15</v>
      </c>
      <c r="I641" s="4" t="s">
        <v>607</v>
      </c>
      <c r="J641" s="4" t="s">
        <v>608</v>
      </c>
      <c r="K641" s="4" t="s">
        <v>52</v>
      </c>
      <c r="L641" s="4" t="s">
        <v>3742</v>
      </c>
      <c r="M641" s="4" t="s">
        <v>3746</v>
      </c>
      <c r="N641" s="4" t="s">
        <v>3747</v>
      </c>
      <c r="O641" s="17" t="str">
        <f>INDEX('список ID из СУЭ с должностями'!$A:$F,MATCH(E641,'список ID из СУЭ с должностями'!$B:$B,0),5)</f>
        <v>Инж смены</v>
      </c>
    </row>
    <row r="642" spans="1:15" ht="60">
      <c r="A642" s="3" t="s">
        <v>10</v>
      </c>
      <c r="B642" s="3" t="s">
        <v>11</v>
      </c>
      <c r="C642" s="4">
        <v>2026</v>
      </c>
      <c r="D642" s="5" t="s">
        <v>12</v>
      </c>
      <c r="E642" s="4">
        <v>89</v>
      </c>
      <c r="F642" s="4" t="s">
        <v>193</v>
      </c>
      <c r="G642" s="4" t="s">
        <v>962</v>
      </c>
      <c r="H642" s="4" t="s">
        <v>15</v>
      </c>
      <c r="I642" s="4" t="s">
        <v>603</v>
      </c>
      <c r="J642" s="4" t="s">
        <v>604</v>
      </c>
      <c r="K642" s="4" t="s">
        <v>52</v>
      </c>
      <c r="L642" s="4" t="s">
        <v>3742</v>
      </c>
      <c r="M642" s="4" t="s">
        <v>3746</v>
      </c>
      <c r="N642" s="4" t="s">
        <v>3747</v>
      </c>
      <c r="O642" s="17" t="str">
        <f>INDEX('список ID из СУЭ с должностями'!$A:$F,MATCH(E642,'список ID из СУЭ с должностями'!$B:$B,0),5)</f>
        <v>Инж смены</v>
      </c>
    </row>
    <row r="643" spans="1:15" ht="60">
      <c r="A643" s="3" t="s">
        <v>10</v>
      </c>
      <c r="B643" s="3" t="s">
        <v>11</v>
      </c>
      <c r="C643" s="4">
        <v>2026</v>
      </c>
      <c r="D643" s="5" t="s">
        <v>12</v>
      </c>
      <c r="E643" s="4">
        <v>90</v>
      </c>
      <c r="F643" s="4" t="s">
        <v>280</v>
      </c>
      <c r="G643" s="4" t="s">
        <v>951</v>
      </c>
      <c r="H643" s="4" t="s">
        <v>15</v>
      </c>
      <c r="I643" s="4" t="s">
        <v>967</v>
      </c>
      <c r="J643" s="4" t="s">
        <v>968</v>
      </c>
      <c r="K643" s="4" t="s">
        <v>23</v>
      </c>
      <c r="L643" s="4" t="s">
        <v>3743</v>
      </c>
      <c r="M643" s="4" t="s">
        <v>3748</v>
      </c>
      <c r="N643" s="4" t="s">
        <v>3752</v>
      </c>
      <c r="O643" s="17">
        <f>INDEX('список ID из СУЭ с должностями'!$A:$F,MATCH(E643,'список ID из СУЭ с должностями'!$B:$B,0),5)</f>
        <v>0</v>
      </c>
    </row>
    <row r="644" spans="1:15" ht="60">
      <c r="A644" s="3" t="s">
        <v>10</v>
      </c>
      <c r="B644" s="3" t="s">
        <v>11</v>
      </c>
      <c r="C644" s="4">
        <v>2026</v>
      </c>
      <c r="D644" s="5" t="s">
        <v>12</v>
      </c>
      <c r="E644" s="4">
        <v>90</v>
      </c>
      <c r="F644" s="4" t="s">
        <v>280</v>
      </c>
      <c r="G644" s="4" t="s">
        <v>951</v>
      </c>
      <c r="H644" s="4" t="s">
        <v>15</v>
      </c>
      <c r="I644" s="4" t="s">
        <v>203</v>
      </c>
      <c r="J644" s="4" t="s">
        <v>512</v>
      </c>
      <c r="K644" s="4" t="s">
        <v>35</v>
      </c>
      <c r="L644" s="4" t="s">
        <v>3743</v>
      </c>
      <c r="M644" s="4" t="s">
        <v>3746</v>
      </c>
      <c r="N644" s="4" t="s">
        <v>3747</v>
      </c>
      <c r="O644" s="17">
        <f>INDEX('список ID из СУЭ с должностями'!$A:$F,MATCH(E644,'список ID из СУЭ с должностями'!$B:$B,0),5)</f>
        <v>0</v>
      </c>
    </row>
    <row r="645" spans="1:15" ht="75">
      <c r="A645" s="3" t="s">
        <v>10</v>
      </c>
      <c r="B645" s="3" t="s">
        <v>11</v>
      </c>
      <c r="C645" s="4">
        <v>2026</v>
      </c>
      <c r="D645" s="5" t="s">
        <v>12</v>
      </c>
      <c r="E645" s="4">
        <v>90</v>
      </c>
      <c r="F645" s="4" t="s">
        <v>280</v>
      </c>
      <c r="G645" s="4" t="s">
        <v>951</v>
      </c>
      <c r="H645" s="4" t="s">
        <v>15</v>
      </c>
      <c r="I645" s="4" t="s">
        <v>969</v>
      </c>
      <c r="J645" s="4" t="s">
        <v>970</v>
      </c>
      <c r="K645" s="4" t="s">
        <v>20</v>
      </c>
      <c r="L645" s="4" t="s">
        <v>3743</v>
      </c>
      <c r="M645" s="4" t="s">
        <v>3746</v>
      </c>
      <c r="N645" s="4" t="s">
        <v>3747</v>
      </c>
      <c r="O645" s="17">
        <f>INDEX('список ID из СУЭ с должностями'!$A:$F,MATCH(E645,'список ID из СУЭ с должностями'!$B:$B,0),5)</f>
        <v>0</v>
      </c>
    </row>
    <row r="646" spans="1:15" ht="75">
      <c r="A646" s="3" t="s">
        <v>10</v>
      </c>
      <c r="B646" s="3" t="s">
        <v>11</v>
      </c>
      <c r="C646" s="4">
        <v>2026</v>
      </c>
      <c r="D646" s="5" t="s">
        <v>12</v>
      </c>
      <c r="E646" s="4">
        <v>90</v>
      </c>
      <c r="F646" s="4" t="s">
        <v>280</v>
      </c>
      <c r="G646" s="4" t="s">
        <v>951</v>
      </c>
      <c r="H646" s="4" t="s">
        <v>15</v>
      </c>
      <c r="I646" s="4" t="s">
        <v>971</v>
      </c>
      <c r="J646" s="4" t="s">
        <v>711</v>
      </c>
      <c r="K646" s="4" t="s">
        <v>20</v>
      </c>
      <c r="L646" s="4" t="s">
        <v>3742</v>
      </c>
      <c r="M646" s="4" t="s">
        <v>3746</v>
      </c>
      <c r="N646" s="4" t="s">
        <v>3747</v>
      </c>
      <c r="O646" s="17">
        <f>INDEX('список ID из СУЭ с должностями'!$A:$F,MATCH(E646,'список ID из СУЭ с должностями'!$B:$B,0),5)</f>
        <v>0</v>
      </c>
    </row>
    <row r="647" spans="1:15" ht="60">
      <c r="A647" s="3" t="s">
        <v>10</v>
      </c>
      <c r="B647" s="3" t="s">
        <v>11</v>
      </c>
      <c r="C647" s="4">
        <v>2026</v>
      </c>
      <c r="D647" s="5" t="s">
        <v>12</v>
      </c>
      <c r="E647" s="4">
        <v>90</v>
      </c>
      <c r="F647" s="4" t="s">
        <v>280</v>
      </c>
      <c r="G647" s="4" t="s">
        <v>951</v>
      </c>
      <c r="H647" s="4" t="s">
        <v>21</v>
      </c>
      <c r="I647" s="4" t="s">
        <v>958</v>
      </c>
      <c r="J647" s="4" t="s">
        <v>972</v>
      </c>
      <c r="K647" s="4" t="s">
        <v>25</v>
      </c>
      <c r="L647" s="4" t="s">
        <v>3743</v>
      </c>
      <c r="M647" s="4" t="s">
        <v>3746</v>
      </c>
      <c r="N647" s="4" t="s">
        <v>3747</v>
      </c>
      <c r="O647" s="17">
        <f>INDEX('список ID из СУЭ с должностями'!$A:$F,MATCH(E647,'список ID из СУЭ с должностями'!$B:$B,0),5)</f>
        <v>0</v>
      </c>
    </row>
    <row r="648" spans="1:15" ht="180">
      <c r="A648" s="3" t="s">
        <v>10</v>
      </c>
      <c r="B648" s="3" t="s">
        <v>11</v>
      </c>
      <c r="C648" s="4">
        <v>2026</v>
      </c>
      <c r="D648" s="5" t="s">
        <v>12</v>
      </c>
      <c r="E648" s="4">
        <v>90</v>
      </c>
      <c r="F648" s="4" t="s">
        <v>280</v>
      </c>
      <c r="G648" s="4" t="s">
        <v>951</v>
      </c>
      <c r="H648" s="4" t="s">
        <v>15</v>
      </c>
      <c r="I648" s="4" t="s">
        <v>960</v>
      </c>
      <c r="J648" s="4" t="s">
        <v>961</v>
      </c>
      <c r="K648" s="4" t="s">
        <v>188</v>
      </c>
      <c r="L648" s="4" t="s">
        <v>3743</v>
      </c>
      <c r="M648" s="4" t="s">
        <v>3746</v>
      </c>
      <c r="N648" s="4" t="s">
        <v>3747</v>
      </c>
      <c r="O648" s="17">
        <f>INDEX('список ID из СУЭ с должностями'!$A:$F,MATCH(E648,'список ID из СУЭ с должностями'!$B:$B,0),5)</f>
        <v>0</v>
      </c>
    </row>
    <row r="649" spans="1:15" ht="120">
      <c r="A649" s="3" t="s">
        <v>10</v>
      </c>
      <c r="B649" s="3" t="s">
        <v>11</v>
      </c>
      <c r="C649" s="4">
        <v>2026</v>
      </c>
      <c r="D649" s="5" t="s">
        <v>12</v>
      </c>
      <c r="E649" s="4">
        <v>91</v>
      </c>
      <c r="F649" s="4" t="s">
        <v>88</v>
      </c>
      <c r="G649" s="4" t="s">
        <v>781</v>
      </c>
      <c r="H649" s="4" t="s">
        <v>15</v>
      </c>
      <c r="I649" s="4" t="s">
        <v>973</v>
      </c>
      <c r="J649" s="4" t="s">
        <v>974</v>
      </c>
      <c r="K649" s="4" t="s">
        <v>188</v>
      </c>
      <c r="L649" s="4" t="s">
        <v>3743</v>
      </c>
      <c r="M649" s="4" t="s">
        <v>3746</v>
      </c>
      <c r="N649" s="4" t="s">
        <v>3747</v>
      </c>
      <c r="O649" s="17">
        <f>INDEX('список ID из СУЭ с должностями'!$A:$F,MATCH(E649,'список ID из СУЭ с должностями'!$B:$B,0),5)</f>
        <v>0</v>
      </c>
    </row>
    <row r="650" spans="1:15" ht="75">
      <c r="A650" s="3" t="s">
        <v>10</v>
      </c>
      <c r="B650" s="3" t="s">
        <v>11</v>
      </c>
      <c r="C650" s="4">
        <v>2026</v>
      </c>
      <c r="D650" s="5" t="s">
        <v>12</v>
      </c>
      <c r="E650" s="4">
        <v>91</v>
      </c>
      <c r="F650" s="4" t="s">
        <v>88</v>
      </c>
      <c r="G650" s="4" t="s">
        <v>781</v>
      </c>
      <c r="H650" s="4" t="s">
        <v>21</v>
      </c>
      <c r="I650" s="4" t="s">
        <v>975</v>
      </c>
      <c r="J650" s="4" t="s">
        <v>976</v>
      </c>
      <c r="K650" s="4" t="s">
        <v>20</v>
      </c>
      <c r="L650" s="4" t="s">
        <v>3743</v>
      </c>
      <c r="M650" s="4" t="s">
        <v>3746</v>
      </c>
      <c r="N650" s="4" t="s">
        <v>3747</v>
      </c>
      <c r="O650" s="17">
        <f>INDEX('список ID из СУЭ с должностями'!$A:$F,MATCH(E650,'список ID из СУЭ с должностями'!$B:$B,0),5)</f>
        <v>0</v>
      </c>
    </row>
    <row r="651" spans="1:15" ht="105">
      <c r="A651" s="3" t="s">
        <v>10</v>
      </c>
      <c r="B651" s="3" t="s">
        <v>11</v>
      </c>
      <c r="C651" s="4">
        <v>2026</v>
      </c>
      <c r="D651" s="5" t="s">
        <v>12</v>
      </c>
      <c r="E651" s="4">
        <v>91</v>
      </c>
      <c r="F651" s="4" t="s">
        <v>88</v>
      </c>
      <c r="G651" s="4" t="s">
        <v>781</v>
      </c>
      <c r="H651" s="4" t="s">
        <v>15</v>
      </c>
      <c r="I651" s="4" t="s">
        <v>38</v>
      </c>
      <c r="J651" s="4" t="s">
        <v>977</v>
      </c>
      <c r="K651" s="4" t="s">
        <v>38</v>
      </c>
      <c r="L651" s="4" t="s">
        <v>3743</v>
      </c>
      <c r="M651" s="4" t="s">
        <v>3746</v>
      </c>
      <c r="N651" s="4" t="s">
        <v>3747</v>
      </c>
      <c r="O651" s="17">
        <f>INDEX('список ID из СУЭ с должностями'!$A:$F,MATCH(E651,'список ID из СУЭ с должностями'!$B:$B,0),5)</f>
        <v>0</v>
      </c>
    </row>
    <row r="652" spans="1:15" ht="120">
      <c r="A652" s="3" t="s">
        <v>10</v>
      </c>
      <c r="B652" s="3" t="s">
        <v>11</v>
      </c>
      <c r="C652" s="4">
        <v>2026</v>
      </c>
      <c r="D652" s="5" t="s">
        <v>12</v>
      </c>
      <c r="E652" s="4">
        <v>91</v>
      </c>
      <c r="F652" s="4" t="s">
        <v>88</v>
      </c>
      <c r="G652" s="4" t="s">
        <v>781</v>
      </c>
      <c r="H652" s="4" t="s">
        <v>41</v>
      </c>
      <c r="I652" s="4" t="s">
        <v>52</v>
      </c>
      <c r="J652" s="4" t="s">
        <v>978</v>
      </c>
      <c r="K652" s="4" t="s">
        <v>30</v>
      </c>
      <c r="L652" s="4" t="s">
        <v>3743</v>
      </c>
      <c r="M652" s="4" t="s">
        <v>3746</v>
      </c>
      <c r="N652" s="4" t="s">
        <v>3747</v>
      </c>
      <c r="O652" s="17">
        <f>INDEX('список ID из СУЭ с должностями'!$A:$F,MATCH(E652,'список ID из СУЭ с должностями'!$B:$B,0),5)</f>
        <v>0</v>
      </c>
    </row>
    <row r="653" spans="1:15" ht="150">
      <c r="A653" s="3" t="s">
        <v>10</v>
      </c>
      <c r="B653" s="3" t="s">
        <v>11</v>
      </c>
      <c r="C653" s="4">
        <v>2026</v>
      </c>
      <c r="D653" s="5" t="s">
        <v>12</v>
      </c>
      <c r="E653" s="4">
        <v>91</v>
      </c>
      <c r="F653" s="4" t="s">
        <v>88</v>
      </c>
      <c r="G653" s="4" t="s">
        <v>781</v>
      </c>
      <c r="H653" s="4" t="s">
        <v>15</v>
      </c>
      <c r="I653" s="4" t="s">
        <v>979</v>
      </c>
      <c r="J653" s="4" t="s">
        <v>980</v>
      </c>
      <c r="K653" s="4" t="s">
        <v>30</v>
      </c>
      <c r="L653" s="4" t="s">
        <v>3743</v>
      </c>
      <c r="M653" s="4" t="s">
        <v>3746</v>
      </c>
      <c r="N653" s="4" t="s">
        <v>3747</v>
      </c>
      <c r="O653" s="17">
        <f>INDEX('список ID из СУЭ с должностями'!$A:$F,MATCH(E653,'список ID из СУЭ с должностями'!$B:$B,0),5)</f>
        <v>0</v>
      </c>
    </row>
    <row r="654" spans="1:15" ht="165">
      <c r="A654" s="3" t="s">
        <v>10</v>
      </c>
      <c r="B654" s="3" t="s">
        <v>11</v>
      </c>
      <c r="C654" s="4">
        <v>2026</v>
      </c>
      <c r="D654" s="5" t="s">
        <v>12</v>
      </c>
      <c r="E654" s="4">
        <v>91</v>
      </c>
      <c r="F654" s="4" t="s">
        <v>88</v>
      </c>
      <c r="G654" s="4" t="s">
        <v>781</v>
      </c>
      <c r="H654" s="4" t="s">
        <v>41</v>
      </c>
      <c r="I654" s="4" t="s">
        <v>788</v>
      </c>
      <c r="J654" s="4" t="s">
        <v>789</v>
      </c>
      <c r="K654" s="4" t="s">
        <v>30</v>
      </c>
      <c r="L654" s="4" t="s">
        <v>3743</v>
      </c>
      <c r="M654" s="4" t="s">
        <v>3746</v>
      </c>
      <c r="N654" s="4" t="s">
        <v>3747</v>
      </c>
      <c r="O654" s="17">
        <f>INDEX('список ID из СУЭ с должностями'!$A:$F,MATCH(E654,'список ID из СУЭ с должностями'!$B:$B,0),5)</f>
        <v>0</v>
      </c>
    </row>
    <row r="655" spans="1:15" ht="150">
      <c r="A655" s="3" t="s">
        <v>10</v>
      </c>
      <c r="B655" s="3" t="s">
        <v>11</v>
      </c>
      <c r="C655" s="4">
        <v>2026</v>
      </c>
      <c r="D655" s="5" t="s">
        <v>12</v>
      </c>
      <c r="E655" s="4">
        <v>92</v>
      </c>
      <c r="F655" s="4" t="s">
        <v>193</v>
      </c>
      <c r="G655" s="4" t="s">
        <v>981</v>
      </c>
      <c r="H655" s="4" t="s">
        <v>41</v>
      </c>
      <c r="I655" s="4" t="s">
        <v>42</v>
      </c>
      <c r="J655" s="4" t="s">
        <v>43</v>
      </c>
      <c r="K655" s="4" t="s">
        <v>25</v>
      </c>
      <c r="L655" s="4" t="s">
        <v>3743</v>
      </c>
      <c r="M655" s="4" t="s">
        <v>3746</v>
      </c>
      <c r="N655" s="4" t="s">
        <v>3747</v>
      </c>
      <c r="O655" s="17" t="str">
        <f>INDEX('список ID из СУЭ с должностями'!$A:$F,MATCH(E655,'список ID из СУЭ с должностями'!$B:$B,0),5)</f>
        <v>Инж смены</v>
      </c>
    </row>
    <row r="656" spans="1:15" ht="45">
      <c r="A656" s="3" t="s">
        <v>10</v>
      </c>
      <c r="B656" s="3" t="s">
        <v>11</v>
      </c>
      <c r="C656" s="4">
        <v>2026</v>
      </c>
      <c r="D656" s="5" t="s">
        <v>12</v>
      </c>
      <c r="E656" s="4">
        <v>92</v>
      </c>
      <c r="F656" s="4" t="s">
        <v>193</v>
      </c>
      <c r="G656" s="4" t="s">
        <v>981</v>
      </c>
      <c r="H656" s="4" t="s">
        <v>15</v>
      </c>
      <c r="I656" s="4" t="s">
        <v>48</v>
      </c>
      <c r="J656" s="4" t="s">
        <v>187</v>
      </c>
      <c r="K656" s="4" t="s">
        <v>35</v>
      </c>
      <c r="L656" s="4" t="s">
        <v>3743</v>
      </c>
      <c r="M656" s="4" t="s">
        <v>3746</v>
      </c>
      <c r="N656" s="4" t="s">
        <v>3747</v>
      </c>
      <c r="O656" s="17" t="str">
        <f>INDEX('список ID из СУЭ с должностями'!$A:$F,MATCH(E656,'список ID из СУЭ с должностями'!$B:$B,0),5)</f>
        <v>Инж смены</v>
      </c>
    </row>
    <row r="657" spans="1:15" ht="90">
      <c r="A657" s="3" t="s">
        <v>10</v>
      </c>
      <c r="B657" s="3" t="s">
        <v>11</v>
      </c>
      <c r="C657" s="4">
        <v>2026</v>
      </c>
      <c r="D657" s="5" t="s">
        <v>12</v>
      </c>
      <c r="E657" s="4">
        <v>92</v>
      </c>
      <c r="F657" s="4" t="s">
        <v>193</v>
      </c>
      <c r="G657" s="4" t="s">
        <v>981</v>
      </c>
      <c r="H657" s="4" t="s">
        <v>21</v>
      </c>
      <c r="I657" s="4" t="s">
        <v>982</v>
      </c>
      <c r="J657" s="4" t="s">
        <v>983</v>
      </c>
      <c r="K657" s="4" t="s">
        <v>55</v>
      </c>
      <c r="L657" s="4" t="s">
        <v>3743</v>
      </c>
      <c r="M657" s="4" t="s">
        <v>3746</v>
      </c>
      <c r="N657" s="4" t="s">
        <v>3747</v>
      </c>
      <c r="O657" s="17" t="str">
        <f>INDEX('список ID из СУЭ с должностями'!$A:$F,MATCH(E657,'список ID из СУЭ с должностями'!$B:$B,0),5)</f>
        <v>Инж смены</v>
      </c>
    </row>
    <row r="658" spans="1:15" ht="45">
      <c r="A658" s="3" t="s">
        <v>10</v>
      </c>
      <c r="B658" s="3" t="s">
        <v>11</v>
      </c>
      <c r="C658" s="4">
        <v>2026</v>
      </c>
      <c r="D658" s="5" t="s">
        <v>12</v>
      </c>
      <c r="E658" s="4">
        <v>92</v>
      </c>
      <c r="F658" s="4" t="s">
        <v>193</v>
      </c>
      <c r="G658" s="4" t="s">
        <v>981</v>
      </c>
      <c r="H658" s="4" t="s">
        <v>21</v>
      </c>
      <c r="I658" s="4" t="s">
        <v>984</v>
      </c>
      <c r="J658" s="4" t="s">
        <v>985</v>
      </c>
      <c r="K658" s="4" t="s">
        <v>66</v>
      </c>
      <c r="L658" s="4" t="s">
        <v>3743</v>
      </c>
      <c r="M658" s="4" t="s">
        <v>3746</v>
      </c>
      <c r="N658" s="4" t="s">
        <v>3747</v>
      </c>
      <c r="O658" s="17" t="str">
        <f>INDEX('список ID из СУЭ с должностями'!$A:$F,MATCH(E658,'список ID из СУЭ с должностями'!$B:$B,0),5)</f>
        <v>Инж смены</v>
      </c>
    </row>
    <row r="659" spans="1:15" ht="45">
      <c r="A659" s="3" t="s">
        <v>10</v>
      </c>
      <c r="B659" s="3" t="s">
        <v>11</v>
      </c>
      <c r="C659" s="4">
        <v>2026</v>
      </c>
      <c r="D659" s="5" t="s">
        <v>12</v>
      </c>
      <c r="E659" s="4">
        <v>92</v>
      </c>
      <c r="F659" s="4" t="s">
        <v>193</v>
      </c>
      <c r="G659" s="4" t="s">
        <v>981</v>
      </c>
      <c r="H659" s="4" t="s">
        <v>21</v>
      </c>
      <c r="I659" s="4" t="s">
        <v>62</v>
      </c>
      <c r="J659" s="4" t="s">
        <v>986</v>
      </c>
      <c r="K659" s="4" t="s">
        <v>52</v>
      </c>
      <c r="L659" s="4" t="s">
        <v>3743</v>
      </c>
      <c r="M659" s="4" t="s">
        <v>3746</v>
      </c>
      <c r="N659" s="4" t="s">
        <v>3747</v>
      </c>
      <c r="O659" s="17" t="str">
        <f>INDEX('список ID из СУЭ с должностями'!$A:$F,MATCH(E659,'список ID из СУЭ с должностями'!$B:$B,0),5)</f>
        <v>Инж смены</v>
      </c>
    </row>
    <row r="660" spans="1:15" ht="45">
      <c r="A660" s="3" t="s">
        <v>10</v>
      </c>
      <c r="B660" s="3" t="s">
        <v>11</v>
      </c>
      <c r="C660" s="4">
        <v>2026</v>
      </c>
      <c r="D660" s="5" t="s">
        <v>12</v>
      </c>
      <c r="E660" s="4">
        <v>92</v>
      </c>
      <c r="F660" s="4" t="s">
        <v>193</v>
      </c>
      <c r="G660" s="4" t="s">
        <v>981</v>
      </c>
      <c r="H660" s="4" t="s">
        <v>15</v>
      </c>
      <c r="I660" s="4" t="s">
        <v>987</v>
      </c>
      <c r="J660" s="4" t="s">
        <v>988</v>
      </c>
      <c r="K660" s="4" t="s">
        <v>52</v>
      </c>
      <c r="L660" s="4" t="s">
        <v>3743</v>
      </c>
      <c r="M660" s="4" t="s">
        <v>3746</v>
      </c>
      <c r="N660" s="4" t="s">
        <v>3747</v>
      </c>
      <c r="O660" s="17" t="str">
        <f>INDEX('список ID из СУЭ с должностями'!$A:$F,MATCH(E660,'список ID из СУЭ с должностями'!$B:$B,0),5)</f>
        <v>Инж смены</v>
      </c>
    </row>
    <row r="661" spans="1:15" ht="60">
      <c r="A661" s="3" t="s">
        <v>10</v>
      </c>
      <c r="B661" s="3" t="s">
        <v>11</v>
      </c>
      <c r="C661" s="4">
        <v>2026</v>
      </c>
      <c r="D661" s="5" t="s">
        <v>12</v>
      </c>
      <c r="E661" s="4">
        <v>93</v>
      </c>
      <c r="F661" s="4" t="s">
        <v>157</v>
      </c>
      <c r="G661" s="4" t="s">
        <v>158</v>
      </c>
      <c r="H661" s="4" t="s">
        <v>41</v>
      </c>
      <c r="I661" s="4" t="s">
        <v>218</v>
      </c>
      <c r="J661" s="4" t="s">
        <v>219</v>
      </c>
      <c r="K661" s="4" t="s">
        <v>220</v>
      </c>
      <c r="L661" s="4" t="s">
        <v>3743</v>
      </c>
      <c r="M661" s="4" t="s">
        <v>3753</v>
      </c>
      <c r="N661" s="4" t="s">
        <v>3747</v>
      </c>
      <c r="O661" s="17">
        <f>INDEX('список ID из СУЭ с должностями'!$A:$F,MATCH(E661,'список ID из СУЭ с должностями'!$B:$B,0),5)</f>
        <v>0</v>
      </c>
    </row>
    <row r="662" spans="1:15" ht="60">
      <c r="A662" s="3" t="s">
        <v>10</v>
      </c>
      <c r="B662" s="3" t="s">
        <v>11</v>
      </c>
      <c r="C662" s="4">
        <v>2026</v>
      </c>
      <c r="D662" s="5" t="s">
        <v>12</v>
      </c>
      <c r="E662" s="4">
        <v>93</v>
      </c>
      <c r="F662" s="4" t="s">
        <v>157</v>
      </c>
      <c r="G662" s="4" t="s">
        <v>158</v>
      </c>
      <c r="H662" s="4" t="s">
        <v>15</v>
      </c>
      <c r="I662" s="4" t="s">
        <v>226</v>
      </c>
      <c r="J662" s="4" t="s">
        <v>227</v>
      </c>
      <c r="K662" s="4" t="s">
        <v>25</v>
      </c>
      <c r="L662" s="4" t="s">
        <v>3743</v>
      </c>
      <c r="M662" s="4" t="s">
        <v>3746</v>
      </c>
      <c r="N662" s="4" t="s">
        <v>3747</v>
      </c>
      <c r="O662" s="17">
        <f>INDEX('список ID из СУЭ с должностями'!$A:$F,MATCH(E662,'список ID из СУЭ с должностями'!$B:$B,0),5)</f>
        <v>0</v>
      </c>
    </row>
    <row r="663" spans="1:15" ht="180">
      <c r="A663" s="3" t="s">
        <v>10</v>
      </c>
      <c r="B663" s="3" t="s">
        <v>11</v>
      </c>
      <c r="C663" s="4">
        <v>2026</v>
      </c>
      <c r="D663" s="5" t="s">
        <v>12</v>
      </c>
      <c r="E663" s="4">
        <v>93</v>
      </c>
      <c r="F663" s="4" t="s">
        <v>157</v>
      </c>
      <c r="G663" s="4" t="s">
        <v>158</v>
      </c>
      <c r="H663" s="4" t="s">
        <v>21</v>
      </c>
      <c r="I663" s="4" t="s">
        <v>237</v>
      </c>
      <c r="J663" s="4" t="s">
        <v>238</v>
      </c>
      <c r="K663" s="4" t="s">
        <v>151</v>
      </c>
      <c r="L663" s="4" t="s">
        <v>3743</v>
      </c>
      <c r="M663" s="4" t="s">
        <v>3746</v>
      </c>
      <c r="N663" s="4" t="s">
        <v>3747</v>
      </c>
      <c r="O663" s="17">
        <f>INDEX('список ID из СУЭ с должностями'!$A:$F,MATCH(E663,'список ID из СУЭ с должностями'!$B:$B,0),5)</f>
        <v>0</v>
      </c>
    </row>
    <row r="664" spans="1:15" ht="90">
      <c r="A664" s="3" t="s">
        <v>10</v>
      </c>
      <c r="B664" s="3" t="s">
        <v>11</v>
      </c>
      <c r="C664" s="4">
        <v>2026</v>
      </c>
      <c r="D664" s="5" t="s">
        <v>12</v>
      </c>
      <c r="E664" s="4">
        <v>93</v>
      </c>
      <c r="F664" s="4" t="s">
        <v>157</v>
      </c>
      <c r="G664" s="4" t="s">
        <v>158</v>
      </c>
      <c r="H664" s="4" t="s">
        <v>41</v>
      </c>
      <c r="I664" s="4" t="s">
        <v>991</v>
      </c>
      <c r="J664" s="4" t="s">
        <v>992</v>
      </c>
      <c r="K664" s="4" t="s">
        <v>993</v>
      </c>
      <c r="L664" s="4" t="s">
        <v>3743</v>
      </c>
      <c r="M664" s="4" t="s">
        <v>3746</v>
      </c>
      <c r="N664" s="4" t="s">
        <v>3754</v>
      </c>
      <c r="O664" s="17">
        <f>INDEX('список ID из СУЭ с должностями'!$A:$F,MATCH(E664,'список ID из СУЭ с должностями'!$B:$B,0),5)</f>
        <v>0</v>
      </c>
    </row>
    <row r="665" spans="1:15" ht="105">
      <c r="A665" s="3" t="s">
        <v>10</v>
      </c>
      <c r="B665" s="3" t="s">
        <v>11</v>
      </c>
      <c r="C665" s="4">
        <v>2026</v>
      </c>
      <c r="D665" s="5" t="s">
        <v>12</v>
      </c>
      <c r="E665" s="4">
        <v>93</v>
      </c>
      <c r="F665" s="4" t="s">
        <v>157</v>
      </c>
      <c r="G665" s="4" t="s">
        <v>158</v>
      </c>
      <c r="H665" s="4" t="s">
        <v>15</v>
      </c>
      <c r="I665" s="4" t="s">
        <v>228</v>
      </c>
      <c r="J665" s="4" t="s">
        <v>994</v>
      </c>
      <c r="K665" s="4" t="s">
        <v>230</v>
      </c>
      <c r="L665" s="4" t="s">
        <v>3743</v>
      </c>
      <c r="M665" s="4" t="s">
        <v>3746</v>
      </c>
      <c r="N665" s="4" t="s">
        <v>3754</v>
      </c>
      <c r="O665" s="17">
        <f>INDEX('список ID из СУЭ с должностями'!$A:$F,MATCH(E665,'список ID из СУЭ с должностями'!$B:$B,0),5)</f>
        <v>0</v>
      </c>
    </row>
    <row r="666" spans="1:15" ht="105">
      <c r="A666" s="3" t="s">
        <v>10</v>
      </c>
      <c r="B666" s="3" t="s">
        <v>11</v>
      </c>
      <c r="C666" s="4">
        <v>2026</v>
      </c>
      <c r="D666" s="5" t="s">
        <v>12</v>
      </c>
      <c r="E666" s="4">
        <v>93</v>
      </c>
      <c r="F666" s="4" t="s">
        <v>157</v>
      </c>
      <c r="G666" s="4" t="s">
        <v>158</v>
      </c>
      <c r="H666" s="4" t="s">
        <v>21</v>
      </c>
      <c r="I666" s="4" t="s">
        <v>231</v>
      </c>
      <c r="J666" s="4" t="s">
        <v>995</v>
      </c>
      <c r="K666" s="4" t="s">
        <v>38</v>
      </c>
      <c r="L666" s="4" t="s">
        <v>3743</v>
      </c>
      <c r="M666" s="4" t="s">
        <v>3746</v>
      </c>
      <c r="N666" s="4" t="s">
        <v>3747</v>
      </c>
      <c r="O666" s="17">
        <f>INDEX('список ID из СУЭ с должностями'!$A:$F,MATCH(E666,'список ID из СУЭ с должностями'!$B:$B,0),5)</f>
        <v>0</v>
      </c>
    </row>
    <row r="667" spans="1:15" ht="60">
      <c r="A667" s="3" t="s">
        <v>10</v>
      </c>
      <c r="B667" s="3" t="s">
        <v>11</v>
      </c>
      <c r="C667" s="4">
        <v>2026</v>
      </c>
      <c r="D667" s="5" t="s">
        <v>12</v>
      </c>
      <c r="E667" s="4">
        <v>93</v>
      </c>
      <c r="F667" s="4" t="s">
        <v>157</v>
      </c>
      <c r="G667" s="4" t="s">
        <v>158</v>
      </c>
      <c r="H667" s="4" t="s">
        <v>21</v>
      </c>
      <c r="I667" s="4" t="s">
        <v>996</v>
      </c>
      <c r="J667" s="4" t="s">
        <v>997</v>
      </c>
      <c r="K667" s="4" t="s">
        <v>25</v>
      </c>
      <c r="L667" s="4" t="s">
        <v>3743</v>
      </c>
      <c r="M667" s="4" t="s">
        <v>3746</v>
      </c>
      <c r="N667" s="4" t="s">
        <v>3747</v>
      </c>
      <c r="O667" s="17">
        <f>INDEX('список ID из СУЭ с должностями'!$A:$F,MATCH(E667,'список ID из СУЭ с должностями'!$B:$B,0),5)</f>
        <v>0</v>
      </c>
    </row>
    <row r="668" spans="1:15" ht="60">
      <c r="A668" s="3" t="s">
        <v>10</v>
      </c>
      <c r="B668" s="3" t="s">
        <v>11</v>
      </c>
      <c r="C668" s="4">
        <v>2026</v>
      </c>
      <c r="D668" s="5" t="s">
        <v>12</v>
      </c>
      <c r="E668" s="4">
        <v>93</v>
      </c>
      <c r="F668" s="4" t="s">
        <v>157</v>
      </c>
      <c r="G668" s="4" t="s">
        <v>158</v>
      </c>
      <c r="H668" s="4" t="s">
        <v>15</v>
      </c>
      <c r="I668" s="4" t="s">
        <v>233</v>
      </c>
      <c r="J668" s="4" t="s">
        <v>234</v>
      </c>
      <c r="K668" s="4" t="s">
        <v>35</v>
      </c>
      <c r="L668" s="4" t="s">
        <v>3743</v>
      </c>
      <c r="M668" s="4" t="s">
        <v>3746</v>
      </c>
      <c r="N668" s="4" t="s">
        <v>3747</v>
      </c>
      <c r="O668" s="17">
        <f>INDEX('список ID из СУЭ с должностями'!$A:$F,MATCH(E668,'список ID из СУЭ с должностями'!$B:$B,0),5)</f>
        <v>0</v>
      </c>
    </row>
    <row r="669" spans="1:15" ht="225">
      <c r="A669" s="3" t="s">
        <v>10</v>
      </c>
      <c r="B669" s="3" t="s">
        <v>11</v>
      </c>
      <c r="C669" s="4">
        <v>2026</v>
      </c>
      <c r="D669" s="5" t="s">
        <v>12</v>
      </c>
      <c r="E669" s="4">
        <v>93</v>
      </c>
      <c r="F669" s="4" t="s">
        <v>157</v>
      </c>
      <c r="G669" s="4" t="s">
        <v>158</v>
      </c>
      <c r="H669" s="4" t="s">
        <v>21</v>
      </c>
      <c r="I669" s="4" t="s">
        <v>235</v>
      </c>
      <c r="J669" s="4" t="s">
        <v>998</v>
      </c>
      <c r="K669" s="4" t="s">
        <v>52</v>
      </c>
      <c r="L669" s="4" t="s">
        <v>3743</v>
      </c>
      <c r="M669" s="4" t="s">
        <v>3746</v>
      </c>
      <c r="N669" s="4" t="s">
        <v>3747</v>
      </c>
      <c r="O669" s="17">
        <f>INDEX('список ID из СУЭ с должностями'!$A:$F,MATCH(E669,'список ID из СУЭ с должностями'!$B:$B,0),5)</f>
        <v>0</v>
      </c>
    </row>
    <row r="670" spans="1:15" ht="255">
      <c r="A670" s="3" t="s">
        <v>10</v>
      </c>
      <c r="B670" s="3" t="s">
        <v>11</v>
      </c>
      <c r="C670" s="4">
        <v>2026</v>
      </c>
      <c r="D670" s="5" t="s">
        <v>12</v>
      </c>
      <c r="E670" s="4">
        <v>93</v>
      </c>
      <c r="F670" s="4" t="s">
        <v>157</v>
      </c>
      <c r="G670" s="4" t="s">
        <v>158</v>
      </c>
      <c r="H670" s="4" t="s">
        <v>21</v>
      </c>
      <c r="I670" s="4" t="s">
        <v>999</v>
      </c>
      <c r="J670" s="4" t="s">
        <v>1000</v>
      </c>
      <c r="K670" s="4" t="s">
        <v>20</v>
      </c>
      <c r="L670" s="4" t="s">
        <v>3743</v>
      </c>
      <c r="M670" s="4" t="s">
        <v>3746</v>
      </c>
      <c r="N670" s="4" t="s">
        <v>3747</v>
      </c>
      <c r="O670" s="17">
        <f>INDEX('список ID из СУЭ с должностями'!$A:$F,MATCH(E670,'список ID из СУЭ с должностями'!$B:$B,0),5)</f>
        <v>0</v>
      </c>
    </row>
    <row r="671" spans="1:15" ht="330">
      <c r="A671" s="3" t="s">
        <v>10</v>
      </c>
      <c r="B671" s="3" t="s">
        <v>11</v>
      </c>
      <c r="C671" s="4">
        <v>2026</v>
      </c>
      <c r="D671" s="5" t="s">
        <v>12</v>
      </c>
      <c r="E671" s="4">
        <v>94</v>
      </c>
      <c r="F671" s="4" t="s">
        <v>67</v>
      </c>
      <c r="G671" s="4" t="s">
        <v>1001</v>
      </c>
      <c r="H671" s="4" t="s">
        <v>15</v>
      </c>
      <c r="I671" s="4" t="s">
        <v>1002</v>
      </c>
      <c r="J671" s="4" t="s">
        <v>1003</v>
      </c>
      <c r="K671" s="4" t="s">
        <v>35</v>
      </c>
      <c r="L671" s="4" t="s">
        <v>3743</v>
      </c>
      <c r="M671" s="4" t="s">
        <v>3746</v>
      </c>
      <c r="N671" s="4" t="s">
        <v>3747</v>
      </c>
      <c r="O671" s="17">
        <f>INDEX('список ID из СУЭ с должностями'!$A:$F,MATCH(E671,'список ID из СУЭ с должностями'!$B:$B,0),5)</f>
        <v>0</v>
      </c>
    </row>
    <row r="672" spans="1:15" ht="180">
      <c r="A672" s="3" t="s">
        <v>10</v>
      </c>
      <c r="B672" s="3" t="s">
        <v>11</v>
      </c>
      <c r="C672" s="4">
        <v>2026</v>
      </c>
      <c r="D672" s="5" t="s">
        <v>12</v>
      </c>
      <c r="E672" s="4">
        <v>94</v>
      </c>
      <c r="F672" s="4" t="s">
        <v>67</v>
      </c>
      <c r="G672" s="4" t="s">
        <v>1001</v>
      </c>
      <c r="H672" s="4" t="s">
        <v>15</v>
      </c>
      <c r="I672" s="4" t="s">
        <v>791</v>
      </c>
      <c r="J672" s="4" t="s">
        <v>1005</v>
      </c>
      <c r="K672" s="4" t="s">
        <v>30</v>
      </c>
      <c r="L672" s="4" t="s">
        <v>3743</v>
      </c>
      <c r="M672" s="4" t="s">
        <v>3746</v>
      </c>
      <c r="N672" s="4" t="s">
        <v>3747</v>
      </c>
      <c r="O672" s="17">
        <f>INDEX('список ID из СУЭ с должностями'!$A:$F,MATCH(E672,'список ID из СУЭ с должностями'!$B:$B,0),5)</f>
        <v>0</v>
      </c>
    </row>
    <row r="673" spans="1:15" ht="409.5">
      <c r="A673" s="3" t="s">
        <v>10</v>
      </c>
      <c r="B673" s="3" t="s">
        <v>11</v>
      </c>
      <c r="C673" s="4">
        <v>2026</v>
      </c>
      <c r="D673" s="5" t="s">
        <v>12</v>
      </c>
      <c r="E673" s="4">
        <v>94</v>
      </c>
      <c r="F673" s="4" t="s">
        <v>67</v>
      </c>
      <c r="G673" s="4" t="s">
        <v>1001</v>
      </c>
      <c r="H673" s="4" t="s">
        <v>15</v>
      </c>
      <c r="I673" s="4" t="s">
        <v>460</v>
      </c>
      <c r="J673" s="4" t="s">
        <v>1006</v>
      </c>
      <c r="K673" s="4" t="s">
        <v>38</v>
      </c>
      <c r="L673" s="4" t="s">
        <v>3743</v>
      </c>
      <c r="M673" s="4" t="s">
        <v>3746</v>
      </c>
      <c r="N673" s="4" t="s">
        <v>3747</v>
      </c>
      <c r="O673" s="17">
        <f>INDEX('список ID из СУЭ с должностями'!$A:$F,MATCH(E673,'список ID из СУЭ с должностями'!$B:$B,0),5)</f>
        <v>0</v>
      </c>
    </row>
    <row r="674" spans="1:15" ht="165">
      <c r="A674" s="3" t="s">
        <v>10</v>
      </c>
      <c r="B674" s="3" t="s">
        <v>11</v>
      </c>
      <c r="C674" s="4">
        <v>2026</v>
      </c>
      <c r="D674" s="5" t="s">
        <v>12</v>
      </c>
      <c r="E674" s="4">
        <v>94</v>
      </c>
      <c r="F674" s="4" t="s">
        <v>67</v>
      </c>
      <c r="G674" s="4" t="s">
        <v>1001</v>
      </c>
      <c r="H674" s="4" t="s">
        <v>15</v>
      </c>
      <c r="I674" s="4" t="s">
        <v>303</v>
      </c>
      <c r="J674" s="4" t="s">
        <v>1007</v>
      </c>
      <c r="K674" s="4" t="s">
        <v>30</v>
      </c>
      <c r="L674" s="4" t="s">
        <v>3743</v>
      </c>
      <c r="M674" s="4" t="s">
        <v>3746</v>
      </c>
      <c r="N674" s="4" t="s">
        <v>3747</v>
      </c>
      <c r="O674" s="17">
        <f>INDEX('список ID из СУЭ с должностями'!$A:$F,MATCH(E674,'список ID из СУЭ с должностями'!$B:$B,0),5)</f>
        <v>0</v>
      </c>
    </row>
    <row r="675" spans="1:15" ht="150">
      <c r="A675" s="3" t="s">
        <v>10</v>
      </c>
      <c r="B675" s="3" t="s">
        <v>11</v>
      </c>
      <c r="C675" s="4">
        <v>2026</v>
      </c>
      <c r="D675" s="5" t="s">
        <v>12</v>
      </c>
      <c r="E675" s="4">
        <v>94</v>
      </c>
      <c r="F675" s="4" t="s">
        <v>67</v>
      </c>
      <c r="G675" s="4" t="s">
        <v>1001</v>
      </c>
      <c r="H675" s="4" t="s">
        <v>15</v>
      </c>
      <c r="I675" s="4" t="s">
        <v>149</v>
      </c>
      <c r="J675" s="4" t="s">
        <v>1008</v>
      </c>
      <c r="K675" s="4" t="s">
        <v>55</v>
      </c>
      <c r="L675" s="4" t="s">
        <v>3743</v>
      </c>
      <c r="M675" s="4" t="s">
        <v>3746</v>
      </c>
      <c r="N675" s="4" t="s">
        <v>3747</v>
      </c>
      <c r="O675" s="17">
        <f>INDEX('список ID из СУЭ с должностями'!$A:$F,MATCH(E675,'список ID из СУЭ с должностями'!$B:$B,0),5)</f>
        <v>0</v>
      </c>
    </row>
    <row r="676" spans="1:15" ht="150">
      <c r="A676" s="3" t="s">
        <v>10</v>
      </c>
      <c r="B676" s="3" t="s">
        <v>11</v>
      </c>
      <c r="C676" s="4">
        <v>2026</v>
      </c>
      <c r="D676" s="5" t="s">
        <v>12</v>
      </c>
      <c r="E676" s="4">
        <v>94</v>
      </c>
      <c r="F676" s="4" t="s">
        <v>67</v>
      </c>
      <c r="G676" s="4" t="s">
        <v>1001</v>
      </c>
      <c r="H676" s="4" t="s">
        <v>15</v>
      </c>
      <c r="I676" s="4" t="s">
        <v>1009</v>
      </c>
      <c r="J676" s="4" t="s">
        <v>1010</v>
      </c>
      <c r="K676" s="4" t="s">
        <v>66</v>
      </c>
      <c r="L676" s="4" t="s">
        <v>3742</v>
      </c>
      <c r="M676" s="4" t="s">
        <v>3746</v>
      </c>
      <c r="N676" s="4" t="s">
        <v>3747</v>
      </c>
      <c r="O676" s="17">
        <f>INDEX('список ID из СУЭ с должностями'!$A:$F,MATCH(E676,'список ID из СУЭ с должностями'!$B:$B,0),5)</f>
        <v>0</v>
      </c>
    </row>
    <row r="677" spans="1:15" ht="300">
      <c r="A677" s="3" t="s">
        <v>10</v>
      </c>
      <c r="B677" s="3" t="s">
        <v>11</v>
      </c>
      <c r="C677" s="4">
        <v>2026</v>
      </c>
      <c r="D677" s="5" t="s">
        <v>12</v>
      </c>
      <c r="E677" s="4">
        <v>94</v>
      </c>
      <c r="F677" s="4" t="s">
        <v>67</v>
      </c>
      <c r="G677" s="4" t="s">
        <v>1001</v>
      </c>
      <c r="H677" s="4" t="s">
        <v>15</v>
      </c>
      <c r="I677" s="4" t="s">
        <v>147</v>
      </c>
      <c r="J677" s="4" t="s">
        <v>1011</v>
      </c>
      <c r="K677" s="4" t="s">
        <v>35</v>
      </c>
      <c r="L677" s="4" t="s">
        <v>3743</v>
      </c>
      <c r="M677" s="4" t="s">
        <v>3746</v>
      </c>
      <c r="N677" s="4" t="s">
        <v>3747</v>
      </c>
      <c r="O677" s="17">
        <f>INDEX('список ID из СУЭ с должностями'!$A:$F,MATCH(E677,'список ID из СУЭ с должностями'!$B:$B,0),5)</f>
        <v>0</v>
      </c>
    </row>
    <row r="678" spans="1:15" ht="60">
      <c r="A678" s="3" t="s">
        <v>10</v>
      </c>
      <c r="B678" s="3" t="s">
        <v>11</v>
      </c>
      <c r="C678" s="4">
        <v>2026</v>
      </c>
      <c r="D678" s="5" t="s">
        <v>12</v>
      </c>
      <c r="E678" s="4">
        <v>95</v>
      </c>
      <c r="F678" s="4" t="s">
        <v>389</v>
      </c>
      <c r="G678" s="4" t="s">
        <v>386</v>
      </c>
      <c r="H678" s="4" t="s">
        <v>21</v>
      </c>
      <c r="I678" s="4" t="s">
        <v>1012</v>
      </c>
      <c r="J678" s="4" t="s">
        <v>1013</v>
      </c>
      <c r="K678" s="4" t="s">
        <v>151</v>
      </c>
      <c r="L678" s="4" t="s">
        <v>3743</v>
      </c>
      <c r="M678" s="4" t="s">
        <v>3746</v>
      </c>
      <c r="N678" s="4" t="s">
        <v>3747</v>
      </c>
      <c r="O678" s="17">
        <f>INDEX('список ID из СУЭ с должностями'!$A:$F,MATCH(E678,'список ID из СУЭ с должностями'!$B:$B,0),5)</f>
        <v>0</v>
      </c>
    </row>
    <row r="679" spans="1:15" ht="60">
      <c r="A679" s="3" t="s">
        <v>10</v>
      </c>
      <c r="B679" s="3" t="s">
        <v>11</v>
      </c>
      <c r="C679" s="4">
        <v>2026</v>
      </c>
      <c r="D679" s="5" t="s">
        <v>12</v>
      </c>
      <c r="E679" s="4">
        <v>95</v>
      </c>
      <c r="F679" s="4" t="s">
        <v>389</v>
      </c>
      <c r="G679" s="4" t="s">
        <v>386</v>
      </c>
      <c r="H679" s="4" t="s">
        <v>15</v>
      </c>
      <c r="I679" s="4" t="s">
        <v>1014</v>
      </c>
      <c r="J679" s="4" t="s">
        <v>1015</v>
      </c>
      <c r="K679" s="4" t="s">
        <v>38</v>
      </c>
      <c r="L679" s="4" t="s">
        <v>3743</v>
      </c>
      <c r="M679" s="4" t="s">
        <v>3746</v>
      </c>
      <c r="N679" s="4" t="s">
        <v>3747</v>
      </c>
      <c r="O679" s="17">
        <f>INDEX('список ID из СУЭ с должностями'!$A:$F,MATCH(E679,'список ID из СУЭ с должностями'!$B:$B,0),5)</f>
        <v>0</v>
      </c>
    </row>
    <row r="680" spans="1:15" ht="135">
      <c r="A680" s="3" t="s">
        <v>10</v>
      </c>
      <c r="B680" s="3" t="s">
        <v>11</v>
      </c>
      <c r="C680" s="4">
        <v>2026</v>
      </c>
      <c r="D680" s="5" t="s">
        <v>12</v>
      </c>
      <c r="E680" s="4">
        <v>95</v>
      </c>
      <c r="F680" s="4" t="s">
        <v>389</v>
      </c>
      <c r="G680" s="4" t="s">
        <v>386</v>
      </c>
      <c r="H680" s="4" t="s">
        <v>15</v>
      </c>
      <c r="I680" s="4" t="s">
        <v>33</v>
      </c>
      <c r="J680" s="4" t="s">
        <v>1016</v>
      </c>
      <c r="K680" s="4" t="s">
        <v>35</v>
      </c>
      <c r="L680" s="4" t="s">
        <v>3743</v>
      </c>
      <c r="M680" s="4" t="s">
        <v>3746</v>
      </c>
      <c r="N680" s="4" t="s">
        <v>3747</v>
      </c>
      <c r="O680" s="17">
        <f>INDEX('список ID из СУЭ с должностями'!$A:$F,MATCH(E680,'список ID из СУЭ с должностями'!$B:$B,0),5)</f>
        <v>0</v>
      </c>
    </row>
    <row r="681" spans="1:15" ht="150">
      <c r="A681" s="3" t="s">
        <v>10</v>
      </c>
      <c r="B681" s="3" t="s">
        <v>11</v>
      </c>
      <c r="C681" s="4">
        <v>2026</v>
      </c>
      <c r="D681" s="5" t="s">
        <v>12</v>
      </c>
      <c r="E681" s="4">
        <v>95</v>
      </c>
      <c r="F681" s="4" t="s">
        <v>389</v>
      </c>
      <c r="G681" s="4" t="s">
        <v>386</v>
      </c>
      <c r="H681" s="4" t="s">
        <v>15</v>
      </c>
      <c r="I681" s="4" t="s">
        <v>1017</v>
      </c>
      <c r="J681" s="4" t="s">
        <v>1018</v>
      </c>
      <c r="K681" s="4" t="s">
        <v>25</v>
      </c>
      <c r="L681" s="4" t="s">
        <v>3743</v>
      </c>
      <c r="M681" s="4" t="s">
        <v>3746</v>
      </c>
      <c r="N681" s="4" t="s">
        <v>3747</v>
      </c>
      <c r="O681" s="17">
        <f>INDEX('список ID из СУЭ с должностями'!$A:$F,MATCH(E681,'список ID из СУЭ с должностями'!$B:$B,0),5)</f>
        <v>0</v>
      </c>
    </row>
    <row r="682" spans="1:15" ht="45">
      <c r="A682" s="3" t="s">
        <v>10</v>
      </c>
      <c r="B682" s="3" t="s">
        <v>11</v>
      </c>
      <c r="C682" s="4">
        <v>2026</v>
      </c>
      <c r="D682" s="5" t="s">
        <v>12</v>
      </c>
      <c r="E682" s="4">
        <v>95</v>
      </c>
      <c r="F682" s="4" t="s">
        <v>389</v>
      </c>
      <c r="G682" s="4" t="s">
        <v>386</v>
      </c>
      <c r="H682" s="4" t="s">
        <v>15</v>
      </c>
      <c r="I682" s="4" t="s">
        <v>1019</v>
      </c>
      <c r="J682" s="4" t="s">
        <v>402</v>
      </c>
      <c r="K682" s="4" t="s">
        <v>66</v>
      </c>
      <c r="L682" s="4" t="s">
        <v>3742</v>
      </c>
      <c r="M682" s="4" t="s">
        <v>3746</v>
      </c>
      <c r="N682" s="4" t="s">
        <v>3747</v>
      </c>
      <c r="O682" s="17">
        <f>INDEX('список ID из СУЭ с должностями'!$A:$F,MATCH(E682,'список ID из СУЭ с должностями'!$B:$B,0),5)</f>
        <v>0</v>
      </c>
    </row>
    <row r="683" spans="1:15" ht="120">
      <c r="A683" s="3" t="s">
        <v>10</v>
      </c>
      <c r="B683" s="3" t="s">
        <v>11</v>
      </c>
      <c r="C683" s="4">
        <v>2026</v>
      </c>
      <c r="D683" s="5" t="s">
        <v>12</v>
      </c>
      <c r="E683" s="4">
        <v>95</v>
      </c>
      <c r="F683" s="4" t="s">
        <v>389</v>
      </c>
      <c r="G683" s="4" t="s">
        <v>386</v>
      </c>
      <c r="H683" s="4" t="s">
        <v>21</v>
      </c>
      <c r="I683" s="4" t="s">
        <v>1020</v>
      </c>
      <c r="J683" s="4" t="s">
        <v>1021</v>
      </c>
      <c r="K683" s="4" t="s">
        <v>66</v>
      </c>
      <c r="L683" s="4" t="s">
        <v>3743</v>
      </c>
      <c r="M683" s="4" t="s">
        <v>3746</v>
      </c>
      <c r="N683" s="4" t="s">
        <v>3747</v>
      </c>
      <c r="O683" s="17">
        <f>INDEX('список ID из СУЭ с должностями'!$A:$F,MATCH(E683,'список ID из СУЭ с должностями'!$B:$B,0),5)</f>
        <v>0</v>
      </c>
    </row>
    <row r="684" spans="1:15" ht="60">
      <c r="A684" s="3" t="s">
        <v>10</v>
      </c>
      <c r="B684" s="3" t="s">
        <v>11</v>
      </c>
      <c r="C684" s="4">
        <v>2026</v>
      </c>
      <c r="D684" s="5" t="s">
        <v>12</v>
      </c>
      <c r="E684" s="4">
        <v>96</v>
      </c>
      <c r="F684" s="4" t="s">
        <v>416</v>
      </c>
      <c r="G684" s="4" t="s">
        <v>417</v>
      </c>
      <c r="H684" s="4" t="s">
        <v>21</v>
      </c>
      <c r="I684" s="4" t="s">
        <v>418</v>
      </c>
      <c r="J684" s="4" t="s">
        <v>1022</v>
      </c>
      <c r="K684" s="4" t="s">
        <v>151</v>
      </c>
      <c r="L684" s="4" t="s">
        <v>3743</v>
      </c>
      <c r="M684" s="4" t="s">
        <v>3746</v>
      </c>
      <c r="N684" s="4" t="s">
        <v>3747</v>
      </c>
      <c r="O684" s="17">
        <f>INDEX('список ID из СУЭ с должностями'!$A:$F,MATCH(E684,'список ID из СУЭ с должностями'!$B:$B,0),5)</f>
        <v>0</v>
      </c>
    </row>
    <row r="685" spans="1:15" ht="75">
      <c r="A685" s="3" t="s">
        <v>10</v>
      </c>
      <c r="B685" s="3" t="s">
        <v>11</v>
      </c>
      <c r="C685" s="4">
        <v>2026</v>
      </c>
      <c r="D685" s="5" t="s">
        <v>12</v>
      </c>
      <c r="E685" s="4">
        <v>96</v>
      </c>
      <c r="F685" s="4" t="s">
        <v>416</v>
      </c>
      <c r="G685" s="4" t="s">
        <v>417</v>
      </c>
      <c r="H685" s="4" t="s">
        <v>15</v>
      </c>
      <c r="I685" s="4" t="s">
        <v>1023</v>
      </c>
      <c r="J685" s="4" t="s">
        <v>1024</v>
      </c>
      <c r="K685" s="4" t="s">
        <v>30</v>
      </c>
      <c r="L685" s="4" t="s">
        <v>3743</v>
      </c>
      <c r="M685" s="4" t="s">
        <v>3746</v>
      </c>
      <c r="N685" s="4" t="s">
        <v>3747</v>
      </c>
      <c r="O685" s="17">
        <f>INDEX('список ID из СУЭ с должностями'!$A:$F,MATCH(E685,'список ID из СУЭ с должностями'!$B:$B,0),5)</f>
        <v>0</v>
      </c>
    </row>
    <row r="686" spans="1:15" ht="180">
      <c r="A686" s="3" t="s">
        <v>10</v>
      </c>
      <c r="B686" s="3" t="s">
        <v>11</v>
      </c>
      <c r="C686" s="4">
        <v>2026</v>
      </c>
      <c r="D686" s="5" t="s">
        <v>12</v>
      </c>
      <c r="E686" s="4">
        <v>96</v>
      </c>
      <c r="F686" s="4" t="s">
        <v>416</v>
      </c>
      <c r="G686" s="4" t="s">
        <v>417</v>
      </c>
      <c r="H686" s="4" t="s">
        <v>21</v>
      </c>
      <c r="I686" s="4" t="s">
        <v>421</v>
      </c>
      <c r="J686" s="4" t="s">
        <v>1025</v>
      </c>
      <c r="K686" s="4" t="s">
        <v>220</v>
      </c>
      <c r="L686" s="4" t="s">
        <v>3743</v>
      </c>
      <c r="M686" s="4" t="s">
        <v>3753</v>
      </c>
      <c r="N686" s="4" t="s">
        <v>3747</v>
      </c>
      <c r="O686" s="17">
        <f>INDEX('список ID из СУЭ с должностями'!$A:$F,MATCH(E686,'список ID из СУЭ с должностями'!$B:$B,0),5)</f>
        <v>0</v>
      </c>
    </row>
    <row r="687" spans="1:15" ht="60">
      <c r="A687" s="3" t="s">
        <v>10</v>
      </c>
      <c r="B687" s="3" t="s">
        <v>11</v>
      </c>
      <c r="C687" s="4">
        <v>2026</v>
      </c>
      <c r="D687" s="5" t="s">
        <v>12</v>
      </c>
      <c r="E687" s="4">
        <v>96</v>
      </c>
      <c r="F687" s="4" t="s">
        <v>416</v>
      </c>
      <c r="G687" s="4" t="s">
        <v>417</v>
      </c>
      <c r="H687" s="4" t="s">
        <v>15</v>
      </c>
      <c r="I687" s="4" t="s">
        <v>1026</v>
      </c>
      <c r="J687" s="4" t="s">
        <v>1027</v>
      </c>
      <c r="K687" s="4" t="s">
        <v>38</v>
      </c>
      <c r="L687" s="4" t="s">
        <v>3743</v>
      </c>
      <c r="M687" s="4" t="s">
        <v>3746</v>
      </c>
      <c r="N687" s="4" t="s">
        <v>3747</v>
      </c>
      <c r="O687" s="17">
        <f>INDEX('список ID из СУЭ с должностями'!$A:$F,MATCH(E687,'список ID из СУЭ с должностями'!$B:$B,0),5)</f>
        <v>0</v>
      </c>
    </row>
    <row r="688" spans="1:15" ht="60">
      <c r="A688" s="3" t="s">
        <v>10</v>
      </c>
      <c r="B688" s="3" t="s">
        <v>11</v>
      </c>
      <c r="C688" s="4">
        <v>2026</v>
      </c>
      <c r="D688" s="5" t="s">
        <v>12</v>
      </c>
      <c r="E688" s="4">
        <v>96</v>
      </c>
      <c r="F688" s="4" t="s">
        <v>416</v>
      </c>
      <c r="G688" s="4" t="s">
        <v>417</v>
      </c>
      <c r="H688" s="4" t="s">
        <v>15</v>
      </c>
      <c r="I688" s="4" t="s">
        <v>423</v>
      </c>
      <c r="J688" s="4" t="s">
        <v>1028</v>
      </c>
      <c r="K688" s="4" t="s">
        <v>35</v>
      </c>
      <c r="L688" s="4" t="s">
        <v>3743</v>
      </c>
      <c r="M688" s="4" t="s">
        <v>3746</v>
      </c>
      <c r="N688" s="4" t="s">
        <v>3747</v>
      </c>
      <c r="O688" s="17">
        <f>INDEX('список ID из СУЭ с должностями'!$A:$F,MATCH(E688,'список ID из СУЭ с должностями'!$B:$B,0),5)</f>
        <v>0</v>
      </c>
    </row>
    <row r="689" spans="1:15" ht="150">
      <c r="A689" s="3" t="s">
        <v>10</v>
      </c>
      <c r="B689" s="3" t="s">
        <v>11</v>
      </c>
      <c r="C689" s="4">
        <v>2026</v>
      </c>
      <c r="D689" s="5" t="s">
        <v>12</v>
      </c>
      <c r="E689" s="4">
        <v>96</v>
      </c>
      <c r="F689" s="4" t="s">
        <v>416</v>
      </c>
      <c r="G689" s="4" t="s">
        <v>417</v>
      </c>
      <c r="H689" s="4" t="s">
        <v>15</v>
      </c>
      <c r="I689" s="4" t="s">
        <v>1029</v>
      </c>
      <c r="J689" s="4" t="s">
        <v>1030</v>
      </c>
      <c r="K689" s="4" t="s">
        <v>38</v>
      </c>
      <c r="L689" s="4" t="s">
        <v>3743</v>
      </c>
      <c r="M689" s="4" t="s">
        <v>3746</v>
      </c>
      <c r="N689" s="4" t="s">
        <v>3747</v>
      </c>
      <c r="O689" s="17">
        <f>INDEX('список ID из СУЭ с должностями'!$A:$F,MATCH(E689,'список ID из СУЭ с должностями'!$B:$B,0),5)</f>
        <v>0</v>
      </c>
    </row>
    <row r="690" spans="1:15" ht="75">
      <c r="A690" s="3" t="s">
        <v>10</v>
      </c>
      <c r="B690" s="3" t="s">
        <v>11</v>
      </c>
      <c r="C690" s="4">
        <v>2026</v>
      </c>
      <c r="D690" s="5" t="s">
        <v>12</v>
      </c>
      <c r="E690" s="4">
        <v>96</v>
      </c>
      <c r="F690" s="4" t="s">
        <v>416</v>
      </c>
      <c r="G690" s="4" t="s">
        <v>417</v>
      </c>
      <c r="H690" s="4" t="s">
        <v>15</v>
      </c>
      <c r="I690" s="4" t="s">
        <v>1031</v>
      </c>
      <c r="J690" s="4" t="s">
        <v>1032</v>
      </c>
      <c r="K690" s="4" t="s">
        <v>188</v>
      </c>
      <c r="L690" s="4" t="s">
        <v>3743</v>
      </c>
      <c r="M690" s="4" t="s">
        <v>3746</v>
      </c>
      <c r="N690" s="4" t="s">
        <v>3747</v>
      </c>
      <c r="O690" s="17">
        <f>INDEX('список ID из СУЭ с должностями'!$A:$F,MATCH(E690,'список ID из СУЭ с должностями'!$B:$B,0),5)</f>
        <v>0</v>
      </c>
    </row>
    <row r="691" spans="1:15" ht="60">
      <c r="A691" s="3" t="s">
        <v>10</v>
      </c>
      <c r="B691" s="3" t="s">
        <v>11</v>
      </c>
      <c r="C691" s="4">
        <v>2026</v>
      </c>
      <c r="D691" s="5" t="s">
        <v>12</v>
      </c>
      <c r="E691" s="4">
        <v>96</v>
      </c>
      <c r="F691" s="4" t="s">
        <v>416</v>
      </c>
      <c r="G691" s="4" t="s">
        <v>417</v>
      </c>
      <c r="H691" s="4" t="s">
        <v>15</v>
      </c>
      <c r="I691" s="4" t="s">
        <v>1033</v>
      </c>
      <c r="J691" s="4" t="s">
        <v>1034</v>
      </c>
      <c r="K691" s="4" t="s">
        <v>30</v>
      </c>
      <c r="L691" s="4" t="s">
        <v>3743</v>
      </c>
      <c r="M691" s="4" t="s">
        <v>3746</v>
      </c>
      <c r="N691" s="4" t="s">
        <v>3747</v>
      </c>
      <c r="O691" s="17">
        <f>INDEX('список ID из СУЭ с должностями'!$A:$F,MATCH(E691,'список ID из СУЭ с должностями'!$B:$B,0),5)</f>
        <v>0</v>
      </c>
    </row>
    <row r="692" spans="1:15" ht="150">
      <c r="A692" s="3" t="s">
        <v>10</v>
      </c>
      <c r="B692" s="3" t="s">
        <v>11</v>
      </c>
      <c r="C692" s="4">
        <v>2026</v>
      </c>
      <c r="D692" s="5" t="s">
        <v>12</v>
      </c>
      <c r="E692" s="4">
        <v>96</v>
      </c>
      <c r="F692" s="4" t="s">
        <v>416</v>
      </c>
      <c r="G692" s="4" t="s">
        <v>417</v>
      </c>
      <c r="H692" s="4" t="s">
        <v>15</v>
      </c>
      <c r="I692" s="4" t="s">
        <v>1035</v>
      </c>
      <c r="J692" s="4" t="s">
        <v>1036</v>
      </c>
      <c r="K692" s="4" t="s">
        <v>25</v>
      </c>
      <c r="L692" s="4" t="s">
        <v>3743</v>
      </c>
      <c r="M692" s="4" t="s">
        <v>3746</v>
      </c>
      <c r="N692" s="4" t="s">
        <v>3747</v>
      </c>
      <c r="O692" s="17">
        <f>INDEX('список ID из СУЭ с должностями'!$A:$F,MATCH(E692,'список ID из СУЭ с должностями'!$B:$B,0),5)</f>
        <v>0</v>
      </c>
    </row>
    <row r="693" spans="1:15" ht="90">
      <c r="A693" s="3" t="s">
        <v>10</v>
      </c>
      <c r="B693" s="3" t="s">
        <v>11</v>
      </c>
      <c r="C693" s="4">
        <v>2026</v>
      </c>
      <c r="D693" s="5" t="s">
        <v>12</v>
      </c>
      <c r="E693" s="4">
        <v>97</v>
      </c>
      <c r="F693" s="4" t="s">
        <v>280</v>
      </c>
      <c r="G693" s="4" t="s">
        <v>951</v>
      </c>
      <c r="H693" s="4" t="s">
        <v>15</v>
      </c>
      <c r="I693" s="4" t="s">
        <v>1037</v>
      </c>
      <c r="J693" s="4" t="s">
        <v>1038</v>
      </c>
      <c r="K693" s="4" t="s">
        <v>1039</v>
      </c>
      <c r="L693" s="4" t="s">
        <v>3742</v>
      </c>
      <c r="M693" s="4" t="s">
        <v>3750</v>
      </c>
      <c r="N693" s="4" t="s">
        <v>3761</v>
      </c>
      <c r="O693" s="17">
        <f>INDEX('список ID из СУЭ с должностями'!$A:$F,MATCH(E693,'список ID из СУЭ с должностями'!$B:$B,0),5)</f>
        <v>0</v>
      </c>
    </row>
    <row r="694" spans="1:15" ht="60">
      <c r="A694" s="3" t="s">
        <v>10</v>
      </c>
      <c r="B694" s="3" t="s">
        <v>11</v>
      </c>
      <c r="C694" s="4">
        <v>2026</v>
      </c>
      <c r="D694" s="5" t="s">
        <v>12</v>
      </c>
      <c r="E694" s="4">
        <v>97</v>
      </c>
      <c r="F694" s="4" t="s">
        <v>280</v>
      </c>
      <c r="G694" s="4" t="s">
        <v>951</v>
      </c>
      <c r="H694" s="4" t="s">
        <v>21</v>
      </c>
      <c r="I694" s="4" t="s">
        <v>958</v>
      </c>
      <c r="J694" s="4" t="s">
        <v>972</v>
      </c>
      <c r="K694" s="4" t="s">
        <v>25</v>
      </c>
      <c r="L694" s="4" t="s">
        <v>3743</v>
      </c>
      <c r="M694" s="4" t="s">
        <v>3746</v>
      </c>
      <c r="N694" s="4" t="s">
        <v>3747</v>
      </c>
      <c r="O694" s="17">
        <f>INDEX('список ID из СУЭ с должностями'!$A:$F,MATCH(E694,'список ID из СУЭ с должностями'!$B:$B,0),5)</f>
        <v>0</v>
      </c>
    </row>
    <row r="695" spans="1:15" ht="180">
      <c r="A695" s="3" t="s">
        <v>10</v>
      </c>
      <c r="B695" s="3" t="s">
        <v>11</v>
      </c>
      <c r="C695" s="4">
        <v>2026</v>
      </c>
      <c r="D695" s="5" t="s">
        <v>12</v>
      </c>
      <c r="E695" s="4">
        <v>97</v>
      </c>
      <c r="F695" s="4" t="s">
        <v>280</v>
      </c>
      <c r="G695" s="4" t="s">
        <v>951</v>
      </c>
      <c r="H695" s="4" t="s">
        <v>15</v>
      </c>
      <c r="I695" s="4" t="s">
        <v>960</v>
      </c>
      <c r="J695" s="4" t="s">
        <v>961</v>
      </c>
      <c r="K695" s="4" t="s">
        <v>188</v>
      </c>
      <c r="L695" s="4" t="s">
        <v>3743</v>
      </c>
      <c r="M695" s="4" t="s">
        <v>3746</v>
      </c>
      <c r="N695" s="4" t="s">
        <v>3747</v>
      </c>
      <c r="O695" s="17">
        <f>INDEX('список ID из СУЭ с должностями'!$A:$F,MATCH(E695,'список ID из СУЭ с должностями'!$B:$B,0),5)</f>
        <v>0</v>
      </c>
    </row>
    <row r="696" spans="1:15" ht="60">
      <c r="A696" s="3" t="s">
        <v>10</v>
      </c>
      <c r="B696" s="3" t="s">
        <v>11</v>
      </c>
      <c r="C696" s="4">
        <v>2026</v>
      </c>
      <c r="D696" s="5" t="s">
        <v>12</v>
      </c>
      <c r="E696" s="4">
        <v>97</v>
      </c>
      <c r="F696" s="4" t="s">
        <v>280</v>
      </c>
      <c r="G696" s="4" t="s">
        <v>951</v>
      </c>
      <c r="H696" s="4" t="s">
        <v>15</v>
      </c>
      <c r="I696" s="4" t="s">
        <v>1040</v>
      </c>
      <c r="J696" s="4" t="s">
        <v>1041</v>
      </c>
      <c r="K696" s="4" t="s">
        <v>188</v>
      </c>
      <c r="L696" s="4" t="s">
        <v>3742</v>
      </c>
      <c r="M696" s="4" t="s">
        <v>3746</v>
      </c>
      <c r="N696" s="4" t="s">
        <v>3747</v>
      </c>
      <c r="O696" s="17">
        <f>INDEX('список ID из СУЭ с должностями'!$A:$F,MATCH(E696,'список ID из СУЭ с должностями'!$B:$B,0),5)</f>
        <v>0</v>
      </c>
    </row>
    <row r="697" spans="1:15" ht="90">
      <c r="A697" s="3" t="s">
        <v>10</v>
      </c>
      <c r="B697" s="3" t="s">
        <v>11</v>
      </c>
      <c r="C697" s="4">
        <v>2026</v>
      </c>
      <c r="D697" s="5" t="s">
        <v>12</v>
      </c>
      <c r="E697" s="4">
        <v>97</v>
      </c>
      <c r="F697" s="4" t="s">
        <v>280</v>
      </c>
      <c r="G697" s="4" t="s">
        <v>951</v>
      </c>
      <c r="H697" s="4" t="s">
        <v>15</v>
      </c>
      <c r="I697" s="4" t="s">
        <v>1042</v>
      </c>
      <c r="J697" s="4" t="s">
        <v>79</v>
      </c>
      <c r="K697" s="4" t="s">
        <v>1039</v>
      </c>
      <c r="L697" s="4" t="s">
        <v>3742</v>
      </c>
      <c r="M697" s="4" t="s">
        <v>3750</v>
      </c>
      <c r="N697" s="4" t="s">
        <v>3761</v>
      </c>
      <c r="O697" s="17">
        <f>INDEX('список ID из СУЭ с должностями'!$A:$F,MATCH(E697,'список ID из СУЭ с должностями'!$B:$B,0),5)</f>
        <v>0</v>
      </c>
    </row>
    <row r="698" spans="1:15" ht="90">
      <c r="A698" s="3" t="s">
        <v>10</v>
      </c>
      <c r="B698" s="3" t="s">
        <v>11</v>
      </c>
      <c r="C698" s="4">
        <v>2026</v>
      </c>
      <c r="D698" s="5" t="s">
        <v>12</v>
      </c>
      <c r="E698" s="4">
        <v>97</v>
      </c>
      <c r="F698" s="4" t="s">
        <v>280</v>
      </c>
      <c r="G698" s="4" t="s">
        <v>951</v>
      </c>
      <c r="H698" s="4" t="s">
        <v>15</v>
      </c>
      <c r="I698" s="4" t="s">
        <v>1043</v>
      </c>
      <c r="J698" s="4" t="s">
        <v>1044</v>
      </c>
      <c r="K698" s="4" t="s">
        <v>1045</v>
      </c>
      <c r="L698" s="4" t="s">
        <v>3742</v>
      </c>
      <c r="M698" s="4" t="s">
        <v>3750</v>
      </c>
      <c r="N698" s="4" t="s">
        <v>3761</v>
      </c>
      <c r="O698" s="17">
        <f>INDEX('список ID из СУЭ с должностями'!$A:$F,MATCH(E698,'список ID из СУЭ с должностями'!$B:$B,0),5)</f>
        <v>0</v>
      </c>
    </row>
    <row r="699" spans="1:15" ht="90">
      <c r="A699" s="3" t="s">
        <v>10</v>
      </c>
      <c r="B699" s="3" t="s">
        <v>11</v>
      </c>
      <c r="C699" s="4">
        <v>2026</v>
      </c>
      <c r="D699" s="5" t="s">
        <v>12</v>
      </c>
      <c r="E699" s="4">
        <v>98</v>
      </c>
      <c r="F699" s="4" t="s">
        <v>193</v>
      </c>
      <c r="G699" s="4" t="s">
        <v>300</v>
      </c>
      <c r="H699" s="4" t="s">
        <v>15</v>
      </c>
      <c r="I699" s="4" t="s">
        <v>301</v>
      </c>
      <c r="J699" s="4" t="s">
        <v>302</v>
      </c>
      <c r="K699" s="4" t="s">
        <v>66</v>
      </c>
      <c r="L699" s="4" t="s">
        <v>3742</v>
      </c>
      <c r="M699" s="4" t="s">
        <v>3746</v>
      </c>
      <c r="N699" s="4" t="s">
        <v>3747</v>
      </c>
      <c r="O699" s="17">
        <f>INDEX('список ID из СУЭ с должностями'!$A:$F,MATCH(E699,'список ID из СУЭ с должностями'!$B:$B,0),5)</f>
        <v>0</v>
      </c>
    </row>
    <row r="700" spans="1:15" ht="180">
      <c r="A700" s="3" t="s">
        <v>10</v>
      </c>
      <c r="B700" s="3" t="s">
        <v>11</v>
      </c>
      <c r="C700" s="4">
        <v>2026</v>
      </c>
      <c r="D700" s="5" t="s">
        <v>12</v>
      </c>
      <c r="E700" s="4">
        <v>98</v>
      </c>
      <c r="F700" s="4" t="s">
        <v>193</v>
      </c>
      <c r="G700" s="4" t="s">
        <v>300</v>
      </c>
      <c r="H700" s="4" t="s">
        <v>15</v>
      </c>
      <c r="I700" s="4" t="s">
        <v>303</v>
      </c>
      <c r="J700" s="4" t="s">
        <v>304</v>
      </c>
      <c r="K700" s="4" t="s">
        <v>52</v>
      </c>
      <c r="L700" s="4" t="s">
        <v>3743</v>
      </c>
      <c r="M700" s="4" t="s">
        <v>3746</v>
      </c>
      <c r="N700" s="4" t="s">
        <v>3747</v>
      </c>
      <c r="O700" s="17">
        <f>INDEX('список ID из СУЭ с должностями'!$A:$F,MATCH(E700,'список ID из СУЭ с должностями'!$B:$B,0),5)</f>
        <v>0</v>
      </c>
    </row>
    <row r="701" spans="1:15" ht="120">
      <c r="A701" s="3" t="s">
        <v>10</v>
      </c>
      <c r="B701" s="3" t="s">
        <v>11</v>
      </c>
      <c r="C701" s="4">
        <v>2026</v>
      </c>
      <c r="D701" s="5" t="s">
        <v>12</v>
      </c>
      <c r="E701" s="4">
        <v>98</v>
      </c>
      <c r="F701" s="4" t="s">
        <v>193</v>
      </c>
      <c r="G701" s="4" t="s">
        <v>300</v>
      </c>
      <c r="H701" s="4" t="s">
        <v>15</v>
      </c>
      <c r="I701" s="4" t="s">
        <v>305</v>
      </c>
      <c r="J701" s="4" t="s">
        <v>306</v>
      </c>
      <c r="K701" s="4" t="s">
        <v>35</v>
      </c>
      <c r="L701" s="4" t="s">
        <v>3743</v>
      </c>
      <c r="M701" s="4" t="s">
        <v>3746</v>
      </c>
      <c r="N701" s="4" t="s">
        <v>3747</v>
      </c>
      <c r="O701" s="17">
        <f>INDEX('список ID из СУЭ с должностями'!$A:$F,MATCH(E701,'список ID из СУЭ с должностями'!$B:$B,0),5)</f>
        <v>0</v>
      </c>
    </row>
    <row r="702" spans="1:15" ht="75">
      <c r="A702" s="3" t="s">
        <v>10</v>
      </c>
      <c r="B702" s="3" t="s">
        <v>11</v>
      </c>
      <c r="C702" s="4">
        <v>2026</v>
      </c>
      <c r="D702" s="5" t="s">
        <v>12</v>
      </c>
      <c r="E702" s="4">
        <v>99</v>
      </c>
      <c r="F702" s="4" t="s">
        <v>193</v>
      </c>
      <c r="G702" s="4" t="s">
        <v>1046</v>
      </c>
      <c r="H702" s="4" t="s">
        <v>15</v>
      </c>
      <c r="I702" s="4" t="s">
        <v>603</v>
      </c>
      <c r="J702" s="4" t="s">
        <v>604</v>
      </c>
      <c r="K702" s="4" t="s">
        <v>52</v>
      </c>
      <c r="L702" s="4" t="s">
        <v>3742</v>
      </c>
      <c r="M702" s="4" t="s">
        <v>3746</v>
      </c>
      <c r="N702" s="4" t="s">
        <v>3747</v>
      </c>
      <c r="O702" s="17" t="str">
        <f>INDEX('список ID из СУЭ с должностями'!$A:$F,MATCH(E702,'список ID из СУЭ с должностями'!$B:$B,0),5)</f>
        <v>Инж смены</v>
      </c>
    </row>
    <row r="703" spans="1:15" ht="75">
      <c r="A703" s="3" t="s">
        <v>10</v>
      </c>
      <c r="B703" s="3" t="s">
        <v>11</v>
      </c>
      <c r="C703" s="4">
        <v>2026</v>
      </c>
      <c r="D703" s="5" t="s">
        <v>12</v>
      </c>
      <c r="E703" s="4">
        <v>99</v>
      </c>
      <c r="F703" s="4" t="s">
        <v>193</v>
      </c>
      <c r="G703" s="4" t="s">
        <v>1046</v>
      </c>
      <c r="H703" s="4" t="s">
        <v>15</v>
      </c>
      <c r="I703" s="4" t="s">
        <v>605</v>
      </c>
      <c r="J703" s="4" t="s">
        <v>965</v>
      </c>
      <c r="K703" s="4" t="s">
        <v>52</v>
      </c>
      <c r="L703" s="4" t="s">
        <v>3742</v>
      </c>
      <c r="M703" s="4" t="s">
        <v>3746</v>
      </c>
      <c r="N703" s="4" t="s">
        <v>3747</v>
      </c>
      <c r="O703" s="17" t="str">
        <f>INDEX('список ID из СУЭ с должностями'!$A:$F,MATCH(E703,'список ID из СУЭ с должностями'!$B:$B,0),5)</f>
        <v>Инж смены</v>
      </c>
    </row>
    <row r="704" spans="1:15" ht="75">
      <c r="A704" s="3" t="s">
        <v>10</v>
      </c>
      <c r="B704" s="3" t="s">
        <v>11</v>
      </c>
      <c r="C704" s="4">
        <v>2026</v>
      </c>
      <c r="D704" s="5" t="s">
        <v>12</v>
      </c>
      <c r="E704" s="4">
        <v>99</v>
      </c>
      <c r="F704" s="4" t="s">
        <v>193</v>
      </c>
      <c r="G704" s="4" t="s">
        <v>1046</v>
      </c>
      <c r="H704" s="4" t="s">
        <v>15</v>
      </c>
      <c r="I704" s="4" t="s">
        <v>1047</v>
      </c>
      <c r="J704" s="4" t="s">
        <v>1048</v>
      </c>
      <c r="K704" s="4" t="s">
        <v>52</v>
      </c>
      <c r="L704" s="4" t="s">
        <v>3742</v>
      </c>
      <c r="M704" s="4" t="s">
        <v>3746</v>
      </c>
      <c r="N704" s="4" t="s">
        <v>3747</v>
      </c>
      <c r="O704" s="17" t="str">
        <f>INDEX('список ID из СУЭ с должностями'!$A:$F,MATCH(E704,'список ID из СУЭ с должностями'!$B:$B,0),5)</f>
        <v>Инж смены</v>
      </c>
    </row>
    <row r="705" spans="1:15" ht="75">
      <c r="A705" s="3" t="s">
        <v>10</v>
      </c>
      <c r="B705" s="3" t="s">
        <v>11</v>
      </c>
      <c r="C705" s="4">
        <v>2026</v>
      </c>
      <c r="D705" s="5" t="s">
        <v>12</v>
      </c>
      <c r="E705" s="4">
        <v>99</v>
      </c>
      <c r="F705" s="4" t="s">
        <v>193</v>
      </c>
      <c r="G705" s="4" t="s">
        <v>1046</v>
      </c>
      <c r="H705" s="4" t="s">
        <v>15</v>
      </c>
      <c r="I705" s="4" t="s">
        <v>607</v>
      </c>
      <c r="J705" s="4" t="s">
        <v>1049</v>
      </c>
      <c r="K705" s="4" t="s">
        <v>52</v>
      </c>
      <c r="L705" s="4" t="s">
        <v>3742</v>
      </c>
      <c r="M705" s="4" t="s">
        <v>3746</v>
      </c>
      <c r="N705" s="4" t="s">
        <v>3747</v>
      </c>
      <c r="O705" s="17" t="str">
        <f>INDEX('список ID из СУЭ с должностями'!$A:$F,MATCH(E705,'список ID из СУЭ с должностями'!$B:$B,0),5)</f>
        <v>Инж смены</v>
      </c>
    </row>
    <row r="706" spans="1:15" ht="75">
      <c r="A706" s="3" t="s">
        <v>10</v>
      </c>
      <c r="B706" s="3" t="s">
        <v>11</v>
      </c>
      <c r="C706" s="4">
        <v>2026</v>
      </c>
      <c r="D706" s="5" t="s">
        <v>12</v>
      </c>
      <c r="E706" s="4">
        <v>99</v>
      </c>
      <c r="F706" s="4" t="s">
        <v>193</v>
      </c>
      <c r="G706" s="4" t="s">
        <v>1046</v>
      </c>
      <c r="H706" s="4" t="s">
        <v>15</v>
      </c>
      <c r="I706" s="4" t="s">
        <v>601</v>
      </c>
      <c r="J706" s="4" t="s">
        <v>602</v>
      </c>
      <c r="K706" s="4" t="s">
        <v>52</v>
      </c>
      <c r="L706" s="4" t="s">
        <v>3742</v>
      </c>
      <c r="M706" s="4" t="s">
        <v>3746</v>
      </c>
      <c r="N706" s="4" t="s">
        <v>3747</v>
      </c>
      <c r="O706" s="17" t="str">
        <f>INDEX('список ID из СУЭ с должностями'!$A:$F,MATCH(E706,'список ID из СУЭ с должностями'!$B:$B,0),5)</f>
        <v>Инж смены</v>
      </c>
    </row>
    <row r="707" spans="1:15" ht="75">
      <c r="A707" s="3" t="s">
        <v>10</v>
      </c>
      <c r="B707" s="3" t="s">
        <v>11</v>
      </c>
      <c r="C707" s="4">
        <v>2026</v>
      </c>
      <c r="D707" s="5" t="s">
        <v>12</v>
      </c>
      <c r="E707" s="4">
        <v>99</v>
      </c>
      <c r="F707" s="4" t="s">
        <v>193</v>
      </c>
      <c r="G707" s="4" t="s">
        <v>1046</v>
      </c>
      <c r="H707" s="4" t="s">
        <v>15</v>
      </c>
      <c r="I707" s="4" t="s">
        <v>1050</v>
      </c>
      <c r="J707" s="4" t="s">
        <v>610</v>
      </c>
      <c r="K707" s="4" t="s">
        <v>52</v>
      </c>
      <c r="L707" s="4" t="s">
        <v>3742</v>
      </c>
      <c r="M707" s="4" t="s">
        <v>3746</v>
      </c>
      <c r="N707" s="4" t="s">
        <v>3747</v>
      </c>
      <c r="O707" s="17" t="str">
        <f>INDEX('список ID из СУЭ с должностями'!$A:$F,MATCH(E707,'список ID из СУЭ с должностями'!$B:$B,0),5)</f>
        <v>Инж смены</v>
      </c>
    </row>
    <row r="708" spans="1:15" ht="75">
      <c r="A708" s="3" t="s">
        <v>10</v>
      </c>
      <c r="B708" s="3" t="s">
        <v>11</v>
      </c>
      <c r="C708" s="4">
        <v>2026</v>
      </c>
      <c r="D708" s="5" t="s">
        <v>12</v>
      </c>
      <c r="E708" s="4">
        <v>99</v>
      </c>
      <c r="F708" s="4" t="s">
        <v>193</v>
      </c>
      <c r="G708" s="4" t="s">
        <v>1046</v>
      </c>
      <c r="H708" s="4" t="s">
        <v>15</v>
      </c>
      <c r="I708" s="4" t="s">
        <v>599</v>
      </c>
      <c r="J708" s="4" t="s">
        <v>1051</v>
      </c>
      <c r="K708" s="4" t="s">
        <v>52</v>
      </c>
      <c r="L708" s="4" t="s">
        <v>3742</v>
      </c>
      <c r="M708" s="4" t="s">
        <v>3746</v>
      </c>
      <c r="N708" s="4" t="s">
        <v>3747</v>
      </c>
      <c r="O708" s="17" t="str">
        <f>INDEX('список ID из СУЭ с должностями'!$A:$F,MATCH(E708,'список ID из СУЭ с должностями'!$B:$B,0),5)</f>
        <v>Инж смены</v>
      </c>
    </row>
    <row r="709" spans="1:15" ht="120">
      <c r="A709" s="3" t="s">
        <v>10</v>
      </c>
      <c r="B709" s="3" t="s">
        <v>11</v>
      </c>
      <c r="C709" s="4">
        <v>2026</v>
      </c>
      <c r="D709" s="5" t="s">
        <v>12</v>
      </c>
      <c r="E709" s="4">
        <v>100</v>
      </c>
      <c r="F709" s="4" t="s">
        <v>316</v>
      </c>
      <c r="G709" s="4" t="s">
        <v>820</v>
      </c>
      <c r="H709" s="4" t="s">
        <v>15</v>
      </c>
      <c r="I709" s="4" t="s">
        <v>318</v>
      </c>
      <c r="J709" s="4" t="s">
        <v>1052</v>
      </c>
      <c r="K709" s="4" t="s">
        <v>66</v>
      </c>
      <c r="L709" s="4" t="s">
        <v>3743</v>
      </c>
      <c r="M709" s="4" t="s">
        <v>3746</v>
      </c>
      <c r="N709" s="4" t="s">
        <v>3747</v>
      </c>
      <c r="O709" s="17">
        <f>INDEX('список ID из СУЭ с должностями'!$A:$F,MATCH(E709,'список ID из СУЭ с должностями'!$B:$B,0),5)</f>
        <v>0</v>
      </c>
    </row>
    <row r="710" spans="1:15" ht="120">
      <c r="A710" s="3" t="s">
        <v>10</v>
      </c>
      <c r="B710" s="3" t="s">
        <v>11</v>
      </c>
      <c r="C710" s="4">
        <v>2026</v>
      </c>
      <c r="D710" s="5" t="s">
        <v>12</v>
      </c>
      <c r="E710" s="4">
        <v>100</v>
      </c>
      <c r="F710" s="4" t="s">
        <v>316</v>
      </c>
      <c r="G710" s="4" t="s">
        <v>820</v>
      </c>
      <c r="H710" s="4" t="s">
        <v>15</v>
      </c>
      <c r="I710" s="4" t="s">
        <v>356</v>
      </c>
      <c r="J710" s="4" t="s">
        <v>821</v>
      </c>
      <c r="K710" s="4" t="s">
        <v>25</v>
      </c>
      <c r="L710" s="4" t="s">
        <v>3743</v>
      </c>
      <c r="M710" s="4" t="s">
        <v>3746</v>
      </c>
      <c r="N710" s="4" t="s">
        <v>3747</v>
      </c>
      <c r="O710" s="17">
        <f>INDEX('список ID из СУЭ с должностями'!$A:$F,MATCH(E710,'список ID из СУЭ с должностями'!$B:$B,0),5)</f>
        <v>0</v>
      </c>
    </row>
    <row r="711" spans="1:15" ht="409.5">
      <c r="A711" s="3" t="s">
        <v>10</v>
      </c>
      <c r="B711" s="3" t="s">
        <v>11</v>
      </c>
      <c r="C711" s="4">
        <v>2026</v>
      </c>
      <c r="D711" s="5" t="s">
        <v>12</v>
      </c>
      <c r="E711" s="4">
        <v>100</v>
      </c>
      <c r="F711" s="4" t="s">
        <v>316</v>
      </c>
      <c r="G711" s="4" t="s">
        <v>820</v>
      </c>
      <c r="H711" s="4" t="s">
        <v>15</v>
      </c>
      <c r="I711" s="4" t="s">
        <v>354</v>
      </c>
      <c r="J711" s="4" t="s">
        <v>1053</v>
      </c>
      <c r="K711" s="4" t="s">
        <v>25</v>
      </c>
      <c r="L711" s="4" t="s">
        <v>3743</v>
      </c>
      <c r="M711" s="4" t="s">
        <v>3746</v>
      </c>
      <c r="N711" s="4" t="s">
        <v>3747</v>
      </c>
      <c r="O711" s="17">
        <f>INDEX('список ID из СУЭ с должностями'!$A:$F,MATCH(E711,'список ID из СУЭ с должностями'!$B:$B,0),5)</f>
        <v>0</v>
      </c>
    </row>
    <row r="712" spans="1:15" ht="105">
      <c r="A712" s="3" t="s">
        <v>10</v>
      </c>
      <c r="B712" s="3" t="s">
        <v>11</v>
      </c>
      <c r="C712" s="4">
        <v>2026</v>
      </c>
      <c r="D712" s="5" t="s">
        <v>12</v>
      </c>
      <c r="E712" s="4">
        <v>100</v>
      </c>
      <c r="F712" s="4" t="s">
        <v>316</v>
      </c>
      <c r="G712" s="4" t="s">
        <v>820</v>
      </c>
      <c r="H712" s="4" t="s">
        <v>15</v>
      </c>
      <c r="I712" s="4" t="s">
        <v>352</v>
      </c>
      <c r="J712" s="4" t="s">
        <v>79</v>
      </c>
      <c r="K712" s="4" t="s">
        <v>25</v>
      </c>
      <c r="L712" s="4" t="s">
        <v>3742</v>
      </c>
      <c r="M712" s="4" t="s">
        <v>3746</v>
      </c>
      <c r="N712" s="4" t="s">
        <v>3747</v>
      </c>
      <c r="O712" s="17">
        <f>INDEX('список ID из СУЭ с должностями'!$A:$F,MATCH(E712,'список ID из СУЭ с должностями'!$B:$B,0),5)</f>
        <v>0</v>
      </c>
    </row>
    <row r="713" spans="1:15" ht="300">
      <c r="A713" s="3" t="s">
        <v>10</v>
      </c>
      <c r="B713" s="3" t="s">
        <v>11</v>
      </c>
      <c r="C713" s="4">
        <v>2026</v>
      </c>
      <c r="D713" s="5" t="s">
        <v>12</v>
      </c>
      <c r="E713" s="4">
        <v>100</v>
      </c>
      <c r="F713" s="4" t="s">
        <v>316</v>
      </c>
      <c r="G713" s="4" t="s">
        <v>820</v>
      </c>
      <c r="H713" s="4" t="s">
        <v>15</v>
      </c>
      <c r="I713" s="4" t="s">
        <v>28</v>
      </c>
      <c r="J713" s="4" t="s">
        <v>1054</v>
      </c>
      <c r="K713" s="4" t="s">
        <v>30</v>
      </c>
      <c r="L713" s="4" t="s">
        <v>3743</v>
      </c>
      <c r="M713" s="4" t="s">
        <v>3746</v>
      </c>
      <c r="N713" s="4" t="s">
        <v>3747</v>
      </c>
      <c r="O713" s="17">
        <f>INDEX('список ID из СУЭ с должностями'!$A:$F,MATCH(E713,'список ID из СУЭ с должностями'!$B:$B,0),5)</f>
        <v>0</v>
      </c>
    </row>
    <row r="714" spans="1:15" ht="105">
      <c r="A714" s="3" t="s">
        <v>10</v>
      </c>
      <c r="B714" s="3" t="s">
        <v>11</v>
      </c>
      <c r="C714" s="4">
        <v>2026</v>
      </c>
      <c r="D714" s="5" t="s">
        <v>12</v>
      </c>
      <c r="E714" s="4">
        <v>100</v>
      </c>
      <c r="F714" s="4" t="s">
        <v>316</v>
      </c>
      <c r="G714" s="4" t="s">
        <v>820</v>
      </c>
      <c r="H714" s="4" t="s">
        <v>15</v>
      </c>
      <c r="I714" s="4" t="s">
        <v>358</v>
      </c>
      <c r="J714" s="4" t="s">
        <v>1055</v>
      </c>
      <c r="K714" s="4" t="s">
        <v>66</v>
      </c>
      <c r="L714" s="4" t="s">
        <v>3743</v>
      </c>
      <c r="M714" s="4" t="s">
        <v>3746</v>
      </c>
      <c r="N714" s="4" t="s">
        <v>3747</v>
      </c>
      <c r="O714" s="17">
        <f>INDEX('список ID из СУЭ с должностями'!$A:$F,MATCH(E714,'список ID из СУЭ с должностями'!$B:$B,0),5)</f>
        <v>0</v>
      </c>
    </row>
    <row r="715" spans="1:15" ht="330">
      <c r="A715" s="3" t="s">
        <v>10</v>
      </c>
      <c r="B715" s="3" t="s">
        <v>11</v>
      </c>
      <c r="C715" s="4">
        <v>2026</v>
      </c>
      <c r="D715" s="5" t="s">
        <v>12</v>
      </c>
      <c r="E715" s="4">
        <v>100</v>
      </c>
      <c r="F715" s="4" t="s">
        <v>316</v>
      </c>
      <c r="G715" s="4" t="s">
        <v>820</v>
      </c>
      <c r="H715" s="4" t="s">
        <v>15</v>
      </c>
      <c r="I715" s="4" t="s">
        <v>323</v>
      </c>
      <c r="J715" s="4" t="s">
        <v>826</v>
      </c>
      <c r="K715" s="4" t="s">
        <v>66</v>
      </c>
      <c r="L715" s="4" t="s">
        <v>3743</v>
      </c>
      <c r="M715" s="4" t="s">
        <v>3746</v>
      </c>
      <c r="N715" s="4" t="s">
        <v>3747</v>
      </c>
      <c r="O715" s="17">
        <f>INDEX('список ID из СУЭ с должностями'!$A:$F,MATCH(E715,'список ID из СУЭ с должностями'!$B:$B,0),5)</f>
        <v>0</v>
      </c>
    </row>
    <row r="716" spans="1:15" ht="165">
      <c r="A716" s="3" t="s">
        <v>10</v>
      </c>
      <c r="B716" s="3" t="s">
        <v>11</v>
      </c>
      <c r="C716" s="4">
        <v>2026</v>
      </c>
      <c r="D716" s="5" t="s">
        <v>12</v>
      </c>
      <c r="E716" s="4">
        <v>100</v>
      </c>
      <c r="F716" s="4" t="s">
        <v>316</v>
      </c>
      <c r="G716" s="4" t="s">
        <v>820</v>
      </c>
      <c r="H716" s="4" t="s">
        <v>15</v>
      </c>
      <c r="I716" s="4" t="s">
        <v>656</v>
      </c>
      <c r="J716" s="4" t="s">
        <v>827</v>
      </c>
      <c r="K716" s="4" t="s">
        <v>35</v>
      </c>
      <c r="L716" s="4" t="s">
        <v>3743</v>
      </c>
      <c r="M716" s="4" t="s">
        <v>3746</v>
      </c>
      <c r="N716" s="4" t="s">
        <v>3747</v>
      </c>
      <c r="O716" s="17">
        <f>INDEX('список ID из СУЭ с должностями'!$A:$F,MATCH(E716,'список ID из СУЭ с должностями'!$B:$B,0),5)</f>
        <v>0</v>
      </c>
    </row>
    <row r="717" spans="1:15" ht="165">
      <c r="A717" s="3" t="s">
        <v>10</v>
      </c>
      <c r="B717" s="3" t="s">
        <v>11</v>
      </c>
      <c r="C717" s="4">
        <v>2026</v>
      </c>
      <c r="D717" s="5" t="s">
        <v>12</v>
      </c>
      <c r="E717" s="4">
        <v>101</v>
      </c>
      <c r="F717" s="4" t="s">
        <v>316</v>
      </c>
      <c r="G717" s="4" t="s">
        <v>1056</v>
      </c>
      <c r="H717" s="4" t="s">
        <v>15</v>
      </c>
      <c r="I717" s="4" t="s">
        <v>1057</v>
      </c>
      <c r="J717" s="4" t="s">
        <v>1058</v>
      </c>
      <c r="K717" s="4" t="s">
        <v>55</v>
      </c>
      <c r="L717" s="4" t="s">
        <v>3743</v>
      </c>
      <c r="M717" s="4" t="s">
        <v>3746</v>
      </c>
      <c r="N717" s="4" t="s">
        <v>3747</v>
      </c>
      <c r="O717" s="17">
        <f>INDEX('список ID из СУЭ с должностями'!$A:$F,MATCH(E717,'список ID из СУЭ с должностями'!$B:$B,0),5)</f>
        <v>0</v>
      </c>
    </row>
    <row r="718" spans="1:15" ht="135">
      <c r="A718" s="3" t="s">
        <v>10</v>
      </c>
      <c r="B718" s="3" t="s">
        <v>11</v>
      </c>
      <c r="C718" s="4">
        <v>2026</v>
      </c>
      <c r="D718" s="5" t="s">
        <v>12</v>
      </c>
      <c r="E718" s="4">
        <v>101</v>
      </c>
      <c r="F718" s="4" t="s">
        <v>316</v>
      </c>
      <c r="G718" s="4" t="s">
        <v>1056</v>
      </c>
      <c r="H718" s="4" t="s">
        <v>15</v>
      </c>
      <c r="I718" s="4" t="s">
        <v>318</v>
      </c>
      <c r="J718" s="4" t="s">
        <v>319</v>
      </c>
      <c r="K718" s="4" t="s">
        <v>25</v>
      </c>
      <c r="L718" s="4" t="s">
        <v>3743</v>
      </c>
      <c r="M718" s="4" t="s">
        <v>3746</v>
      </c>
      <c r="N718" s="4" t="s">
        <v>3747</v>
      </c>
      <c r="O718" s="17">
        <f>INDEX('список ID из СУЭ с должностями'!$A:$F,MATCH(E718,'список ID из СУЭ с должностями'!$B:$B,0),5)</f>
        <v>0</v>
      </c>
    </row>
    <row r="719" spans="1:15" ht="105">
      <c r="A719" s="3" t="s">
        <v>10</v>
      </c>
      <c r="B719" s="3" t="s">
        <v>11</v>
      </c>
      <c r="C719" s="4">
        <v>2026</v>
      </c>
      <c r="D719" s="5" t="s">
        <v>12</v>
      </c>
      <c r="E719" s="4">
        <v>101</v>
      </c>
      <c r="F719" s="4" t="s">
        <v>316</v>
      </c>
      <c r="G719" s="4" t="s">
        <v>1056</v>
      </c>
      <c r="H719" s="4" t="s">
        <v>15</v>
      </c>
      <c r="I719" s="4" t="s">
        <v>356</v>
      </c>
      <c r="J719" s="4" t="s">
        <v>357</v>
      </c>
      <c r="K719" s="4" t="s">
        <v>38</v>
      </c>
      <c r="L719" s="4" t="s">
        <v>3743</v>
      </c>
      <c r="M719" s="4" t="s">
        <v>3746</v>
      </c>
      <c r="N719" s="4" t="s">
        <v>3747</v>
      </c>
      <c r="O719" s="17">
        <f>INDEX('список ID из СУЭ с должностями'!$A:$F,MATCH(E719,'список ID из СУЭ с должностями'!$B:$B,0),5)</f>
        <v>0</v>
      </c>
    </row>
    <row r="720" spans="1:15" ht="409.5">
      <c r="A720" s="3" t="s">
        <v>10</v>
      </c>
      <c r="B720" s="3" t="s">
        <v>11</v>
      </c>
      <c r="C720" s="4">
        <v>2026</v>
      </c>
      <c r="D720" s="5" t="s">
        <v>12</v>
      </c>
      <c r="E720" s="4">
        <v>101</v>
      </c>
      <c r="F720" s="4" t="s">
        <v>316</v>
      </c>
      <c r="G720" s="4" t="s">
        <v>1056</v>
      </c>
      <c r="H720" s="4" t="s">
        <v>15</v>
      </c>
      <c r="I720" s="4" t="s">
        <v>354</v>
      </c>
      <c r="J720" s="4" t="s">
        <v>1059</v>
      </c>
      <c r="K720" s="4" t="s">
        <v>25</v>
      </c>
      <c r="L720" s="4" t="s">
        <v>3743</v>
      </c>
      <c r="M720" s="4" t="s">
        <v>3746</v>
      </c>
      <c r="N720" s="4" t="s">
        <v>3747</v>
      </c>
      <c r="O720" s="17">
        <f>INDEX('список ID из СУЭ с должностями'!$A:$F,MATCH(E720,'список ID из СУЭ с должностями'!$B:$B,0),5)</f>
        <v>0</v>
      </c>
    </row>
    <row r="721" spans="1:15" ht="315">
      <c r="A721" s="3" t="s">
        <v>10</v>
      </c>
      <c r="B721" s="3" t="s">
        <v>11</v>
      </c>
      <c r="C721" s="4">
        <v>2026</v>
      </c>
      <c r="D721" s="5" t="s">
        <v>12</v>
      </c>
      <c r="E721" s="4">
        <v>101</v>
      </c>
      <c r="F721" s="4" t="s">
        <v>316</v>
      </c>
      <c r="G721" s="4" t="s">
        <v>1056</v>
      </c>
      <c r="H721" s="4" t="s">
        <v>15</v>
      </c>
      <c r="I721" s="4" t="s">
        <v>28</v>
      </c>
      <c r="J721" s="4" t="s">
        <v>824</v>
      </c>
      <c r="K721" s="4" t="s">
        <v>38</v>
      </c>
      <c r="L721" s="4" t="s">
        <v>3743</v>
      </c>
      <c r="M721" s="4" t="s">
        <v>3746</v>
      </c>
      <c r="N721" s="4" t="s">
        <v>3747</v>
      </c>
      <c r="O721" s="17">
        <f>INDEX('список ID из СУЭ с должностями'!$A:$F,MATCH(E721,'список ID из СУЭ с должностями'!$B:$B,0),5)</f>
        <v>0</v>
      </c>
    </row>
    <row r="722" spans="1:15" ht="330">
      <c r="A722" s="3" t="s">
        <v>10</v>
      </c>
      <c r="B722" s="3" t="s">
        <v>11</v>
      </c>
      <c r="C722" s="4">
        <v>2026</v>
      </c>
      <c r="D722" s="5" t="s">
        <v>12</v>
      </c>
      <c r="E722" s="4">
        <v>101</v>
      </c>
      <c r="F722" s="4" t="s">
        <v>316</v>
      </c>
      <c r="G722" s="4" t="s">
        <v>1056</v>
      </c>
      <c r="H722" s="4" t="s">
        <v>15</v>
      </c>
      <c r="I722" s="4" t="s">
        <v>323</v>
      </c>
      <c r="J722" s="4" t="s">
        <v>826</v>
      </c>
      <c r="K722" s="4" t="s">
        <v>151</v>
      </c>
      <c r="L722" s="4" t="s">
        <v>3743</v>
      </c>
      <c r="M722" s="4" t="s">
        <v>3746</v>
      </c>
      <c r="N722" s="4" t="s">
        <v>3747</v>
      </c>
      <c r="O722" s="17">
        <f>INDEX('список ID из СУЭ с должностями'!$A:$F,MATCH(E722,'список ID из СУЭ с должностями'!$B:$B,0),5)</f>
        <v>0</v>
      </c>
    </row>
    <row r="723" spans="1:15" ht="330">
      <c r="A723" s="3" t="s">
        <v>10</v>
      </c>
      <c r="B723" s="3" t="s">
        <v>11</v>
      </c>
      <c r="C723" s="4">
        <v>2026</v>
      </c>
      <c r="D723" s="5" t="s">
        <v>12</v>
      </c>
      <c r="E723" s="4">
        <v>101</v>
      </c>
      <c r="F723" s="4" t="s">
        <v>316</v>
      </c>
      <c r="G723" s="4" t="s">
        <v>1056</v>
      </c>
      <c r="H723" s="4" t="s">
        <v>15</v>
      </c>
      <c r="I723" s="4" t="s">
        <v>325</v>
      </c>
      <c r="J723" s="4" t="s">
        <v>1060</v>
      </c>
      <c r="K723" s="4" t="s">
        <v>35</v>
      </c>
      <c r="L723" s="4" t="s">
        <v>3743</v>
      </c>
      <c r="M723" s="4" t="s">
        <v>3746</v>
      </c>
      <c r="N723" s="4" t="s">
        <v>3747</v>
      </c>
      <c r="O723" s="17">
        <f>INDEX('список ID из СУЭ с должностями'!$A:$F,MATCH(E723,'список ID из СУЭ с должностями'!$B:$B,0),5)</f>
        <v>0</v>
      </c>
    </row>
    <row r="724" spans="1:15" ht="90">
      <c r="A724" s="3" t="s">
        <v>10</v>
      </c>
      <c r="B724" s="3" t="s">
        <v>11</v>
      </c>
      <c r="C724" s="4">
        <v>2026</v>
      </c>
      <c r="D724" s="5" t="s">
        <v>12</v>
      </c>
      <c r="E724" s="4">
        <v>102</v>
      </c>
      <c r="F724" s="4" t="s">
        <v>724</v>
      </c>
      <c r="G724" s="4" t="s">
        <v>725</v>
      </c>
      <c r="H724" s="4" t="s">
        <v>15</v>
      </c>
      <c r="I724" s="4" t="s">
        <v>733</v>
      </c>
      <c r="J724" s="4" t="s">
        <v>733</v>
      </c>
      <c r="K724" s="4" t="s">
        <v>66</v>
      </c>
      <c r="L724" s="4" t="s">
        <v>3743</v>
      </c>
      <c r="M724" s="4" t="s">
        <v>3746</v>
      </c>
      <c r="N724" s="4" t="s">
        <v>3747</v>
      </c>
      <c r="O724" s="17">
        <f>INDEX('список ID из СУЭ с должностями'!$A:$F,MATCH(E724,'список ID из СУЭ с должностями'!$B:$B,0),5)</f>
        <v>0</v>
      </c>
    </row>
    <row r="725" spans="1:15" ht="90">
      <c r="A725" s="3" t="s">
        <v>10</v>
      </c>
      <c r="B725" s="3" t="s">
        <v>11</v>
      </c>
      <c r="C725" s="4">
        <v>2026</v>
      </c>
      <c r="D725" s="5" t="s">
        <v>12</v>
      </c>
      <c r="E725" s="4">
        <v>102</v>
      </c>
      <c r="F725" s="4" t="s">
        <v>724</v>
      </c>
      <c r="G725" s="4" t="s">
        <v>725</v>
      </c>
      <c r="H725" s="4" t="s">
        <v>15</v>
      </c>
      <c r="I725" s="4" t="s">
        <v>1061</v>
      </c>
      <c r="J725" s="4" t="s">
        <v>1062</v>
      </c>
      <c r="K725" s="4" t="s">
        <v>66</v>
      </c>
      <c r="L725" s="4" t="s">
        <v>3742</v>
      </c>
      <c r="M725" s="4" t="s">
        <v>3746</v>
      </c>
      <c r="N725" s="4" t="s">
        <v>3747</v>
      </c>
      <c r="O725" s="17">
        <f>INDEX('список ID из СУЭ с должностями'!$A:$F,MATCH(E725,'список ID из СУЭ с должностями'!$B:$B,0),5)</f>
        <v>0</v>
      </c>
    </row>
    <row r="726" spans="1:15" ht="90">
      <c r="A726" s="3" t="s">
        <v>10</v>
      </c>
      <c r="B726" s="3" t="s">
        <v>11</v>
      </c>
      <c r="C726" s="4">
        <v>2026</v>
      </c>
      <c r="D726" s="5" t="s">
        <v>12</v>
      </c>
      <c r="E726" s="4">
        <v>102</v>
      </c>
      <c r="F726" s="4" t="s">
        <v>724</v>
      </c>
      <c r="G726" s="4" t="s">
        <v>725</v>
      </c>
      <c r="H726" s="4" t="s">
        <v>15</v>
      </c>
      <c r="I726" s="4" t="s">
        <v>1063</v>
      </c>
      <c r="J726" s="4" t="s">
        <v>1063</v>
      </c>
      <c r="K726" s="4" t="s">
        <v>66</v>
      </c>
      <c r="L726" s="4" t="s">
        <v>3743</v>
      </c>
      <c r="M726" s="4" t="s">
        <v>3746</v>
      </c>
      <c r="N726" s="4" t="s">
        <v>3747</v>
      </c>
      <c r="O726" s="17">
        <f>INDEX('список ID из СУЭ с должностями'!$A:$F,MATCH(E726,'список ID из СУЭ с должностями'!$B:$B,0),5)</f>
        <v>0</v>
      </c>
    </row>
    <row r="727" spans="1:15" ht="90">
      <c r="A727" s="3" t="s">
        <v>10</v>
      </c>
      <c r="B727" s="3" t="s">
        <v>11</v>
      </c>
      <c r="C727" s="4">
        <v>2026</v>
      </c>
      <c r="D727" s="5" t="s">
        <v>12</v>
      </c>
      <c r="E727" s="4">
        <v>102</v>
      </c>
      <c r="F727" s="4" t="s">
        <v>724</v>
      </c>
      <c r="G727" s="4" t="s">
        <v>725</v>
      </c>
      <c r="H727" s="4" t="s">
        <v>21</v>
      </c>
      <c r="I727" s="4" t="s">
        <v>1064</v>
      </c>
      <c r="J727" s="4" t="s">
        <v>1065</v>
      </c>
      <c r="K727" s="4" t="s">
        <v>151</v>
      </c>
      <c r="L727" s="4" t="s">
        <v>3743</v>
      </c>
      <c r="M727" s="4" t="s">
        <v>3746</v>
      </c>
      <c r="N727" s="4" t="s">
        <v>3747</v>
      </c>
      <c r="O727" s="17">
        <f>INDEX('список ID из СУЭ с должностями'!$A:$F,MATCH(E727,'список ID из СУЭ с должностями'!$B:$B,0),5)</f>
        <v>0</v>
      </c>
    </row>
    <row r="728" spans="1:15" ht="90">
      <c r="A728" s="3" t="s">
        <v>10</v>
      </c>
      <c r="B728" s="3" t="s">
        <v>11</v>
      </c>
      <c r="C728" s="4">
        <v>2026</v>
      </c>
      <c r="D728" s="5" t="s">
        <v>12</v>
      </c>
      <c r="E728" s="4">
        <v>102</v>
      </c>
      <c r="F728" s="4" t="s">
        <v>724</v>
      </c>
      <c r="G728" s="4" t="s">
        <v>725</v>
      </c>
      <c r="H728" s="4" t="s">
        <v>15</v>
      </c>
      <c r="I728" s="4" t="s">
        <v>1066</v>
      </c>
      <c r="J728" s="4" t="s">
        <v>737</v>
      </c>
      <c r="K728" s="4" t="s">
        <v>151</v>
      </c>
      <c r="L728" s="4" t="s">
        <v>3743</v>
      </c>
      <c r="M728" s="4" t="s">
        <v>3746</v>
      </c>
      <c r="N728" s="4" t="s">
        <v>3747</v>
      </c>
      <c r="O728" s="17">
        <f>INDEX('список ID из СУЭ с должностями'!$A:$F,MATCH(E728,'список ID из СУЭ с должностями'!$B:$B,0),5)</f>
        <v>0</v>
      </c>
    </row>
    <row r="729" spans="1:15" ht="90">
      <c r="A729" s="3" t="s">
        <v>10</v>
      </c>
      <c r="B729" s="3" t="s">
        <v>11</v>
      </c>
      <c r="C729" s="4">
        <v>2026</v>
      </c>
      <c r="D729" s="5" t="s">
        <v>12</v>
      </c>
      <c r="E729" s="4">
        <v>102</v>
      </c>
      <c r="F729" s="4" t="s">
        <v>724</v>
      </c>
      <c r="G729" s="4" t="s">
        <v>725</v>
      </c>
      <c r="H729" s="4" t="s">
        <v>15</v>
      </c>
      <c r="I729" s="4" t="s">
        <v>1067</v>
      </c>
      <c r="J729" s="4" t="s">
        <v>182</v>
      </c>
      <c r="K729" s="4" t="s">
        <v>66</v>
      </c>
      <c r="L729" s="4" t="s">
        <v>3742</v>
      </c>
      <c r="M729" s="4" t="s">
        <v>3746</v>
      </c>
      <c r="N729" s="4" t="s">
        <v>3747</v>
      </c>
      <c r="O729" s="17">
        <f>INDEX('список ID из СУЭ с должностями'!$A:$F,MATCH(E729,'список ID из СУЭ с должностями'!$B:$B,0),5)</f>
        <v>0</v>
      </c>
    </row>
    <row r="730" spans="1:15" ht="90">
      <c r="A730" s="3" t="s">
        <v>10</v>
      </c>
      <c r="B730" s="3" t="s">
        <v>11</v>
      </c>
      <c r="C730" s="4">
        <v>2026</v>
      </c>
      <c r="D730" s="5" t="s">
        <v>12</v>
      </c>
      <c r="E730" s="4">
        <v>102</v>
      </c>
      <c r="F730" s="4" t="s">
        <v>724</v>
      </c>
      <c r="G730" s="4" t="s">
        <v>725</v>
      </c>
      <c r="H730" s="4" t="s">
        <v>15</v>
      </c>
      <c r="I730" s="4" t="s">
        <v>1068</v>
      </c>
      <c r="J730" s="4" t="s">
        <v>132</v>
      </c>
      <c r="K730" s="4" t="s">
        <v>66</v>
      </c>
      <c r="L730" s="4" t="s">
        <v>3742</v>
      </c>
      <c r="M730" s="4" t="s">
        <v>3746</v>
      </c>
      <c r="N730" s="4" t="s">
        <v>3747</v>
      </c>
      <c r="O730" s="17">
        <f>INDEX('список ID из СУЭ с должностями'!$A:$F,MATCH(E730,'список ID из СУЭ с должностями'!$B:$B,0),5)</f>
        <v>0</v>
      </c>
    </row>
    <row r="731" spans="1:15" ht="90">
      <c r="A731" s="3" t="s">
        <v>10</v>
      </c>
      <c r="B731" s="3" t="s">
        <v>11</v>
      </c>
      <c r="C731" s="4">
        <v>2026</v>
      </c>
      <c r="D731" s="5" t="s">
        <v>12</v>
      </c>
      <c r="E731" s="4">
        <v>102</v>
      </c>
      <c r="F731" s="4" t="s">
        <v>724</v>
      </c>
      <c r="G731" s="4" t="s">
        <v>725</v>
      </c>
      <c r="H731" s="4" t="s">
        <v>15</v>
      </c>
      <c r="I731" s="4" t="s">
        <v>1069</v>
      </c>
      <c r="J731" s="4" t="s">
        <v>1070</v>
      </c>
      <c r="K731" s="4" t="s">
        <v>66</v>
      </c>
      <c r="L731" s="4" t="s">
        <v>3742</v>
      </c>
      <c r="M731" s="4" t="s">
        <v>3746</v>
      </c>
      <c r="N731" s="4" t="s">
        <v>3747</v>
      </c>
      <c r="O731" s="17">
        <f>INDEX('список ID из СУЭ с должностями'!$A:$F,MATCH(E731,'список ID из СУЭ с должностями'!$B:$B,0),5)</f>
        <v>0</v>
      </c>
    </row>
    <row r="732" spans="1:15" ht="90">
      <c r="A732" s="3" t="s">
        <v>10</v>
      </c>
      <c r="B732" s="3" t="s">
        <v>11</v>
      </c>
      <c r="C732" s="4">
        <v>2026</v>
      </c>
      <c r="D732" s="5" t="s">
        <v>12</v>
      </c>
      <c r="E732" s="4">
        <v>102</v>
      </c>
      <c r="F732" s="4" t="s">
        <v>724</v>
      </c>
      <c r="G732" s="4" t="s">
        <v>725</v>
      </c>
      <c r="H732" s="4" t="s">
        <v>15</v>
      </c>
      <c r="I732" s="4" t="s">
        <v>1071</v>
      </c>
      <c r="J732" s="4" t="s">
        <v>1072</v>
      </c>
      <c r="K732" s="4" t="s">
        <v>35</v>
      </c>
      <c r="L732" s="4" t="s">
        <v>3742</v>
      </c>
      <c r="M732" s="4" t="s">
        <v>3746</v>
      </c>
      <c r="N732" s="4" t="s">
        <v>3747</v>
      </c>
      <c r="O732" s="17">
        <f>INDEX('список ID из СУЭ с должностями'!$A:$F,MATCH(E732,'список ID из СУЭ с должностями'!$B:$B,0),5)</f>
        <v>0</v>
      </c>
    </row>
    <row r="733" spans="1:15" ht="90">
      <c r="A733" s="3" t="s">
        <v>10</v>
      </c>
      <c r="B733" s="3" t="s">
        <v>11</v>
      </c>
      <c r="C733" s="4">
        <v>2026</v>
      </c>
      <c r="D733" s="5" t="s">
        <v>12</v>
      </c>
      <c r="E733" s="4">
        <v>102</v>
      </c>
      <c r="F733" s="4" t="s">
        <v>724</v>
      </c>
      <c r="G733" s="4" t="s">
        <v>725</v>
      </c>
      <c r="H733" s="4" t="s">
        <v>15</v>
      </c>
      <c r="I733" s="4" t="s">
        <v>726</v>
      </c>
      <c r="J733" s="4" t="s">
        <v>182</v>
      </c>
      <c r="K733" s="4" t="s">
        <v>151</v>
      </c>
      <c r="L733" s="4" t="s">
        <v>3742</v>
      </c>
      <c r="M733" s="4" t="s">
        <v>3746</v>
      </c>
      <c r="N733" s="4" t="s">
        <v>3747</v>
      </c>
      <c r="O733" s="17">
        <f>INDEX('список ID из СУЭ с должностями'!$A:$F,MATCH(E733,'список ID из СУЭ с должностями'!$B:$B,0),5)</f>
        <v>0</v>
      </c>
    </row>
    <row r="734" spans="1:15" ht="150">
      <c r="A734" s="3" t="s">
        <v>10</v>
      </c>
      <c r="B734" s="3" t="s">
        <v>11</v>
      </c>
      <c r="C734" s="4">
        <v>2026</v>
      </c>
      <c r="D734" s="5" t="s">
        <v>12</v>
      </c>
      <c r="E734" s="4">
        <v>103</v>
      </c>
      <c r="F734" s="4" t="s">
        <v>67</v>
      </c>
      <c r="G734" s="4" t="s">
        <v>1073</v>
      </c>
      <c r="H734" s="4" t="s">
        <v>15</v>
      </c>
      <c r="I734" s="4" t="s">
        <v>303</v>
      </c>
      <c r="J734" s="4" t="s">
        <v>814</v>
      </c>
      <c r="K734" s="4" t="s">
        <v>151</v>
      </c>
      <c r="L734" s="4" t="s">
        <v>3743</v>
      </c>
      <c r="M734" s="4" t="s">
        <v>3746</v>
      </c>
      <c r="N734" s="4" t="s">
        <v>3747</v>
      </c>
      <c r="O734" s="17">
        <f>INDEX('список ID из СУЭ с должностями'!$A:$F,MATCH(E734,'список ID из СУЭ с должностями'!$B:$B,0),5)</f>
        <v>0</v>
      </c>
    </row>
    <row r="735" spans="1:15" ht="135">
      <c r="A735" s="3" t="s">
        <v>10</v>
      </c>
      <c r="B735" s="3" t="s">
        <v>11</v>
      </c>
      <c r="C735" s="4">
        <v>2026</v>
      </c>
      <c r="D735" s="5" t="s">
        <v>12</v>
      </c>
      <c r="E735" s="4">
        <v>103</v>
      </c>
      <c r="F735" s="4" t="s">
        <v>67</v>
      </c>
      <c r="G735" s="4" t="s">
        <v>1073</v>
      </c>
      <c r="H735" s="4" t="s">
        <v>15</v>
      </c>
      <c r="I735" s="4" t="s">
        <v>806</v>
      </c>
      <c r="J735" s="4" t="s">
        <v>807</v>
      </c>
      <c r="K735" s="4" t="s">
        <v>38</v>
      </c>
      <c r="L735" s="4" t="s">
        <v>3743</v>
      </c>
      <c r="M735" s="4" t="s">
        <v>3746</v>
      </c>
      <c r="N735" s="4" t="s">
        <v>3747</v>
      </c>
      <c r="O735" s="17">
        <f>INDEX('список ID из СУЭ с должностями'!$A:$F,MATCH(E735,'список ID из СУЭ с должностями'!$B:$B,0),5)</f>
        <v>0</v>
      </c>
    </row>
    <row r="736" spans="1:15" ht="150">
      <c r="A736" s="3" t="s">
        <v>10</v>
      </c>
      <c r="B736" s="3" t="s">
        <v>11</v>
      </c>
      <c r="C736" s="4">
        <v>2026</v>
      </c>
      <c r="D736" s="5" t="s">
        <v>12</v>
      </c>
      <c r="E736" s="4">
        <v>103</v>
      </c>
      <c r="F736" s="4" t="s">
        <v>67</v>
      </c>
      <c r="G736" s="4" t="s">
        <v>1073</v>
      </c>
      <c r="H736" s="4" t="s">
        <v>15</v>
      </c>
      <c r="I736" s="4" t="s">
        <v>809</v>
      </c>
      <c r="J736" s="4" t="s">
        <v>810</v>
      </c>
      <c r="K736" s="4" t="s">
        <v>188</v>
      </c>
      <c r="L736" s="4" t="s">
        <v>3743</v>
      </c>
      <c r="M736" s="4" t="s">
        <v>3746</v>
      </c>
      <c r="N736" s="4" t="s">
        <v>3747</v>
      </c>
      <c r="O736" s="17">
        <f>INDEX('список ID из СУЭ с должностями'!$A:$F,MATCH(E736,'список ID из СУЭ с должностями'!$B:$B,0),5)</f>
        <v>0</v>
      </c>
    </row>
    <row r="737" spans="1:15" ht="240">
      <c r="A737" s="3" t="s">
        <v>10</v>
      </c>
      <c r="B737" s="3" t="s">
        <v>11</v>
      </c>
      <c r="C737" s="4">
        <v>2026</v>
      </c>
      <c r="D737" s="5" t="s">
        <v>12</v>
      </c>
      <c r="E737" s="4">
        <v>103</v>
      </c>
      <c r="F737" s="4" t="s">
        <v>67</v>
      </c>
      <c r="G737" s="4" t="s">
        <v>1073</v>
      </c>
      <c r="H737" s="4" t="s">
        <v>15</v>
      </c>
      <c r="I737" s="4" t="s">
        <v>147</v>
      </c>
      <c r="J737" s="4" t="s">
        <v>811</v>
      </c>
      <c r="K737" s="4" t="s">
        <v>66</v>
      </c>
      <c r="L737" s="4" t="s">
        <v>3743</v>
      </c>
      <c r="M737" s="4" t="s">
        <v>3746</v>
      </c>
      <c r="N737" s="4" t="s">
        <v>3747</v>
      </c>
      <c r="O737" s="17">
        <f>INDEX('список ID из СУЭ с должностями'!$A:$F,MATCH(E737,'список ID из СУЭ с должностями'!$B:$B,0),5)</f>
        <v>0</v>
      </c>
    </row>
    <row r="738" spans="1:15" ht="135">
      <c r="A738" s="3" t="s">
        <v>10</v>
      </c>
      <c r="B738" s="3" t="s">
        <v>11</v>
      </c>
      <c r="C738" s="4">
        <v>2026</v>
      </c>
      <c r="D738" s="5" t="s">
        <v>12</v>
      </c>
      <c r="E738" s="4">
        <v>103</v>
      </c>
      <c r="F738" s="4" t="s">
        <v>67</v>
      </c>
      <c r="G738" s="4" t="s">
        <v>1073</v>
      </c>
      <c r="H738" s="4" t="s">
        <v>15</v>
      </c>
      <c r="I738" s="4" t="s">
        <v>812</v>
      </c>
      <c r="J738" s="4" t="s">
        <v>813</v>
      </c>
      <c r="K738" s="4" t="s">
        <v>20</v>
      </c>
      <c r="L738" s="4" t="s">
        <v>3743</v>
      </c>
      <c r="M738" s="4" t="s">
        <v>3746</v>
      </c>
      <c r="N738" s="4" t="s">
        <v>3747</v>
      </c>
      <c r="O738" s="17">
        <f>INDEX('список ID из СУЭ с должностями'!$A:$F,MATCH(E738,'список ID из СУЭ с должностями'!$B:$B,0),5)</f>
        <v>0</v>
      </c>
    </row>
    <row r="739" spans="1:15" ht="60">
      <c r="A739" s="3" t="s">
        <v>10</v>
      </c>
      <c r="B739" s="3" t="s">
        <v>11</v>
      </c>
      <c r="C739" s="4">
        <v>2026</v>
      </c>
      <c r="D739" s="5" t="s">
        <v>12</v>
      </c>
      <c r="E739" s="4">
        <v>104</v>
      </c>
      <c r="F739" s="4" t="s">
        <v>385</v>
      </c>
      <c r="G739" s="4" t="s">
        <v>1074</v>
      </c>
      <c r="H739" s="4" t="s">
        <v>15</v>
      </c>
      <c r="I739" s="4" t="s">
        <v>956</v>
      </c>
      <c r="J739" s="4" t="s">
        <v>957</v>
      </c>
      <c r="K739" s="4" t="s">
        <v>35</v>
      </c>
      <c r="L739" s="4" t="s">
        <v>3742</v>
      </c>
      <c r="M739" s="4" t="s">
        <v>3746</v>
      </c>
      <c r="N739" s="4" t="s">
        <v>3747</v>
      </c>
      <c r="O739" s="17">
        <f>INDEX('список ID из СУЭ с должностями'!$A:$F,MATCH(E739,'список ID из СУЭ с должностями'!$B:$B,0),5)</f>
        <v>0</v>
      </c>
    </row>
    <row r="740" spans="1:15" ht="60">
      <c r="A740" s="3" t="s">
        <v>10</v>
      </c>
      <c r="B740" s="3" t="s">
        <v>11</v>
      </c>
      <c r="C740" s="4">
        <v>2026</v>
      </c>
      <c r="D740" s="5" t="s">
        <v>12</v>
      </c>
      <c r="E740" s="4">
        <v>104</v>
      </c>
      <c r="F740" s="4" t="s">
        <v>385</v>
      </c>
      <c r="G740" s="4" t="s">
        <v>1074</v>
      </c>
      <c r="H740" s="4" t="s">
        <v>15</v>
      </c>
      <c r="I740" s="4" t="s">
        <v>401</v>
      </c>
      <c r="J740" s="4" t="s">
        <v>402</v>
      </c>
      <c r="K740" s="4" t="s">
        <v>66</v>
      </c>
      <c r="L740" s="4" t="s">
        <v>3742</v>
      </c>
      <c r="M740" s="4" t="s">
        <v>3746</v>
      </c>
      <c r="N740" s="4" t="s">
        <v>3747</v>
      </c>
      <c r="O740" s="17">
        <f>INDEX('список ID из СУЭ с должностями'!$A:$F,MATCH(E740,'список ID из СУЭ с должностями'!$B:$B,0),5)</f>
        <v>0</v>
      </c>
    </row>
    <row r="741" spans="1:15" ht="60">
      <c r="A741" s="3" t="s">
        <v>10</v>
      </c>
      <c r="B741" s="3" t="s">
        <v>11</v>
      </c>
      <c r="C741" s="4">
        <v>2026</v>
      </c>
      <c r="D741" s="5" t="s">
        <v>12</v>
      </c>
      <c r="E741" s="4">
        <v>104</v>
      </c>
      <c r="F741" s="4" t="s">
        <v>385</v>
      </c>
      <c r="G741" s="4" t="s">
        <v>1074</v>
      </c>
      <c r="H741" s="4" t="s">
        <v>15</v>
      </c>
      <c r="I741" s="4" t="s">
        <v>1076</v>
      </c>
      <c r="J741" s="4" t="s">
        <v>1077</v>
      </c>
      <c r="K741" s="4" t="s">
        <v>188</v>
      </c>
      <c r="L741" s="4" t="s">
        <v>3743</v>
      </c>
      <c r="M741" s="4" t="s">
        <v>3746</v>
      </c>
      <c r="N741" s="4" t="s">
        <v>3747</v>
      </c>
      <c r="O741" s="17">
        <f>INDEX('список ID из СУЭ с должностями'!$A:$F,MATCH(E741,'список ID из СУЭ с должностями'!$B:$B,0),5)</f>
        <v>0</v>
      </c>
    </row>
    <row r="742" spans="1:15" ht="60">
      <c r="A742" s="3" t="s">
        <v>10</v>
      </c>
      <c r="B742" s="3" t="s">
        <v>11</v>
      </c>
      <c r="C742" s="4">
        <v>2026</v>
      </c>
      <c r="D742" s="5" t="s">
        <v>12</v>
      </c>
      <c r="E742" s="4">
        <v>104</v>
      </c>
      <c r="F742" s="4" t="s">
        <v>385</v>
      </c>
      <c r="G742" s="4" t="s">
        <v>1074</v>
      </c>
      <c r="H742" s="4" t="s">
        <v>41</v>
      </c>
      <c r="I742" s="4" t="s">
        <v>1078</v>
      </c>
      <c r="J742" s="4" t="s">
        <v>1079</v>
      </c>
      <c r="K742" s="4" t="s">
        <v>25</v>
      </c>
      <c r="L742" s="4" t="s">
        <v>3743</v>
      </c>
      <c r="M742" s="4" t="s">
        <v>3746</v>
      </c>
      <c r="N742" s="4" t="s">
        <v>3747</v>
      </c>
      <c r="O742" s="17">
        <f>INDEX('список ID из СУЭ с должностями'!$A:$F,MATCH(E742,'список ID из СУЭ с должностями'!$B:$B,0),5)</f>
        <v>0</v>
      </c>
    </row>
    <row r="743" spans="1:15" ht="60">
      <c r="A743" s="3" t="s">
        <v>10</v>
      </c>
      <c r="B743" s="3" t="s">
        <v>11</v>
      </c>
      <c r="C743" s="4">
        <v>2026</v>
      </c>
      <c r="D743" s="5" t="s">
        <v>12</v>
      </c>
      <c r="E743" s="4">
        <v>104</v>
      </c>
      <c r="F743" s="4" t="s">
        <v>385</v>
      </c>
      <c r="G743" s="4" t="s">
        <v>1074</v>
      </c>
      <c r="H743" s="4" t="s">
        <v>21</v>
      </c>
      <c r="I743" s="4" t="s">
        <v>1080</v>
      </c>
      <c r="J743" s="4" t="s">
        <v>302</v>
      </c>
      <c r="K743" s="4" t="s">
        <v>66</v>
      </c>
      <c r="L743" s="4" t="s">
        <v>3742</v>
      </c>
      <c r="M743" s="4" t="s">
        <v>3746</v>
      </c>
      <c r="N743" s="4" t="s">
        <v>3747</v>
      </c>
      <c r="O743" s="17">
        <f>INDEX('список ID из СУЭ с должностями'!$A:$F,MATCH(E743,'список ID из СУЭ с должностями'!$B:$B,0),5)</f>
        <v>0</v>
      </c>
    </row>
    <row r="744" spans="1:15" ht="60">
      <c r="A744" s="3" t="s">
        <v>10</v>
      </c>
      <c r="B744" s="3" t="s">
        <v>11</v>
      </c>
      <c r="C744" s="4">
        <v>2026</v>
      </c>
      <c r="D744" s="5" t="s">
        <v>12</v>
      </c>
      <c r="E744" s="4">
        <v>104</v>
      </c>
      <c r="F744" s="4" t="s">
        <v>385</v>
      </c>
      <c r="G744" s="4" t="s">
        <v>1074</v>
      </c>
      <c r="H744" s="4" t="s">
        <v>15</v>
      </c>
      <c r="I744" s="4" t="s">
        <v>1081</v>
      </c>
      <c r="J744" s="4" t="s">
        <v>302</v>
      </c>
      <c r="K744" s="4" t="s">
        <v>188</v>
      </c>
      <c r="L744" s="4" t="s">
        <v>3742</v>
      </c>
      <c r="M744" s="4" t="s">
        <v>3746</v>
      </c>
      <c r="N744" s="4" t="s">
        <v>3747</v>
      </c>
      <c r="O744" s="17">
        <f>INDEX('список ID из СУЭ с должностями'!$A:$F,MATCH(E744,'список ID из СУЭ с должностями'!$B:$B,0),5)</f>
        <v>0</v>
      </c>
    </row>
    <row r="745" spans="1:15" ht="60">
      <c r="A745" s="3" t="s">
        <v>10</v>
      </c>
      <c r="B745" s="3" t="s">
        <v>11</v>
      </c>
      <c r="C745" s="4">
        <v>2026</v>
      </c>
      <c r="D745" s="5" t="s">
        <v>12</v>
      </c>
      <c r="E745" s="4">
        <v>104</v>
      </c>
      <c r="F745" s="4" t="s">
        <v>385</v>
      </c>
      <c r="G745" s="4" t="s">
        <v>1074</v>
      </c>
      <c r="H745" s="4" t="s">
        <v>21</v>
      </c>
      <c r="I745" s="4" t="s">
        <v>1082</v>
      </c>
      <c r="J745" s="4" t="s">
        <v>1083</v>
      </c>
      <c r="K745" s="4" t="s">
        <v>66</v>
      </c>
      <c r="L745" s="4" t="s">
        <v>3743</v>
      </c>
      <c r="M745" s="4" t="s">
        <v>3746</v>
      </c>
      <c r="N745" s="4" t="s">
        <v>3747</v>
      </c>
      <c r="O745" s="17">
        <f>INDEX('список ID из СУЭ с должностями'!$A:$F,MATCH(E745,'список ID из СУЭ с должностями'!$B:$B,0),5)</f>
        <v>0</v>
      </c>
    </row>
    <row r="746" spans="1:15" ht="75">
      <c r="A746" s="3" t="s">
        <v>10</v>
      </c>
      <c r="B746" s="3" t="s">
        <v>11</v>
      </c>
      <c r="C746" s="4">
        <v>2026</v>
      </c>
      <c r="D746" s="5" t="s">
        <v>12</v>
      </c>
      <c r="E746" s="4">
        <v>105</v>
      </c>
      <c r="F746" s="4" t="s">
        <v>116</v>
      </c>
      <c r="G746" s="4" t="s">
        <v>117</v>
      </c>
      <c r="H746" s="4" t="s">
        <v>15</v>
      </c>
      <c r="I746" s="4" t="s">
        <v>1084</v>
      </c>
      <c r="J746" s="4" t="s">
        <v>132</v>
      </c>
      <c r="K746" s="4" t="s">
        <v>52</v>
      </c>
      <c r="L746" s="4" t="s">
        <v>3742</v>
      </c>
      <c r="M746" s="4" t="s">
        <v>3746</v>
      </c>
      <c r="N746" s="4" t="s">
        <v>3747</v>
      </c>
      <c r="O746" s="17">
        <f>INDEX('список ID из СУЭ с должностями'!$A:$F,MATCH(E746,'список ID из СУЭ с должностями'!$B:$B,0),5)</f>
        <v>0</v>
      </c>
    </row>
    <row r="747" spans="1:15" ht="75">
      <c r="A747" s="3" t="s">
        <v>10</v>
      </c>
      <c r="B747" s="3" t="s">
        <v>11</v>
      </c>
      <c r="C747" s="4">
        <v>2026</v>
      </c>
      <c r="D747" s="5" t="s">
        <v>12</v>
      </c>
      <c r="E747" s="4">
        <v>105</v>
      </c>
      <c r="F747" s="4" t="s">
        <v>116</v>
      </c>
      <c r="G747" s="4" t="s">
        <v>117</v>
      </c>
      <c r="H747" s="4" t="s">
        <v>15</v>
      </c>
      <c r="I747" s="4" t="s">
        <v>566</v>
      </c>
      <c r="J747" s="4" t="s">
        <v>132</v>
      </c>
      <c r="K747" s="4" t="s">
        <v>52</v>
      </c>
      <c r="L747" s="4" t="s">
        <v>3742</v>
      </c>
      <c r="M747" s="4" t="s">
        <v>3746</v>
      </c>
      <c r="N747" s="4" t="s">
        <v>3747</v>
      </c>
      <c r="O747" s="17">
        <f>INDEX('список ID из СУЭ с должностями'!$A:$F,MATCH(E747,'список ID из СУЭ с должностями'!$B:$B,0),5)</f>
        <v>0</v>
      </c>
    </row>
    <row r="748" spans="1:15" ht="75">
      <c r="A748" s="3" t="s">
        <v>10</v>
      </c>
      <c r="B748" s="3" t="s">
        <v>11</v>
      </c>
      <c r="C748" s="4">
        <v>2026</v>
      </c>
      <c r="D748" s="5" t="s">
        <v>12</v>
      </c>
      <c r="E748" s="4">
        <v>105</v>
      </c>
      <c r="F748" s="4" t="s">
        <v>116</v>
      </c>
      <c r="G748" s="4" t="s">
        <v>117</v>
      </c>
      <c r="H748" s="4" t="s">
        <v>21</v>
      </c>
      <c r="I748" s="4" t="s">
        <v>1085</v>
      </c>
      <c r="J748" s="4" t="s">
        <v>1086</v>
      </c>
      <c r="K748" s="4" t="s">
        <v>310</v>
      </c>
      <c r="L748" s="4" t="s">
        <v>3743</v>
      </c>
      <c r="M748" s="4" t="s">
        <v>3746</v>
      </c>
      <c r="N748" s="4" t="s">
        <v>3755</v>
      </c>
      <c r="O748" s="17">
        <f>INDEX('список ID из СУЭ с должностями'!$A:$F,MATCH(E748,'список ID из СУЭ с должностями'!$B:$B,0),5)</f>
        <v>0</v>
      </c>
    </row>
    <row r="749" spans="1:15" ht="75">
      <c r="A749" s="3" t="s">
        <v>10</v>
      </c>
      <c r="B749" s="3" t="s">
        <v>11</v>
      </c>
      <c r="C749" s="4">
        <v>2026</v>
      </c>
      <c r="D749" s="5" t="s">
        <v>12</v>
      </c>
      <c r="E749" s="4">
        <v>105</v>
      </c>
      <c r="F749" s="4" t="s">
        <v>116</v>
      </c>
      <c r="G749" s="4" t="s">
        <v>117</v>
      </c>
      <c r="H749" s="4" t="s">
        <v>15</v>
      </c>
      <c r="I749" s="4" t="s">
        <v>564</v>
      </c>
      <c r="J749" s="4" t="s">
        <v>206</v>
      </c>
      <c r="K749" s="4" t="s">
        <v>38</v>
      </c>
      <c r="L749" s="4" t="s">
        <v>3742</v>
      </c>
      <c r="M749" s="4" t="s">
        <v>3746</v>
      </c>
      <c r="N749" s="4" t="s">
        <v>3747</v>
      </c>
      <c r="O749" s="17">
        <f>INDEX('список ID из СУЭ с должностями'!$A:$F,MATCH(E749,'список ID из СУЭ с должностями'!$B:$B,0),5)</f>
        <v>0</v>
      </c>
    </row>
    <row r="750" spans="1:15" ht="75">
      <c r="A750" s="3" t="s">
        <v>10</v>
      </c>
      <c r="B750" s="3" t="s">
        <v>11</v>
      </c>
      <c r="C750" s="4">
        <v>2026</v>
      </c>
      <c r="D750" s="5" t="s">
        <v>12</v>
      </c>
      <c r="E750" s="4">
        <v>105</v>
      </c>
      <c r="F750" s="4" t="s">
        <v>116</v>
      </c>
      <c r="G750" s="4" t="s">
        <v>117</v>
      </c>
      <c r="H750" s="4" t="s">
        <v>21</v>
      </c>
      <c r="I750" s="4" t="s">
        <v>569</v>
      </c>
      <c r="J750" s="4" t="s">
        <v>1087</v>
      </c>
      <c r="K750" s="4" t="s">
        <v>35</v>
      </c>
      <c r="L750" s="4" t="s">
        <v>3742</v>
      </c>
      <c r="M750" s="4" t="s">
        <v>3746</v>
      </c>
      <c r="N750" s="4" t="s">
        <v>3747</v>
      </c>
      <c r="O750" s="17">
        <f>INDEX('список ID из СУЭ с должностями'!$A:$F,MATCH(E750,'список ID из СУЭ с должностями'!$B:$B,0),5)</f>
        <v>0</v>
      </c>
    </row>
    <row r="751" spans="1:15" ht="75">
      <c r="A751" s="3" t="s">
        <v>10</v>
      </c>
      <c r="B751" s="3" t="s">
        <v>11</v>
      </c>
      <c r="C751" s="4">
        <v>2026</v>
      </c>
      <c r="D751" s="5" t="s">
        <v>12</v>
      </c>
      <c r="E751" s="4">
        <v>105</v>
      </c>
      <c r="F751" s="4" t="s">
        <v>116</v>
      </c>
      <c r="G751" s="4" t="s">
        <v>117</v>
      </c>
      <c r="H751" s="4" t="s">
        <v>15</v>
      </c>
      <c r="I751" s="4" t="s">
        <v>570</v>
      </c>
      <c r="J751" s="4" t="s">
        <v>132</v>
      </c>
      <c r="K751" s="4" t="s">
        <v>23</v>
      </c>
      <c r="L751" s="4" t="s">
        <v>3742</v>
      </c>
      <c r="M751" s="4" t="s">
        <v>3748</v>
      </c>
      <c r="N751" s="4" t="s">
        <v>3752</v>
      </c>
      <c r="O751" s="17">
        <f>INDEX('список ID из СУЭ с должностями'!$A:$F,MATCH(E751,'список ID из СУЭ с должностями'!$B:$B,0),5)</f>
        <v>0</v>
      </c>
    </row>
    <row r="752" spans="1:15" ht="75">
      <c r="A752" s="3" t="s">
        <v>10</v>
      </c>
      <c r="B752" s="3" t="s">
        <v>11</v>
      </c>
      <c r="C752" s="4">
        <v>2026</v>
      </c>
      <c r="D752" s="5" t="s">
        <v>12</v>
      </c>
      <c r="E752" s="4">
        <v>105</v>
      </c>
      <c r="F752" s="4" t="s">
        <v>116</v>
      </c>
      <c r="G752" s="4" t="s">
        <v>117</v>
      </c>
      <c r="H752" s="4" t="s">
        <v>15</v>
      </c>
      <c r="I752" s="4" t="s">
        <v>573</v>
      </c>
      <c r="J752" s="4" t="s">
        <v>132</v>
      </c>
      <c r="K752" s="4" t="s">
        <v>52</v>
      </c>
      <c r="L752" s="4" t="s">
        <v>3742</v>
      </c>
      <c r="M752" s="4" t="s">
        <v>3746</v>
      </c>
      <c r="N752" s="4" t="s">
        <v>3747</v>
      </c>
      <c r="O752" s="17">
        <f>INDEX('список ID из СУЭ с должностями'!$A:$F,MATCH(E752,'список ID из СУЭ с должностями'!$B:$B,0),5)</f>
        <v>0</v>
      </c>
    </row>
    <row r="753" spans="1:15" ht="75">
      <c r="A753" s="3" t="s">
        <v>10</v>
      </c>
      <c r="B753" s="3" t="s">
        <v>11</v>
      </c>
      <c r="C753" s="4">
        <v>2026</v>
      </c>
      <c r="D753" s="5" t="s">
        <v>12</v>
      </c>
      <c r="E753" s="4">
        <v>105</v>
      </c>
      <c r="F753" s="4" t="s">
        <v>116</v>
      </c>
      <c r="G753" s="4" t="s">
        <v>117</v>
      </c>
      <c r="H753" s="4" t="s">
        <v>15</v>
      </c>
      <c r="I753" s="4" t="s">
        <v>1088</v>
      </c>
      <c r="J753" s="4" t="s">
        <v>1089</v>
      </c>
      <c r="K753" s="4" t="s">
        <v>310</v>
      </c>
      <c r="L753" s="4" t="s">
        <v>3743</v>
      </c>
      <c r="M753" s="4" t="s">
        <v>3746</v>
      </c>
      <c r="N753" s="4" t="s">
        <v>3755</v>
      </c>
      <c r="O753" s="17">
        <f>INDEX('список ID из СУЭ с должностями'!$A:$F,MATCH(E753,'список ID из СУЭ с должностями'!$B:$B,0),5)</f>
        <v>0</v>
      </c>
    </row>
    <row r="754" spans="1:15" ht="75">
      <c r="A754" s="3" t="s">
        <v>10</v>
      </c>
      <c r="B754" s="3" t="s">
        <v>11</v>
      </c>
      <c r="C754" s="4">
        <v>2026</v>
      </c>
      <c r="D754" s="5" t="s">
        <v>12</v>
      </c>
      <c r="E754" s="4">
        <v>105</v>
      </c>
      <c r="F754" s="4" t="s">
        <v>116</v>
      </c>
      <c r="G754" s="4" t="s">
        <v>117</v>
      </c>
      <c r="H754" s="4" t="s">
        <v>15</v>
      </c>
      <c r="I754" s="4" t="s">
        <v>1090</v>
      </c>
      <c r="J754" s="4" t="s">
        <v>1091</v>
      </c>
      <c r="K754" s="4" t="s">
        <v>312</v>
      </c>
      <c r="L754" s="4" t="s">
        <v>3742</v>
      </c>
      <c r="M754" s="4" t="s">
        <v>3746</v>
      </c>
      <c r="N754" s="4" t="s">
        <v>3755</v>
      </c>
      <c r="O754" s="17">
        <f>INDEX('список ID из СУЭ с должностями'!$A:$F,MATCH(E754,'список ID из СУЭ с должностями'!$B:$B,0),5)</f>
        <v>0</v>
      </c>
    </row>
    <row r="755" spans="1:15" ht="75">
      <c r="A755" s="3" t="s">
        <v>10</v>
      </c>
      <c r="B755" s="3" t="s">
        <v>11</v>
      </c>
      <c r="C755" s="4">
        <v>2026</v>
      </c>
      <c r="D755" s="5" t="s">
        <v>12</v>
      </c>
      <c r="E755" s="4">
        <v>105</v>
      </c>
      <c r="F755" s="4" t="s">
        <v>116</v>
      </c>
      <c r="G755" s="4" t="s">
        <v>117</v>
      </c>
      <c r="H755" s="4" t="s">
        <v>15</v>
      </c>
      <c r="I755" s="4" t="s">
        <v>1092</v>
      </c>
      <c r="J755" s="4" t="s">
        <v>132</v>
      </c>
      <c r="K755" s="4" t="s">
        <v>52</v>
      </c>
      <c r="L755" s="4" t="s">
        <v>3742</v>
      </c>
      <c r="M755" s="4" t="s">
        <v>3746</v>
      </c>
      <c r="N755" s="4" t="s">
        <v>3747</v>
      </c>
      <c r="O755" s="17">
        <f>INDEX('список ID из СУЭ с должностями'!$A:$F,MATCH(E755,'список ID из СУЭ с должностями'!$B:$B,0),5)</f>
        <v>0</v>
      </c>
    </row>
    <row r="756" spans="1:15" ht="60">
      <c r="A756" s="3" t="s">
        <v>10</v>
      </c>
      <c r="B756" s="3" t="s">
        <v>11</v>
      </c>
      <c r="C756" s="4">
        <v>2026</v>
      </c>
      <c r="D756" s="5" t="s">
        <v>12</v>
      </c>
      <c r="E756" s="4">
        <v>106</v>
      </c>
      <c r="F756" s="4" t="s">
        <v>217</v>
      </c>
      <c r="G756" s="4" t="s">
        <v>158</v>
      </c>
      <c r="H756" s="4" t="s">
        <v>41</v>
      </c>
      <c r="I756" s="4" t="s">
        <v>218</v>
      </c>
      <c r="J756" s="4" t="s">
        <v>219</v>
      </c>
      <c r="K756" s="4" t="s">
        <v>220</v>
      </c>
      <c r="L756" s="4" t="s">
        <v>3743</v>
      </c>
      <c r="M756" s="4" t="s">
        <v>3753</v>
      </c>
      <c r="N756" s="4" t="s">
        <v>3747</v>
      </c>
      <c r="O756" s="17">
        <f>INDEX('список ID из СУЭ с должностями'!$A:$F,MATCH(E756,'список ID из СУЭ с должностями'!$B:$B,0),5)</f>
        <v>0</v>
      </c>
    </row>
    <row r="757" spans="1:15" ht="105">
      <c r="A757" s="3" t="s">
        <v>10</v>
      </c>
      <c r="B757" s="3" t="s">
        <v>11</v>
      </c>
      <c r="C757" s="4">
        <v>2026</v>
      </c>
      <c r="D757" s="5" t="s">
        <v>12</v>
      </c>
      <c r="E757" s="4">
        <v>106</v>
      </c>
      <c r="F757" s="4" t="s">
        <v>217</v>
      </c>
      <c r="G757" s="4" t="s">
        <v>158</v>
      </c>
      <c r="H757" s="4" t="s">
        <v>21</v>
      </c>
      <c r="I757" s="4" t="s">
        <v>226</v>
      </c>
      <c r="J757" s="4" t="s">
        <v>1093</v>
      </c>
      <c r="K757" s="4" t="s">
        <v>25</v>
      </c>
      <c r="L757" s="4" t="s">
        <v>3743</v>
      </c>
      <c r="M757" s="4" t="s">
        <v>3746</v>
      </c>
      <c r="N757" s="4" t="s">
        <v>3747</v>
      </c>
      <c r="O757" s="17">
        <f>INDEX('список ID из СУЭ с должностями'!$A:$F,MATCH(E757,'список ID из СУЭ с должностями'!$B:$B,0),5)</f>
        <v>0</v>
      </c>
    </row>
    <row r="758" spans="1:15" ht="60">
      <c r="A758" s="3" t="s">
        <v>10</v>
      </c>
      <c r="B758" s="3" t="s">
        <v>11</v>
      </c>
      <c r="C758" s="4">
        <v>2026</v>
      </c>
      <c r="D758" s="5" t="s">
        <v>12</v>
      </c>
      <c r="E758" s="4">
        <v>106</v>
      </c>
      <c r="F758" s="4" t="s">
        <v>217</v>
      </c>
      <c r="G758" s="4" t="s">
        <v>158</v>
      </c>
      <c r="H758" s="4" t="s">
        <v>21</v>
      </c>
      <c r="I758" s="4" t="s">
        <v>1094</v>
      </c>
      <c r="J758" s="4" t="s">
        <v>1095</v>
      </c>
      <c r="K758" s="4" t="s">
        <v>151</v>
      </c>
      <c r="L758" s="4" t="s">
        <v>3743</v>
      </c>
      <c r="M758" s="4" t="s">
        <v>3746</v>
      </c>
      <c r="N758" s="4" t="s">
        <v>3747</v>
      </c>
      <c r="O758" s="17">
        <f>INDEX('список ID из СУЭ с должностями'!$A:$F,MATCH(E758,'список ID из СУЭ с должностями'!$B:$B,0),5)</f>
        <v>0</v>
      </c>
    </row>
    <row r="759" spans="1:15" ht="105">
      <c r="A759" s="3" t="s">
        <v>10</v>
      </c>
      <c r="B759" s="3" t="s">
        <v>11</v>
      </c>
      <c r="C759" s="4">
        <v>2026</v>
      </c>
      <c r="D759" s="5" t="s">
        <v>12</v>
      </c>
      <c r="E759" s="4">
        <v>106</v>
      </c>
      <c r="F759" s="4" t="s">
        <v>217</v>
      </c>
      <c r="G759" s="4" t="s">
        <v>158</v>
      </c>
      <c r="H759" s="4" t="s">
        <v>21</v>
      </c>
      <c r="I759" s="4" t="s">
        <v>231</v>
      </c>
      <c r="J759" s="4" t="s">
        <v>1096</v>
      </c>
      <c r="K759" s="4" t="s">
        <v>38</v>
      </c>
      <c r="L759" s="4" t="s">
        <v>3743</v>
      </c>
      <c r="M759" s="4" t="s">
        <v>3746</v>
      </c>
      <c r="N759" s="4" t="s">
        <v>3747</v>
      </c>
      <c r="O759" s="17">
        <f>INDEX('список ID из СУЭ с должностями'!$A:$F,MATCH(E759,'список ID из СУЭ с должностями'!$B:$B,0),5)</f>
        <v>0</v>
      </c>
    </row>
    <row r="760" spans="1:15" ht="60">
      <c r="A760" s="3" t="s">
        <v>10</v>
      </c>
      <c r="B760" s="3" t="s">
        <v>11</v>
      </c>
      <c r="C760" s="4">
        <v>2026</v>
      </c>
      <c r="D760" s="5" t="s">
        <v>12</v>
      </c>
      <c r="E760" s="4">
        <v>106</v>
      </c>
      <c r="F760" s="4" t="s">
        <v>217</v>
      </c>
      <c r="G760" s="4" t="s">
        <v>158</v>
      </c>
      <c r="H760" s="4" t="s">
        <v>21</v>
      </c>
      <c r="I760" s="4" t="s">
        <v>996</v>
      </c>
      <c r="J760" s="4" t="s">
        <v>1097</v>
      </c>
      <c r="K760" s="4" t="s">
        <v>25</v>
      </c>
      <c r="L760" s="4" t="s">
        <v>3743</v>
      </c>
      <c r="M760" s="4" t="s">
        <v>3746</v>
      </c>
      <c r="N760" s="4" t="s">
        <v>3747</v>
      </c>
      <c r="O760" s="17">
        <f>INDEX('список ID из СУЭ с должностями'!$A:$F,MATCH(E760,'список ID из СУЭ с должностями'!$B:$B,0),5)</f>
        <v>0</v>
      </c>
    </row>
    <row r="761" spans="1:15" ht="105">
      <c r="A761" s="3" t="s">
        <v>10</v>
      </c>
      <c r="B761" s="3" t="s">
        <v>11</v>
      </c>
      <c r="C761" s="4">
        <v>2026</v>
      </c>
      <c r="D761" s="5" t="s">
        <v>12</v>
      </c>
      <c r="E761" s="4">
        <v>106</v>
      </c>
      <c r="F761" s="4" t="s">
        <v>217</v>
      </c>
      <c r="G761" s="4" t="s">
        <v>158</v>
      </c>
      <c r="H761" s="4" t="s">
        <v>15</v>
      </c>
      <c r="I761" s="4" t="s">
        <v>223</v>
      </c>
      <c r="J761" s="4" t="s">
        <v>1098</v>
      </c>
      <c r="K761" s="4" t="s">
        <v>25</v>
      </c>
      <c r="L761" s="4" t="s">
        <v>3743</v>
      </c>
      <c r="M761" s="4" t="s">
        <v>3746</v>
      </c>
      <c r="N761" s="4" t="s">
        <v>3747</v>
      </c>
      <c r="O761" s="17">
        <f>INDEX('список ID из СУЭ с должностями'!$A:$F,MATCH(E761,'список ID из СУЭ с должностями'!$B:$B,0),5)</f>
        <v>0</v>
      </c>
    </row>
    <row r="762" spans="1:15" ht="135">
      <c r="A762" s="3" t="s">
        <v>10</v>
      </c>
      <c r="B762" s="3" t="s">
        <v>11</v>
      </c>
      <c r="C762" s="4">
        <v>2026</v>
      </c>
      <c r="D762" s="5" t="s">
        <v>12</v>
      </c>
      <c r="E762" s="4">
        <v>106</v>
      </c>
      <c r="F762" s="4" t="s">
        <v>217</v>
      </c>
      <c r="G762" s="4" t="s">
        <v>158</v>
      </c>
      <c r="H762" s="4" t="s">
        <v>15</v>
      </c>
      <c r="I762" s="4" t="s">
        <v>233</v>
      </c>
      <c r="J762" s="4" t="s">
        <v>1099</v>
      </c>
      <c r="K762" s="4" t="s">
        <v>35</v>
      </c>
      <c r="L762" s="4" t="s">
        <v>3743</v>
      </c>
      <c r="M762" s="4" t="s">
        <v>3746</v>
      </c>
      <c r="N762" s="4" t="s">
        <v>3747</v>
      </c>
      <c r="O762" s="17">
        <f>INDEX('список ID из СУЭ с должностями'!$A:$F,MATCH(E762,'список ID из СУЭ с должностями'!$B:$B,0),5)</f>
        <v>0</v>
      </c>
    </row>
    <row r="763" spans="1:15" ht="60">
      <c r="A763" s="3" t="s">
        <v>10</v>
      </c>
      <c r="B763" s="3" t="s">
        <v>11</v>
      </c>
      <c r="C763" s="4">
        <v>2026</v>
      </c>
      <c r="D763" s="5" t="s">
        <v>12</v>
      </c>
      <c r="E763" s="4">
        <v>106</v>
      </c>
      <c r="F763" s="4" t="s">
        <v>217</v>
      </c>
      <c r="G763" s="4" t="s">
        <v>158</v>
      </c>
      <c r="H763" s="4" t="s">
        <v>21</v>
      </c>
      <c r="I763" s="4" t="s">
        <v>1100</v>
      </c>
      <c r="J763" s="4" t="s">
        <v>1101</v>
      </c>
      <c r="K763" s="4" t="s">
        <v>151</v>
      </c>
      <c r="L763" s="4" t="s">
        <v>3743</v>
      </c>
      <c r="M763" s="4" t="s">
        <v>3746</v>
      </c>
      <c r="N763" s="4" t="s">
        <v>3747</v>
      </c>
      <c r="O763" s="17">
        <f>INDEX('список ID из СУЭ с должностями'!$A:$F,MATCH(E763,'список ID из СУЭ с должностями'!$B:$B,0),5)</f>
        <v>0</v>
      </c>
    </row>
    <row r="764" spans="1:15" ht="180">
      <c r="A764" s="3" t="s">
        <v>10</v>
      </c>
      <c r="B764" s="3" t="s">
        <v>11</v>
      </c>
      <c r="C764" s="4">
        <v>2026</v>
      </c>
      <c r="D764" s="5" t="s">
        <v>12</v>
      </c>
      <c r="E764" s="4">
        <v>106</v>
      </c>
      <c r="F764" s="4" t="s">
        <v>217</v>
      </c>
      <c r="G764" s="4" t="s">
        <v>158</v>
      </c>
      <c r="H764" s="4" t="s">
        <v>21</v>
      </c>
      <c r="I764" s="4" t="s">
        <v>237</v>
      </c>
      <c r="J764" s="4" t="s">
        <v>238</v>
      </c>
      <c r="K764" s="4" t="s">
        <v>151</v>
      </c>
      <c r="L764" s="4" t="s">
        <v>3743</v>
      </c>
      <c r="M764" s="4" t="s">
        <v>3746</v>
      </c>
      <c r="N764" s="4" t="s">
        <v>3747</v>
      </c>
      <c r="O764" s="17">
        <f>INDEX('список ID из СУЭ с должностями'!$A:$F,MATCH(E764,'список ID из СУЭ с должностями'!$B:$B,0),5)</f>
        <v>0</v>
      </c>
    </row>
    <row r="765" spans="1:15" ht="60">
      <c r="A765" s="3" t="s">
        <v>10</v>
      </c>
      <c r="B765" s="3" t="s">
        <v>11</v>
      </c>
      <c r="C765" s="4">
        <v>2026</v>
      </c>
      <c r="D765" s="5" t="s">
        <v>12</v>
      </c>
      <c r="E765" s="4">
        <v>106</v>
      </c>
      <c r="F765" s="4" t="s">
        <v>217</v>
      </c>
      <c r="G765" s="4" t="s">
        <v>158</v>
      </c>
      <c r="H765" s="4" t="s">
        <v>21</v>
      </c>
      <c r="I765" s="4" t="s">
        <v>235</v>
      </c>
      <c r="J765" s="4" t="s">
        <v>347</v>
      </c>
      <c r="K765" s="4" t="s">
        <v>52</v>
      </c>
      <c r="L765" s="4" t="s">
        <v>3743</v>
      </c>
      <c r="M765" s="4" t="s">
        <v>3746</v>
      </c>
      <c r="N765" s="4" t="s">
        <v>3747</v>
      </c>
      <c r="O765" s="17">
        <f>INDEX('список ID из СУЭ с должностями'!$A:$F,MATCH(E765,'список ID из СУЭ с должностями'!$B:$B,0),5)</f>
        <v>0</v>
      </c>
    </row>
    <row r="766" spans="1:15" ht="75">
      <c r="A766" s="3" t="s">
        <v>10</v>
      </c>
      <c r="B766" s="3" t="s">
        <v>11</v>
      </c>
      <c r="C766" s="4">
        <v>2026</v>
      </c>
      <c r="D766" s="5" t="s">
        <v>12</v>
      </c>
      <c r="E766" s="4">
        <v>107</v>
      </c>
      <c r="F766" s="4" t="s">
        <v>239</v>
      </c>
      <c r="G766" s="4" t="s">
        <v>1102</v>
      </c>
      <c r="H766" s="4" t="s">
        <v>15</v>
      </c>
      <c r="I766" s="4" t="s">
        <v>984</v>
      </c>
      <c r="J766" s="4" t="s">
        <v>1103</v>
      </c>
      <c r="K766" s="4" t="s">
        <v>66</v>
      </c>
      <c r="L766" s="4" t="s">
        <v>3742</v>
      </c>
      <c r="M766" s="4" t="s">
        <v>3746</v>
      </c>
      <c r="N766" s="4" t="s">
        <v>3747</v>
      </c>
      <c r="O766" s="17" t="str">
        <f>INDEX('список ID из СУЭ с должностями'!$A:$F,MATCH(E766,'список ID из СУЭ с должностями'!$B:$B,0),5)</f>
        <v>ИПП</v>
      </c>
    </row>
    <row r="767" spans="1:15" ht="150">
      <c r="A767" s="3" t="s">
        <v>10</v>
      </c>
      <c r="B767" s="3" t="s">
        <v>11</v>
      </c>
      <c r="C767" s="4">
        <v>2026</v>
      </c>
      <c r="D767" s="5" t="s">
        <v>12</v>
      </c>
      <c r="E767" s="4">
        <v>107</v>
      </c>
      <c r="F767" s="4" t="s">
        <v>239</v>
      </c>
      <c r="G767" s="4" t="s">
        <v>1102</v>
      </c>
      <c r="H767" s="4" t="s">
        <v>15</v>
      </c>
      <c r="I767" s="4" t="s">
        <v>975</v>
      </c>
      <c r="J767" s="4" t="s">
        <v>1104</v>
      </c>
      <c r="K767" s="4" t="s">
        <v>20</v>
      </c>
      <c r="L767" s="4" t="s">
        <v>3743</v>
      </c>
      <c r="M767" s="4" t="s">
        <v>3746</v>
      </c>
      <c r="N767" s="4" t="s">
        <v>3747</v>
      </c>
      <c r="O767" s="17" t="str">
        <f>INDEX('список ID из СУЭ с должностями'!$A:$F,MATCH(E767,'список ID из СУЭ с должностями'!$B:$B,0),5)</f>
        <v>ИПП</v>
      </c>
    </row>
    <row r="768" spans="1:15" ht="75">
      <c r="A768" s="3" t="s">
        <v>10</v>
      </c>
      <c r="B768" s="3" t="s">
        <v>11</v>
      </c>
      <c r="C768" s="4">
        <v>2026</v>
      </c>
      <c r="D768" s="5" t="s">
        <v>12</v>
      </c>
      <c r="E768" s="4">
        <v>107</v>
      </c>
      <c r="F768" s="4" t="s">
        <v>239</v>
      </c>
      <c r="G768" s="4" t="s">
        <v>1102</v>
      </c>
      <c r="H768" s="4" t="s">
        <v>15</v>
      </c>
      <c r="I768" s="4" t="s">
        <v>48</v>
      </c>
      <c r="J768" s="4" t="s">
        <v>187</v>
      </c>
      <c r="K768" s="4" t="s">
        <v>35</v>
      </c>
      <c r="L768" s="4" t="s">
        <v>3743</v>
      </c>
      <c r="M768" s="4" t="s">
        <v>3746</v>
      </c>
      <c r="N768" s="4" t="s">
        <v>3747</v>
      </c>
      <c r="O768" s="17" t="str">
        <f>INDEX('список ID из СУЭ с должностями'!$A:$F,MATCH(E768,'список ID из СУЭ с должностями'!$B:$B,0),5)</f>
        <v>ИПП</v>
      </c>
    </row>
    <row r="769" spans="1:15" ht="240">
      <c r="A769" s="3" t="s">
        <v>10</v>
      </c>
      <c r="B769" s="3" t="s">
        <v>11</v>
      </c>
      <c r="C769" s="4">
        <v>2026</v>
      </c>
      <c r="D769" s="5" t="s">
        <v>12</v>
      </c>
      <c r="E769" s="4">
        <v>107</v>
      </c>
      <c r="F769" s="4" t="s">
        <v>239</v>
      </c>
      <c r="G769" s="4" t="s">
        <v>1102</v>
      </c>
      <c r="H769" s="4" t="s">
        <v>15</v>
      </c>
      <c r="I769" s="4" t="s">
        <v>243</v>
      </c>
      <c r="J769" s="4" t="s">
        <v>1105</v>
      </c>
      <c r="K769" s="4" t="s">
        <v>38</v>
      </c>
      <c r="L769" s="4" t="s">
        <v>3743</v>
      </c>
      <c r="M769" s="4" t="s">
        <v>3746</v>
      </c>
      <c r="N769" s="4" t="s">
        <v>3747</v>
      </c>
      <c r="O769" s="17" t="str">
        <f>INDEX('список ID из СУЭ с должностями'!$A:$F,MATCH(E769,'список ID из СУЭ с должностями'!$B:$B,0),5)</f>
        <v>ИПП</v>
      </c>
    </row>
    <row r="770" spans="1:15" ht="75">
      <c r="A770" s="3" t="s">
        <v>10</v>
      </c>
      <c r="B770" s="3" t="s">
        <v>11</v>
      </c>
      <c r="C770" s="4">
        <v>2026</v>
      </c>
      <c r="D770" s="5" t="s">
        <v>12</v>
      </c>
      <c r="E770" s="4">
        <v>107</v>
      </c>
      <c r="F770" s="4" t="s">
        <v>239</v>
      </c>
      <c r="G770" s="4" t="s">
        <v>1102</v>
      </c>
      <c r="H770" s="4" t="s">
        <v>15</v>
      </c>
      <c r="I770" s="4" t="s">
        <v>1106</v>
      </c>
      <c r="J770" s="4" t="s">
        <v>1107</v>
      </c>
      <c r="K770" s="4" t="s">
        <v>151</v>
      </c>
      <c r="L770" s="4" t="s">
        <v>3743</v>
      </c>
      <c r="M770" s="4" t="s">
        <v>3746</v>
      </c>
      <c r="N770" s="4" t="s">
        <v>3747</v>
      </c>
      <c r="O770" s="17" t="str">
        <f>INDEX('список ID из СУЭ с должностями'!$A:$F,MATCH(E770,'список ID из СУЭ с должностями'!$B:$B,0),5)</f>
        <v>ИПП</v>
      </c>
    </row>
    <row r="771" spans="1:15" ht="75">
      <c r="A771" s="3" t="s">
        <v>10</v>
      </c>
      <c r="B771" s="3" t="s">
        <v>11</v>
      </c>
      <c r="C771" s="4">
        <v>2026</v>
      </c>
      <c r="D771" s="5" t="s">
        <v>12</v>
      </c>
      <c r="E771" s="4">
        <v>107</v>
      </c>
      <c r="F771" s="4" t="s">
        <v>239</v>
      </c>
      <c r="G771" s="4" t="s">
        <v>1102</v>
      </c>
      <c r="H771" s="4" t="s">
        <v>15</v>
      </c>
      <c r="I771" s="4" t="s">
        <v>1108</v>
      </c>
      <c r="J771" s="4" t="s">
        <v>196</v>
      </c>
      <c r="K771" s="4" t="s">
        <v>52</v>
      </c>
      <c r="L771" s="4" t="s">
        <v>3742</v>
      </c>
      <c r="M771" s="4" t="s">
        <v>3746</v>
      </c>
      <c r="N771" s="4" t="s">
        <v>3747</v>
      </c>
      <c r="O771" s="17" t="str">
        <f>INDEX('список ID из СУЭ с должностями'!$A:$F,MATCH(E771,'список ID из СУЭ с должностями'!$B:$B,0),5)</f>
        <v>ИПП</v>
      </c>
    </row>
    <row r="772" spans="1:15" ht="120">
      <c r="A772" s="3" t="s">
        <v>10</v>
      </c>
      <c r="B772" s="3" t="s">
        <v>11</v>
      </c>
      <c r="C772" s="4">
        <v>2026</v>
      </c>
      <c r="D772" s="5" t="s">
        <v>12</v>
      </c>
      <c r="E772" s="4">
        <v>108</v>
      </c>
      <c r="F772" s="4" t="s">
        <v>67</v>
      </c>
      <c r="G772" s="4" t="s">
        <v>85</v>
      </c>
      <c r="H772" s="4" t="s">
        <v>15</v>
      </c>
      <c r="I772" s="4" t="s">
        <v>86</v>
      </c>
      <c r="J772" s="4" t="s">
        <v>1109</v>
      </c>
      <c r="K772" s="4" t="s">
        <v>35</v>
      </c>
      <c r="L772" s="4" t="s">
        <v>3743</v>
      </c>
      <c r="M772" s="4" t="s">
        <v>3746</v>
      </c>
      <c r="N772" s="4" t="s">
        <v>3747</v>
      </c>
      <c r="O772" s="17">
        <f>INDEX('список ID из СУЭ с должностями'!$A:$F,MATCH(E772,'список ID из СУЭ с должностями'!$B:$B,0),5)</f>
        <v>0</v>
      </c>
    </row>
    <row r="773" spans="1:15" ht="75">
      <c r="A773" s="3" t="s">
        <v>10</v>
      </c>
      <c r="B773" s="3" t="s">
        <v>11</v>
      </c>
      <c r="C773" s="4">
        <v>2026</v>
      </c>
      <c r="D773" s="5" t="s">
        <v>12</v>
      </c>
      <c r="E773" s="4">
        <v>108</v>
      </c>
      <c r="F773" s="4" t="s">
        <v>67</v>
      </c>
      <c r="G773" s="4" t="s">
        <v>85</v>
      </c>
      <c r="H773" s="4" t="s">
        <v>41</v>
      </c>
      <c r="I773" s="4" t="s">
        <v>1110</v>
      </c>
      <c r="J773" s="4" t="s">
        <v>1111</v>
      </c>
      <c r="K773" s="4" t="s">
        <v>23</v>
      </c>
      <c r="L773" s="4" t="s">
        <v>3743</v>
      </c>
      <c r="M773" s="4" t="s">
        <v>3748</v>
      </c>
      <c r="N773" s="4" t="s">
        <v>3752</v>
      </c>
      <c r="O773" s="17">
        <f>INDEX('список ID из СУЭ с должностями'!$A:$F,MATCH(E773,'список ID из СУЭ с должностями'!$B:$B,0),5)</f>
        <v>0</v>
      </c>
    </row>
    <row r="774" spans="1:15" ht="75">
      <c r="A774" s="3" t="s">
        <v>10</v>
      </c>
      <c r="B774" s="3" t="s">
        <v>11</v>
      </c>
      <c r="C774" s="4">
        <v>2026</v>
      </c>
      <c r="D774" s="5" t="s">
        <v>12</v>
      </c>
      <c r="E774" s="4">
        <v>108</v>
      </c>
      <c r="F774" s="4" t="s">
        <v>67</v>
      </c>
      <c r="G774" s="4" t="s">
        <v>85</v>
      </c>
      <c r="H774" s="4" t="s">
        <v>15</v>
      </c>
      <c r="I774" s="4" t="s">
        <v>1112</v>
      </c>
      <c r="J774" s="4" t="s">
        <v>109</v>
      </c>
      <c r="K774" s="4" t="s">
        <v>30</v>
      </c>
      <c r="L774" s="4" t="s">
        <v>3742</v>
      </c>
      <c r="M774" s="4" t="s">
        <v>3746</v>
      </c>
      <c r="N774" s="4" t="s">
        <v>3747</v>
      </c>
      <c r="O774" s="17">
        <f>INDEX('список ID из СУЭ с должностями'!$A:$F,MATCH(E774,'список ID из СУЭ с должностями'!$B:$B,0),5)</f>
        <v>0</v>
      </c>
    </row>
    <row r="775" spans="1:15" ht="75">
      <c r="A775" s="3" t="s">
        <v>10</v>
      </c>
      <c r="B775" s="3" t="s">
        <v>11</v>
      </c>
      <c r="C775" s="4">
        <v>2026</v>
      </c>
      <c r="D775" s="5" t="s">
        <v>12</v>
      </c>
      <c r="E775" s="4">
        <v>108</v>
      </c>
      <c r="F775" s="4" t="s">
        <v>67</v>
      </c>
      <c r="G775" s="4" t="s">
        <v>85</v>
      </c>
      <c r="H775" s="4" t="s">
        <v>21</v>
      </c>
      <c r="I775" s="4" t="s">
        <v>1113</v>
      </c>
      <c r="J775" s="4" t="s">
        <v>277</v>
      </c>
      <c r="K775" s="4" t="s">
        <v>30</v>
      </c>
      <c r="L775" s="4" t="s">
        <v>3743</v>
      </c>
      <c r="M775" s="4" t="s">
        <v>3746</v>
      </c>
      <c r="N775" s="4" t="s">
        <v>3747</v>
      </c>
      <c r="O775" s="17">
        <f>INDEX('список ID из СУЭ с должностями'!$A:$F,MATCH(E775,'список ID из СУЭ с должностями'!$B:$B,0),5)</f>
        <v>0</v>
      </c>
    </row>
    <row r="776" spans="1:15" ht="75">
      <c r="A776" s="3" t="s">
        <v>10</v>
      </c>
      <c r="B776" s="3" t="s">
        <v>11</v>
      </c>
      <c r="C776" s="4">
        <v>2026</v>
      </c>
      <c r="D776" s="5" t="s">
        <v>12</v>
      </c>
      <c r="E776" s="4">
        <v>108</v>
      </c>
      <c r="F776" s="4" t="s">
        <v>67</v>
      </c>
      <c r="G776" s="4" t="s">
        <v>85</v>
      </c>
      <c r="H776" s="4" t="s">
        <v>15</v>
      </c>
      <c r="I776" s="4" t="s">
        <v>1114</v>
      </c>
      <c r="J776" s="4" t="s">
        <v>115</v>
      </c>
      <c r="K776" s="4" t="s">
        <v>30</v>
      </c>
      <c r="L776" s="4" t="s">
        <v>3742</v>
      </c>
      <c r="M776" s="4" t="s">
        <v>3746</v>
      </c>
      <c r="N776" s="4" t="s">
        <v>3747</v>
      </c>
      <c r="O776" s="17">
        <f>INDEX('список ID из СУЭ с должностями'!$A:$F,MATCH(E776,'список ID из СУЭ с должностями'!$B:$B,0),5)</f>
        <v>0</v>
      </c>
    </row>
    <row r="777" spans="1:15" ht="90">
      <c r="A777" s="3" t="s">
        <v>10</v>
      </c>
      <c r="B777" s="3" t="s">
        <v>11</v>
      </c>
      <c r="C777" s="4">
        <v>2026</v>
      </c>
      <c r="D777" s="5" t="s">
        <v>12</v>
      </c>
      <c r="E777" s="4">
        <v>109</v>
      </c>
      <c r="F777" s="4" t="s">
        <v>67</v>
      </c>
      <c r="G777" s="4" t="s">
        <v>85</v>
      </c>
      <c r="H777" s="4" t="s">
        <v>15</v>
      </c>
      <c r="I777" s="4" t="s">
        <v>86</v>
      </c>
      <c r="J777" s="4" t="s">
        <v>1115</v>
      </c>
      <c r="K777" s="4" t="s">
        <v>35</v>
      </c>
      <c r="L777" s="4" t="s">
        <v>3743</v>
      </c>
      <c r="M777" s="4" t="s">
        <v>3746</v>
      </c>
      <c r="N777" s="4" t="s">
        <v>3747</v>
      </c>
      <c r="O777" s="17">
        <f>INDEX('список ID из СУЭ с должностями'!$A:$F,MATCH(E777,'список ID из СУЭ с должностями'!$B:$B,0),5)</f>
        <v>0</v>
      </c>
    </row>
    <row r="778" spans="1:15" ht="90">
      <c r="A778" s="3" t="s">
        <v>10</v>
      </c>
      <c r="B778" s="3" t="s">
        <v>11</v>
      </c>
      <c r="C778" s="4">
        <v>2026</v>
      </c>
      <c r="D778" s="5" t="s">
        <v>12</v>
      </c>
      <c r="E778" s="4">
        <v>109</v>
      </c>
      <c r="F778" s="4" t="s">
        <v>67</v>
      </c>
      <c r="G778" s="4" t="s">
        <v>85</v>
      </c>
      <c r="H778" s="4" t="s">
        <v>21</v>
      </c>
      <c r="I778" s="4" t="s">
        <v>1116</v>
      </c>
      <c r="J778" s="4" t="s">
        <v>90</v>
      </c>
      <c r="K778" s="4" t="s">
        <v>30</v>
      </c>
      <c r="L778" s="4" t="s">
        <v>3743</v>
      </c>
      <c r="M778" s="4" t="s">
        <v>3746</v>
      </c>
      <c r="N778" s="4" t="s">
        <v>3747</v>
      </c>
      <c r="O778" s="17">
        <f>INDEX('список ID из СУЭ с должностями'!$A:$F,MATCH(E778,'список ID из СУЭ с должностями'!$B:$B,0),5)</f>
        <v>0</v>
      </c>
    </row>
    <row r="779" spans="1:15" ht="105">
      <c r="A779" s="3" t="s">
        <v>10</v>
      </c>
      <c r="B779" s="3" t="s">
        <v>11</v>
      </c>
      <c r="C779" s="4">
        <v>2026</v>
      </c>
      <c r="D779" s="5" t="s">
        <v>12</v>
      </c>
      <c r="E779" s="4">
        <v>109</v>
      </c>
      <c r="F779" s="4" t="s">
        <v>67</v>
      </c>
      <c r="G779" s="4" t="s">
        <v>85</v>
      </c>
      <c r="H779" s="4" t="s">
        <v>21</v>
      </c>
      <c r="I779" s="4" t="s">
        <v>1117</v>
      </c>
      <c r="J779" s="4" t="s">
        <v>1118</v>
      </c>
      <c r="K779" s="4" t="s">
        <v>30</v>
      </c>
      <c r="L779" s="4" t="s">
        <v>3743</v>
      </c>
      <c r="M779" s="4" t="s">
        <v>3746</v>
      </c>
      <c r="N779" s="4" t="s">
        <v>3747</v>
      </c>
      <c r="O779" s="17">
        <f>INDEX('список ID из СУЭ с должностями'!$A:$F,MATCH(E779,'список ID из СУЭ с должностями'!$B:$B,0),5)</f>
        <v>0</v>
      </c>
    </row>
    <row r="780" spans="1:15" ht="75">
      <c r="A780" s="3" t="s">
        <v>10</v>
      </c>
      <c r="B780" s="3" t="s">
        <v>11</v>
      </c>
      <c r="C780" s="4">
        <v>2026</v>
      </c>
      <c r="D780" s="5" t="s">
        <v>12</v>
      </c>
      <c r="E780" s="4">
        <v>109</v>
      </c>
      <c r="F780" s="4" t="s">
        <v>67</v>
      </c>
      <c r="G780" s="4" t="s">
        <v>85</v>
      </c>
      <c r="H780" s="4" t="s">
        <v>21</v>
      </c>
      <c r="I780" s="4" t="s">
        <v>1119</v>
      </c>
      <c r="J780" s="4" t="s">
        <v>1120</v>
      </c>
      <c r="K780" s="4" t="s">
        <v>30</v>
      </c>
      <c r="L780" s="4" t="s">
        <v>3743</v>
      </c>
      <c r="M780" s="4" t="s">
        <v>3746</v>
      </c>
      <c r="N780" s="4" t="s">
        <v>3747</v>
      </c>
      <c r="O780" s="17">
        <f>INDEX('список ID из СУЭ с должностями'!$A:$F,MATCH(E780,'список ID из СУЭ с должностями'!$B:$B,0),5)</f>
        <v>0</v>
      </c>
    </row>
    <row r="781" spans="1:15" ht="165">
      <c r="A781" s="3" t="s">
        <v>10</v>
      </c>
      <c r="B781" s="3" t="s">
        <v>11</v>
      </c>
      <c r="C781" s="4">
        <v>2026</v>
      </c>
      <c r="D781" s="5" t="s">
        <v>12</v>
      </c>
      <c r="E781" s="4">
        <v>109</v>
      </c>
      <c r="F781" s="4" t="s">
        <v>67</v>
      </c>
      <c r="G781" s="4" t="s">
        <v>85</v>
      </c>
      <c r="H781" s="4" t="s">
        <v>21</v>
      </c>
      <c r="I781" s="4" t="s">
        <v>1121</v>
      </c>
      <c r="J781" s="4" t="s">
        <v>1122</v>
      </c>
      <c r="K781" s="4" t="s">
        <v>30</v>
      </c>
      <c r="L781" s="4" t="s">
        <v>3743</v>
      </c>
      <c r="M781" s="4" t="s">
        <v>3746</v>
      </c>
      <c r="N781" s="4" t="s">
        <v>3747</v>
      </c>
      <c r="O781" s="17">
        <f>INDEX('список ID из СУЭ с должностями'!$A:$F,MATCH(E781,'список ID из СУЭ с должностями'!$B:$B,0),5)</f>
        <v>0</v>
      </c>
    </row>
    <row r="782" spans="1:15" ht="195">
      <c r="A782" s="3" t="s">
        <v>10</v>
      </c>
      <c r="B782" s="3" t="s">
        <v>11</v>
      </c>
      <c r="C782" s="4">
        <v>2026</v>
      </c>
      <c r="D782" s="5" t="s">
        <v>12</v>
      </c>
      <c r="E782" s="4">
        <v>109</v>
      </c>
      <c r="F782" s="4" t="s">
        <v>67</v>
      </c>
      <c r="G782" s="4" t="s">
        <v>85</v>
      </c>
      <c r="H782" s="4" t="s">
        <v>21</v>
      </c>
      <c r="I782" s="4" t="s">
        <v>1123</v>
      </c>
      <c r="J782" s="4" t="s">
        <v>92</v>
      </c>
      <c r="K782" s="4" t="s">
        <v>30</v>
      </c>
      <c r="L782" s="4" t="s">
        <v>3743</v>
      </c>
      <c r="M782" s="4" t="s">
        <v>3746</v>
      </c>
      <c r="N782" s="4" t="s">
        <v>3747</v>
      </c>
      <c r="O782" s="17">
        <f>INDEX('список ID из СУЭ с должностями'!$A:$F,MATCH(E782,'список ID из СУЭ с должностями'!$B:$B,0),5)</f>
        <v>0</v>
      </c>
    </row>
    <row r="783" spans="1:15" ht="60">
      <c r="A783" s="3" t="s">
        <v>10</v>
      </c>
      <c r="B783" s="3" t="s">
        <v>11</v>
      </c>
      <c r="C783" s="4">
        <v>2026</v>
      </c>
      <c r="D783" s="5" t="s">
        <v>12</v>
      </c>
      <c r="E783" s="4">
        <v>110</v>
      </c>
      <c r="F783" s="4" t="s">
        <v>280</v>
      </c>
      <c r="G783" s="4" t="s">
        <v>474</v>
      </c>
      <c r="H783" s="4" t="s">
        <v>21</v>
      </c>
      <c r="I783" s="4" t="s">
        <v>480</v>
      </c>
      <c r="J783" s="4" t="s">
        <v>481</v>
      </c>
      <c r="K783" s="4" t="s">
        <v>52</v>
      </c>
      <c r="L783" s="4" t="s">
        <v>3743</v>
      </c>
      <c r="M783" s="4" t="s">
        <v>3746</v>
      </c>
      <c r="N783" s="4" t="s">
        <v>3747</v>
      </c>
      <c r="O783" s="17">
        <f>INDEX('список ID из СУЭ с должностями'!$A:$F,MATCH(E783,'список ID из СУЭ с должностями'!$B:$B,0),5)</f>
        <v>0</v>
      </c>
    </row>
    <row r="784" spans="1:15" ht="60">
      <c r="A784" s="3" t="s">
        <v>10</v>
      </c>
      <c r="B784" s="3" t="s">
        <v>11</v>
      </c>
      <c r="C784" s="4">
        <v>2026</v>
      </c>
      <c r="D784" s="5" t="s">
        <v>12</v>
      </c>
      <c r="E784" s="4">
        <v>110</v>
      </c>
      <c r="F784" s="4" t="s">
        <v>280</v>
      </c>
      <c r="G784" s="4" t="s">
        <v>474</v>
      </c>
      <c r="H784" s="4" t="s">
        <v>21</v>
      </c>
      <c r="I784" s="4" t="s">
        <v>475</v>
      </c>
      <c r="J784" s="4" t="s">
        <v>476</v>
      </c>
      <c r="K784" s="4" t="s">
        <v>52</v>
      </c>
      <c r="L784" s="4" t="s">
        <v>3743</v>
      </c>
      <c r="M784" s="4" t="s">
        <v>3746</v>
      </c>
      <c r="N784" s="4" t="s">
        <v>3747</v>
      </c>
      <c r="O784" s="17">
        <f>INDEX('список ID из СУЭ с должностями'!$A:$F,MATCH(E784,'список ID из СУЭ с должностями'!$B:$B,0),5)</f>
        <v>0</v>
      </c>
    </row>
    <row r="785" spans="1:15" ht="60">
      <c r="A785" s="3" t="s">
        <v>10</v>
      </c>
      <c r="B785" s="3" t="s">
        <v>11</v>
      </c>
      <c r="C785" s="4">
        <v>2026</v>
      </c>
      <c r="D785" s="5" t="s">
        <v>12</v>
      </c>
      <c r="E785" s="4">
        <v>110</v>
      </c>
      <c r="F785" s="4" t="s">
        <v>280</v>
      </c>
      <c r="G785" s="4" t="s">
        <v>474</v>
      </c>
      <c r="H785" s="4" t="s">
        <v>21</v>
      </c>
      <c r="I785" s="4" t="s">
        <v>478</v>
      </c>
      <c r="J785" s="4" t="s">
        <v>479</v>
      </c>
      <c r="K785" s="4" t="s">
        <v>52</v>
      </c>
      <c r="L785" s="4" t="s">
        <v>3743</v>
      </c>
      <c r="M785" s="4" t="s">
        <v>3746</v>
      </c>
      <c r="N785" s="4" t="s">
        <v>3747</v>
      </c>
      <c r="O785" s="17">
        <f>INDEX('список ID из СУЭ с должностями'!$A:$F,MATCH(E785,'список ID из СУЭ с должностями'!$B:$B,0),5)</f>
        <v>0</v>
      </c>
    </row>
    <row r="786" spans="1:15" ht="60">
      <c r="A786" s="3" t="s">
        <v>10</v>
      </c>
      <c r="B786" s="3" t="s">
        <v>11</v>
      </c>
      <c r="C786" s="4">
        <v>2026</v>
      </c>
      <c r="D786" s="5" t="s">
        <v>12</v>
      </c>
      <c r="E786" s="4">
        <v>110</v>
      </c>
      <c r="F786" s="4" t="s">
        <v>280</v>
      </c>
      <c r="G786" s="4" t="s">
        <v>474</v>
      </c>
      <c r="H786" s="4" t="s">
        <v>21</v>
      </c>
      <c r="I786" s="4" t="s">
        <v>482</v>
      </c>
      <c r="J786" s="4" t="s">
        <v>483</v>
      </c>
      <c r="K786" s="4" t="s">
        <v>52</v>
      </c>
      <c r="L786" s="4" t="s">
        <v>3743</v>
      </c>
      <c r="M786" s="4" t="s">
        <v>3746</v>
      </c>
      <c r="N786" s="4" t="s">
        <v>3747</v>
      </c>
      <c r="O786" s="17">
        <f>INDEX('список ID из СУЭ с должностями'!$A:$F,MATCH(E786,'список ID из СУЭ с должностями'!$B:$B,0),5)</f>
        <v>0</v>
      </c>
    </row>
    <row r="787" spans="1:15" ht="60">
      <c r="A787" s="3" t="s">
        <v>10</v>
      </c>
      <c r="B787" s="3" t="s">
        <v>11</v>
      </c>
      <c r="C787" s="4">
        <v>2026</v>
      </c>
      <c r="D787" s="5" t="s">
        <v>12</v>
      </c>
      <c r="E787" s="4">
        <v>110</v>
      </c>
      <c r="F787" s="4" t="s">
        <v>280</v>
      </c>
      <c r="G787" s="4" t="s">
        <v>474</v>
      </c>
      <c r="H787" s="4" t="s">
        <v>21</v>
      </c>
      <c r="I787" s="4" t="s">
        <v>484</v>
      </c>
      <c r="J787" s="4" t="s">
        <v>483</v>
      </c>
      <c r="K787" s="4" t="s">
        <v>52</v>
      </c>
      <c r="L787" s="4" t="s">
        <v>3743</v>
      </c>
      <c r="M787" s="4" t="s">
        <v>3746</v>
      </c>
      <c r="N787" s="4" t="s">
        <v>3747</v>
      </c>
      <c r="O787" s="17">
        <f>INDEX('список ID из СУЭ с должностями'!$A:$F,MATCH(E787,'список ID из СУЭ с должностями'!$B:$B,0),5)</f>
        <v>0</v>
      </c>
    </row>
    <row r="788" spans="1:15" ht="60">
      <c r="A788" s="3" t="s">
        <v>10</v>
      </c>
      <c r="B788" s="3" t="s">
        <v>11</v>
      </c>
      <c r="C788" s="4">
        <v>2026</v>
      </c>
      <c r="D788" s="5" t="s">
        <v>12</v>
      </c>
      <c r="E788" s="4">
        <v>110</v>
      </c>
      <c r="F788" s="4" t="s">
        <v>280</v>
      </c>
      <c r="G788" s="4" t="s">
        <v>474</v>
      </c>
      <c r="H788" s="4" t="s">
        <v>21</v>
      </c>
      <c r="I788" s="4" t="s">
        <v>485</v>
      </c>
      <c r="J788" s="4" t="s">
        <v>486</v>
      </c>
      <c r="K788" s="4" t="s">
        <v>52</v>
      </c>
      <c r="L788" s="4" t="s">
        <v>3743</v>
      </c>
      <c r="M788" s="4" t="s">
        <v>3746</v>
      </c>
      <c r="N788" s="4" t="s">
        <v>3747</v>
      </c>
      <c r="O788" s="17">
        <f>INDEX('список ID из СУЭ с должностями'!$A:$F,MATCH(E788,'список ID из СУЭ с должностями'!$B:$B,0),5)</f>
        <v>0</v>
      </c>
    </row>
    <row r="789" spans="1:15" ht="60">
      <c r="A789" s="3" t="s">
        <v>10</v>
      </c>
      <c r="B789" s="3" t="s">
        <v>11</v>
      </c>
      <c r="C789" s="4">
        <v>2026</v>
      </c>
      <c r="D789" s="5" t="s">
        <v>12</v>
      </c>
      <c r="E789" s="4">
        <v>110</v>
      </c>
      <c r="F789" s="4" t="s">
        <v>280</v>
      </c>
      <c r="G789" s="4" t="s">
        <v>474</v>
      </c>
      <c r="H789" s="4" t="s">
        <v>21</v>
      </c>
      <c r="I789" s="4" t="s">
        <v>487</v>
      </c>
      <c r="J789" s="4" t="s">
        <v>483</v>
      </c>
      <c r="K789" s="4" t="s">
        <v>66</v>
      </c>
      <c r="L789" s="4" t="s">
        <v>3743</v>
      </c>
      <c r="M789" s="4" t="s">
        <v>3746</v>
      </c>
      <c r="N789" s="4" t="s">
        <v>3747</v>
      </c>
      <c r="O789" s="17">
        <f>INDEX('список ID из СУЭ с должностями'!$A:$F,MATCH(E789,'список ID из СУЭ с должностями'!$B:$B,0),5)</f>
        <v>0</v>
      </c>
    </row>
    <row r="790" spans="1:15" ht="105">
      <c r="A790" s="3" t="s">
        <v>10</v>
      </c>
      <c r="B790" s="3" t="s">
        <v>11</v>
      </c>
      <c r="C790" s="4">
        <v>2026</v>
      </c>
      <c r="D790" s="5" t="s">
        <v>12</v>
      </c>
      <c r="E790" s="4">
        <v>111</v>
      </c>
      <c r="F790" s="4" t="s">
        <v>385</v>
      </c>
      <c r="G790" s="4" t="s">
        <v>99</v>
      </c>
      <c r="H790" s="4" t="s">
        <v>21</v>
      </c>
      <c r="I790" s="4" t="s">
        <v>1124</v>
      </c>
      <c r="J790" s="4" t="s">
        <v>1125</v>
      </c>
      <c r="K790" s="4" t="s">
        <v>220</v>
      </c>
      <c r="L790" s="4" t="s">
        <v>3743</v>
      </c>
      <c r="M790" s="4" t="s">
        <v>3753</v>
      </c>
      <c r="N790" s="4" t="s">
        <v>3747</v>
      </c>
      <c r="O790" s="17">
        <f>INDEX('список ID из СУЭ с должностями'!$A:$F,MATCH(E790,'список ID из СУЭ с должностями'!$B:$B,0),5)</f>
        <v>0</v>
      </c>
    </row>
    <row r="791" spans="1:15" ht="105">
      <c r="A791" s="3" t="s">
        <v>10</v>
      </c>
      <c r="B791" s="3" t="s">
        <v>11</v>
      </c>
      <c r="C791" s="4">
        <v>2026</v>
      </c>
      <c r="D791" s="5" t="s">
        <v>12</v>
      </c>
      <c r="E791" s="4">
        <v>111</v>
      </c>
      <c r="F791" s="4" t="s">
        <v>385</v>
      </c>
      <c r="G791" s="4" t="s">
        <v>99</v>
      </c>
      <c r="H791" s="4" t="s">
        <v>15</v>
      </c>
      <c r="I791" s="4" t="s">
        <v>86</v>
      </c>
      <c r="J791" s="4" t="s">
        <v>1126</v>
      </c>
      <c r="K791" s="4" t="s">
        <v>35</v>
      </c>
      <c r="L791" s="4" t="s">
        <v>3743</v>
      </c>
      <c r="M791" s="4" t="s">
        <v>3746</v>
      </c>
      <c r="N791" s="4" t="s">
        <v>3747</v>
      </c>
      <c r="O791" s="17">
        <f>INDEX('список ID из СУЭ с должностями'!$A:$F,MATCH(E791,'список ID из СУЭ с должностями'!$B:$B,0),5)</f>
        <v>0</v>
      </c>
    </row>
    <row r="792" spans="1:15" ht="105">
      <c r="A792" s="3" t="s">
        <v>10</v>
      </c>
      <c r="B792" s="3" t="s">
        <v>11</v>
      </c>
      <c r="C792" s="4">
        <v>2026</v>
      </c>
      <c r="D792" s="5" t="s">
        <v>12</v>
      </c>
      <c r="E792" s="4">
        <v>111</v>
      </c>
      <c r="F792" s="4" t="s">
        <v>385</v>
      </c>
      <c r="G792" s="4" t="s">
        <v>99</v>
      </c>
      <c r="H792" s="4" t="s">
        <v>15</v>
      </c>
      <c r="I792" s="4" t="s">
        <v>1127</v>
      </c>
      <c r="J792" s="4" t="s">
        <v>1128</v>
      </c>
      <c r="K792" s="4" t="s">
        <v>30</v>
      </c>
      <c r="L792" s="4" t="s">
        <v>3743</v>
      </c>
      <c r="M792" s="4" t="s">
        <v>3746</v>
      </c>
      <c r="N792" s="4" t="s">
        <v>3747</v>
      </c>
      <c r="O792" s="17">
        <f>INDEX('список ID из СУЭ с должностями'!$A:$F,MATCH(E792,'список ID из СУЭ с должностями'!$B:$B,0),5)</f>
        <v>0</v>
      </c>
    </row>
    <row r="793" spans="1:15" ht="105">
      <c r="A793" s="3" t="s">
        <v>10</v>
      </c>
      <c r="B793" s="3" t="s">
        <v>11</v>
      </c>
      <c r="C793" s="4">
        <v>2026</v>
      </c>
      <c r="D793" s="5" t="s">
        <v>12</v>
      </c>
      <c r="E793" s="4">
        <v>111</v>
      </c>
      <c r="F793" s="4" t="s">
        <v>385</v>
      </c>
      <c r="G793" s="4" t="s">
        <v>99</v>
      </c>
      <c r="H793" s="4" t="s">
        <v>21</v>
      </c>
      <c r="I793" s="4" t="s">
        <v>1129</v>
      </c>
      <c r="J793" s="4" t="s">
        <v>1130</v>
      </c>
      <c r="K793" s="4" t="s">
        <v>311</v>
      </c>
      <c r="L793" s="4" t="s">
        <v>3742</v>
      </c>
      <c r="M793" s="4" t="s">
        <v>3746</v>
      </c>
      <c r="N793" s="4" t="s">
        <v>3755</v>
      </c>
      <c r="O793" s="17">
        <f>INDEX('список ID из СУЭ с должностями'!$A:$F,MATCH(E793,'список ID из СУЭ с должностями'!$B:$B,0),5)</f>
        <v>0</v>
      </c>
    </row>
    <row r="794" spans="1:15" ht="75">
      <c r="A794" s="3" t="s">
        <v>10</v>
      </c>
      <c r="B794" s="3" t="s">
        <v>11</v>
      </c>
      <c r="C794" s="4">
        <v>2026</v>
      </c>
      <c r="D794" s="5" t="s">
        <v>12</v>
      </c>
      <c r="E794" s="4">
        <v>112</v>
      </c>
      <c r="F794" s="4" t="s">
        <v>102</v>
      </c>
      <c r="G794" s="4" t="s">
        <v>103</v>
      </c>
      <c r="H794" s="4" t="s">
        <v>15</v>
      </c>
      <c r="I794" s="4" t="s">
        <v>36</v>
      </c>
      <c r="J794" s="4" t="s">
        <v>1131</v>
      </c>
      <c r="K794" s="4" t="s">
        <v>38</v>
      </c>
      <c r="L794" s="4" t="s">
        <v>3743</v>
      </c>
      <c r="M794" s="4" t="s">
        <v>3746</v>
      </c>
      <c r="N794" s="4" t="s">
        <v>3747</v>
      </c>
      <c r="O794" s="17">
        <f>INDEX('список ID из СУЭ с должностями'!$A:$F,MATCH(E794,'список ID из СУЭ с должностями'!$B:$B,0),5)</f>
        <v>0</v>
      </c>
    </row>
    <row r="795" spans="1:15" ht="409.5">
      <c r="A795" s="3" t="s">
        <v>10</v>
      </c>
      <c r="B795" s="3" t="s">
        <v>11</v>
      </c>
      <c r="C795" s="4">
        <v>2026</v>
      </c>
      <c r="D795" s="5" t="s">
        <v>12</v>
      </c>
      <c r="E795" s="4">
        <v>112</v>
      </c>
      <c r="F795" s="4" t="s">
        <v>102</v>
      </c>
      <c r="G795" s="4" t="s">
        <v>103</v>
      </c>
      <c r="H795" s="4" t="s">
        <v>21</v>
      </c>
      <c r="I795" s="4" t="s">
        <v>120</v>
      </c>
      <c r="J795" s="4" t="s">
        <v>1132</v>
      </c>
      <c r="K795" s="4" t="s">
        <v>30</v>
      </c>
      <c r="L795" s="4" t="s">
        <v>3743</v>
      </c>
      <c r="M795" s="4" t="s">
        <v>3746</v>
      </c>
      <c r="N795" s="4" t="s">
        <v>3747</v>
      </c>
      <c r="O795" s="17">
        <f>INDEX('список ID из СУЭ с должностями'!$A:$F,MATCH(E795,'список ID из СУЭ с должностями'!$B:$B,0),5)</f>
        <v>0</v>
      </c>
    </row>
    <row r="796" spans="1:15" ht="75">
      <c r="A796" s="3" t="s">
        <v>10</v>
      </c>
      <c r="B796" s="3" t="s">
        <v>11</v>
      </c>
      <c r="C796" s="4">
        <v>2026</v>
      </c>
      <c r="D796" s="5" t="s">
        <v>12</v>
      </c>
      <c r="E796" s="4">
        <v>112</v>
      </c>
      <c r="F796" s="4" t="s">
        <v>102</v>
      </c>
      <c r="G796" s="4" t="s">
        <v>103</v>
      </c>
      <c r="H796" s="4" t="s">
        <v>21</v>
      </c>
      <c r="I796" s="4" t="s">
        <v>1133</v>
      </c>
      <c r="J796" s="4" t="s">
        <v>1134</v>
      </c>
      <c r="K796" s="4" t="s">
        <v>311</v>
      </c>
      <c r="L796" s="4" t="s">
        <v>3742</v>
      </c>
      <c r="M796" s="4" t="s">
        <v>3746</v>
      </c>
      <c r="N796" s="4" t="s">
        <v>3755</v>
      </c>
      <c r="O796" s="17">
        <f>INDEX('список ID из СУЭ с должностями'!$A:$F,MATCH(E796,'список ID из СУЭ с должностями'!$B:$B,0),5)</f>
        <v>0</v>
      </c>
    </row>
    <row r="797" spans="1:15" ht="390">
      <c r="A797" s="3" t="s">
        <v>10</v>
      </c>
      <c r="B797" s="3" t="s">
        <v>11</v>
      </c>
      <c r="C797" s="4">
        <v>2026</v>
      </c>
      <c r="D797" s="5" t="s">
        <v>12</v>
      </c>
      <c r="E797" s="4">
        <v>112</v>
      </c>
      <c r="F797" s="4" t="s">
        <v>102</v>
      </c>
      <c r="G797" s="4" t="s">
        <v>103</v>
      </c>
      <c r="H797" s="4" t="s">
        <v>21</v>
      </c>
      <c r="I797" s="4" t="s">
        <v>1135</v>
      </c>
      <c r="J797" s="4" t="s">
        <v>1136</v>
      </c>
      <c r="K797" s="4" t="s">
        <v>311</v>
      </c>
      <c r="L797" s="4" t="s">
        <v>3743</v>
      </c>
      <c r="M797" s="4" t="s">
        <v>3746</v>
      </c>
      <c r="N797" s="4" t="s">
        <v>3755</v>
      </c>
      <c r="O797" s="17">
        <f>INDEX('список ID из СУЭ с должностями'!$A:$F,MATCH(E797,'список ID из СУЭ с должностями'!$B:$B,0),5)</f>
        <v>0</v>
      </c>
    </row>
    <row r="798" spans="1:15" ht="75">
      <c r="A798" s="3" t="s">
        <v>10</v>
      </c>
      <c r="B798" s="3" t="s">
        <v>11</v>
      </c>
      <c r="C798" s="4">
        <v>2026</v>
      </c>
      <c r="D798" s="5" t="s">
        <v>12</v>
      </c>
      <c r="E798" s="4">
        <v>112</v>
      </c>
      <c r="F798" s="4" t="s">
        <v>102</v>
      </c>
      <c r="G798" s="4" t="s">
        <v>103</v>
      </c>
      <c r="H798" s="4" t="s">
        <v>15</v>
      </c>
      <c r="I798" s="4" t="s">
        <v>1137</v>
      </c>
      <c r="J798" s="4" t="s">
        <v>109</v>
      </c>
      <c r="K798" s="4" t="s">
        <v>312</v>
      </c>
      <c r="L798" s="4" t="s">
        <v>3742</v>
      </c>
      <c r="M798" s="4" t="s">
        <v>3746</v>
      </c>
      <c r="N798" s="4" t="s">
        <v>3755</v>
      </c>
      <c r="O798" s="17">
        <f>INDEX('список ID из СУЭ с должностями'!$A:$F,MATCH(E798,'список ID из СУЭ с должностями'!$B:$B,0),5)</f>
        <v>0</v>
      </c>
    </row>
    <row r="799" spans="1:15" ht="75">
      <c r="A799" s="3" t="s">
        <v>10</v>
      </c>
      <c r="B799" s="3" t="s">
        <v>11</v>
      </c>
      <c r="C799" s="4">
        <v>2026</v>
      </c>
      <c r="D799" s="5" t="s">
        <v>12</v>
      </c>
      <c r="E799" s="4">
        <v>112</v>
      </c>
      <c r="F799" s="4" t="s">
        <v>102</v>
      </c>
      <c r="G799" s="4" t="s">
        <v>103</v>
      </c>
      <c r="H799" s="4" t="s">
        <v>21</v>
      </c>
      <c r="I799" s="4" t="s">
        <v>313</v>
      </c>
      <c r="J799" s="4" t="s">
        <v>314</v>
      </c>
      <c r="K799" s="4" t="s">
        <v>312</v>
      </c>
      <c r="L799" s="4" t="s">
        <v>3742</v>
      </c>
      <c r="M799" s="4" t="s">
        <v>3746</v>
      </c>
      <c r="N799" s="4" t="s">
        <v>3755</v>
      </c>
      <c r="O799" s="17">
        <f>INDEX('список ID из СУЭ с должностями'!$A:$F,MATCH(E799,'список ID из СУЭ с должностями'!$B:$B,0),5)</f>
        <v>0</v>
      </c>
    </row>
    <row r="800" spans="1:15" ht="75">
      <c r="A800" s="3" t="s">
        <v>10</v>
      </c>
      <c r="B800" s="3" t="s">
        <v>11</v>
      </c>
      <c r="C800" s="4">
        <v>2026</v>
      </c>
      <c r="D800" s="5" t="s">
        <v>12</v>
      </c>
      <c r="E800" s="4">
        <v>112</v>
      </c>
      <c r="F800" s="4" t="s">
        <v>102</v>
      </c>
      <c r="G800" s="4" t="s">
        <v>103</v>
      </c>
      <c r="H800" s="4" t="s">
        <v>15</v>
      </c>
      <c r="I800" s="4" t="s">
        <v>110</v>
      </c>
      <c r="J800" s="4" t="s">
        <v>832</v>
      </c>
      <c r="K800" s="4" t="s">
        <v>66</v>
      </c>
      <c r="L800" s="4" t="s">
        <v>3742</v>
      </c>
      <c r="M800" s="4" t="s">
        <v>3746</v>
      </c>
      <c r="N800" s="4" t="s">
        <v>3747</v>
      </c>
      <c r="O800" s="17">
        <f>INDEX('список ID из СУЭ с должностями'!$A:$F,MATCH(E800,'список ID из СУЭ с должностями'!$B:$B,0),5)</f>
        <v>0</v>
      </c>
    </row>
    <row r="801" spans="1:15" ht="75">
      <c r="A801" s="3" t="s">
        <v>10</v>
      </c>
      <c r="B801" s="3" t="s">
        <v>11</v>
      </c>
      <c r="C801" s="4">
        <v>2026</v>
      </c>
      <c r="D801" s="5" t="s">
        <v>12</v>
      </c>
      <c r="E801" s="4">
        <v>112</v>
      </c>
      <c r="F801" s="4" t="s">
        <v>102</v>
      </c>
      <c r="G801" s="4" t="s">
        <v>103</v>
      </c>
      <c r="H801" s="4" t="s">
        <v>15</v>
      </c>
      <c r="I801" s="4" t="s">
        <v>126</v>
      </c>
      <c r="J801" s="4">
        <v>0</v>
      </c>
      <c r="K801" s="4" t="s">
        <v>35</v>
      </c>
      <c r="L801" s="4" t="s">
        <v>3743</v>
      </c>
      <c r="M801" s="4" t="s">
        <v>3746</v>
      </c>
      <c r="N801" s="4" t="s">
        <v>3747</v>
      </c>
      <c r="O801" s="17">
        <f>INDEX('список ID из СУЭ с должностями'!$A:$F,MATCH(E801,'список ID из СУЭ с должностями'!$B:$B,0),5)</f>
        <v>0</v>
      </c>
    </row>
    <row r="802" spans="1:15" ht="75">
      <c r="A802" s="3" t="s">
        <v>10</v>
      </c>
      <c r="B802" s="3" t="s">
        <v>11</v>
      </c>
      <c r="C802" s="4">
        <v>2026</v>
      </c>
      <c r="D802" s="5" t="s">
        <v>12</v>
      </c>
      <c r="E802" s="4">
        <v>112</v>
      </c>
      <c r="F802" s="4" t="s">
        <v>102</v>
      </c>
      <c r="G802" s="4" t="s">
        <v>103</v>
      </c>
      <c r="H802" s="4" t="s">
        <v>21</v>
      </c>
      <c r="I802" s="4" t="s">
        <v>312</v>
      </c>
      <c r="J802" s="4" t="s">
        <v>109</v>
      </c>
      <c r="K802" s="4" t="s">
        <v>312</v>
      </c>
      <c r="L802" s="4" t="s">
        <v>3742</v>
      </c>
      <c r="M802" s="4" t="s">
        <v>3746</v>
      </c>
      <c r="N802" s="4" t="s">
        <v>3755</v>
      </c>
      <c r="O802" s="17">
        <f>INDEX('список ID из СУЭ с должностями'!$A:$F,MATCH(E802,'список ID из СУЭ с должностями'!$B:$B,0),5)</f>
        <v>0</v>
      </c>
    </row>
    <row r="803" spans="1:15" ht="75">
      <c r="A803" s="3" t="s">
        <v>10</v>
      </c>
      <c r="B803" s="3" t="s">
        <v>11</v>
      </c>
      <c r="C803" s="4">
        <v>2026</v>
      </c>
      <c r="D803" s="5" t="s">
        <v>12</v>
      </c>
      <c r="E803" s="4">
        <v>112</v>
      </c>
      <c r="F803" s="4" t="s">
        <v>102</v>
      </c>
      <c r="G803" s="4" t="s">
        <v>103</v>
      </c>
      <c r="H803" s="4" t="s">
        <v>15</v>
      </c>
      <c r="I803" s="4" t="s">
        <v>26</v>
      </c>
      <c r="J803" s="4" t="s">
        <v>27</v>
      </c>
      <c r="K803" s="4" t="s">
        <v>25</v>
      </c>
      <c r="L803" s="4" t="s">
        <v>3743</v>
      </c>
      <c r="M803" s="4" t="s">
        <v>3746</v>
      </c>
      <c r="N803" s="4" t="s">
        <v>3747</v>
      </c>
      <c r="O803" s="17">
        <f>INDEX('список ID из СУЭ с должностями'!$A:$F,MATCH(E803,'список ID из СУЭ с должностями'!$B:$B,0),5)</f>
        <v>0</v>
      </c>
    </row>
    <row r="804" spans="1:15" ht="105">
      <c r="A804" s="3" t="s">
        <v>10</v>
      </c>
      <c r="B804" s="3" t="s">
        <v>11</v>
      </c>
      <c r="C804" s="4">
        <v>2026</v>
      </c>
      <c r="D804" s="5" t="s">
        <v>12</v>
      </c>
      <c r="E804" s="4">
        <v>113</v>
      </c>
      <c r="F804" s="4" t="s">
        <v>316</v>
      </c>
      <c r="G804" s="4" t="s">
        <v>349</v>
      </c>
      <c r="H804" s="4" t="s">
        <v>21</v>
      </c>
      <c r="I804" s="4" t="s">
        <v>1138</v>
      </c>
      <c r="J804" s="4" t="s">
        <v>1139</v>
      </c>
      <c r="K804" s="4" t="s">
        <v>323</v>
      </c>
      <c r="L804" s="4" t="s">
        <v>3743</v>
      </c>
      <c r="M804" s="4" t="s">
        <v>3750</v>
      </c>
      <c r="N804" s="4" t="s">
        <v>3762</v>
      </c>
      <c r="O804" s="17">
        <f>INDEX('список ID из СУЭ с должностями'!$A:$F,MATCH(E804,'список ID из СУЭ с должностями'!$B:$B,0),5)</f>
        <v>0</v>
      </c>
    </row>
    <row r="805" spans="1:15" ht="315">
      <c r="A805" s="3" t="s">
        <v>10</v>
      </c>
      <c r="B805" s="3" t="s">
        <v>11</v>
      </c>
      <c r="C805" s="4">
        <v>2026</v>
      </c>
      <c r="D805" s="5" t="s">
        <v>12</v>
      </c>
      <c r="E805" s="4">
        <v>113</v>
      </c>
      <c r="F805" s="4" t="s">
        <v>316</v>
      </c>
      <c r="G805" s="4" t="s">
        <v>349</v>
      </c>
      <c r="H805" s="4" t="s">
        <v>15</v>
      </c>
      <c r="I805" s="4" t="s">
        <v>352</v>
      </c>
      <c r="J805" s="4" t="s">
        <v>823</v>
      </c>
      <c r="K805" s="4" t="s">
        <v>25</v>
      </c>
      <c r="L805" s="4" t="s">
        <v>3743</v>
      </c>
      <c r="M805" s="4" t="s">
        <v>3746</v>
      </c>
      <c r="N805" s="4" t="s">
        <v>3747</v>
      </c>
      <c r="O805" s="17">
        <f>INDEX('список ID из СУЭ с должностями'!$A:$F,MATCH(E805,'список ID из СУЭ с должностями'!$B:$B,0),5)</f>
        <v>0</v>
      </c>
    </row>
    <row r="806" spans="1:15" ht="315">
      <c r="A806" s="3" t="s">
        <v>10</v>
      </c>
      <c r="B806" s="3" t="s">
        <v>11</v>
      </c>
      <c r="C806" s="4">
        <v>2026</v>
      </c>
      <c r="D806" s="5" t="s">
        <v>12</v>
      </c>
      <c r="E806" s="4">
        <v>113</v>
      </c>
      <c r="F806" s="4" t="s">
        <v>316</v>
      </c>
      <c r="G806" s="4" t="s">
        <v>349</v>
      </c>
      <c r="H806" s="4" t="s">
        <v>15</v>
      </c>
      <c r="I806" s="4" t="s">
        <v>28</v>
      </c>
      <c r="J806" s="4" t="s">
        <v>1140</v>
      </c>
      <c r="K806" s="4" t="s">
        <v>38</v>
      </c>
      <c r="L806" s="4" t="s">
        <v>3743</v>
      </c>
      <c r="M806" s="4" t="s">
        <v>3746</v>
      </c>
      <c r="N806" s="4" t="s">
        <v>3747</v>
      </c>
      <c r="O806" s="17">
        <f>INDEX('список ID из СУЭ с должностями'!$A:$F,MATCH(E806,'список ID из СУЭ с должностями'!$B:$B,0),5)</f>
        <v>0</v>
      </c>
    </row>
    <row r="807" spans="1:15" ht="409.5">
      <c r="A807" s="3" t="s">
        <v>10</v>
      </c>
      <c r="B807" s="3" t="s">
        <v>11</v>
      </c>
      <c r="C807" s="4">
        <v>2026</v>
      </c>
      <c r="D807" s="5" t="s">
        <v>12</v>
      </c>
      <c r="E807" s="4">
        <v>113</v>
      </c>
      <c r="F807" s="4" t="s">
        <v>316</v>
      </c>
      <c r="G807" s="4" t="s">
        <v>349</v>
      </c>
      <c r="H807" s="4" t="s">
        <v>15</v>
      </c>
      <c r="I807" s="4" t="s">
        <v>354</v>
      </c>
      <c r="J807" s="4" t="s">
        <v>1059</v>
      </c>
      <c r="K807" s="4" t="s">
        <v>25</v>
      </c>
      <c r="L807" s="4" t="s">
        <v>3743</v>
      </c>
      <c r="M807" s="4" t="s">
        <v>3746</v>
      </c>
      <c r="N807" s="4" t="s">
        <v>3747</v>
      </c>
      <c r="O807" s="17">
        <f>INDEX('список ID из СУЭ с должностями'!$A:$F,MATCH(E807,'список ID из СУЭ с должностями'!$B:$B,0),5)</f>
        <v>0</v>
      </c>
    </row>
    <row r="808" spans="1:15" ht="330">
      <c r="A808" s="3" t="s">
        <v>10</v>
      </c>
      <c r="B808" s="3" t="s">
        <v>11</v>
      </c>
      <c r="C808" s="4">
        <v>2026</v>
      </c>
      <c r="D808" s="5" t="s">
        <v>12</v>
      </c>
      <c r="E808" s="4">
        <v>113</v>
      </c>
      <c r="F808" s="4" t="s">
        <v>316</v>
      </c>
      <c r="G808" s="4" t="s">
        <v>349</v>
      </c>
      <c r="H808" s="4" t="s">
        <v>15</v>
      </c>
      <c r="I808" s="4" t="s">
        <v>323</v>
      </c>
      <c r="J808" s="4" t="s">
        <v>1141</v>
      </c>
      <c r="K808" s="4" t="s">
        <v>151</v>
      </c>
      <c r="L808" s="4" t="s">
        <v>3743</v>
      </c>
      <c r="M808" s="4" t="s">
        <v>3746</v>
      </c>
      <c r="N808" s="4" t="s">
        <v>3747</v>
      </c>
      <c r="O808" s="17">
        <f>INDEX('список ID из СУЭ с должностями'!$A:$F,MATCH(E808,'список ID из СУЭ с должностями'!$B:$B,0),5)</f>
        <v>0</v>
      </c>
    </row>
    <row r="809" spans="1:15" ht="105">
      <c r="A809" s="3" t="s">
        <v>10</v>
      </c>
      <c r="B809" s="3" t="s">
        <v>11</v>
      </c>
      <c r="C809" s="4">
        <v>2026</v>
      </c>
      <c r="D809" s="5" t="s">
        <v>12</v>
      </c>
      <c r="E809" s="4">
        <v>113</v>
      </c>
      <c r="F809" s="4" t="s">
        <v>316</v>
      </c>
      <c r="G809" s="4" t="s">
        <v>349</v>
      </c>
      <c r="H809" s="4" t="s">
        <v>15</v>
      </c>
      <c r="I809" s="4" t="s">
        <v>356</v>
      </c>
      <c r="J809" s="4" t="s">
        <v>357</v>
      </c>
      <c r="K809" s="4" t="s">
        <v>25</v>
      </c>
      <c r="L809" s="4" t="s">
        <v>3743</v>
      </c>
      <c r="M809" s="4" t="s">
        <v>3746</v>
      </c>
      <c r="N809" s="4" t="s">
        <v>3747</v>
      </c>
      <c r="O809" s="17">
        <f>INDEX('список ID из СУЭ с должностями'!$A:$F,MATCH(E809,'список ID из СУЭ с должностями'!$B:$B,0),5)</f>
        <v>0</v>
      </c>
    </row>
    <row r="810" spans="1:15" ht="135">
      <c r="A810" s="3" t="s">
        <v>10</v>
      </c>
      <c r="B810" s="3" t="s">
        <v>11</v>
      </c>
      <c r="C810" s="4">
        <v>2026</v>
      </c>
      <c r="D810" s="5" t="s">
        <v>12</v>
      </c>
      <c r="E810" s="4">
        <v>113</v>
      </c>
      <c r="F810" s="4" t="s">
        <v>316</v>
      </c>
      <c r="G810" s="4" t="s">
        <v>349</v>
      </c>
      <c r="H810" s="4" t="s">
        <v>15</v>
      </c>
      <c r="I810" s="4" t="s">
        <v>318</v>
      </c>
      <c r="J810" s="4" t="s">
        <v>1142</v>
      </c>
      <c r="K810" s="4" t="s">
        <v>25</v>
      </c>
      <c r="L810" s="4" t="s">
        <v>3743</v>
      </c>
      <c r="M810" s="4" t="s">
        <v>3746</v>
      </c>
      <c r="N810" s="4" t="s">
        <v>3747</v>
      </c>
      <c r="O810" s="17">
        <f>INDEX('список ID из СУЭ с должностями'!$A:$F,MATCH(E810,'список ID из СУЭ с должностями'!$B:$B,0),5)</f>
        <v>0</v>
      </c>
    </row>
    <row r="811" spans="1:15" ht="105">
      <c r="A811" s="3" t="s">
        <v>10</v>
      </c>
      <c r="B811" s="3" t="s">
        <v>11</v>
      </c>
      <c r="C811" s="4">
        <v>2026</v>
      </c>
      <c r="D811" s="5" t="s">
        <v>12</v>
      </c>
      <c r="E811" s="4">
        <v>113</v>
      </c>
      <c r="F811" s="4" t="s">
        <v>316</v>
      </c>
      <c r="G811" s="4" t="s">
        <v>349</v>
      </c>
      <c r="H811" s="4" t="s">
        <v>15</v>
      </c>
      <c r="I811" s="4" t="s">
        <v>358</v>
      </c>
      <c r="J811" s="4" t="s">
        <v>1143</v>
      </c>
      <c r="K811" s="4" t="s">
        <v>66</v>
      </c>
      <c r="L811" s="4" t="s">
        <v>3743</v>
      </c>
      <c r="M811" s="4" t="s">
        <v>3746</v>
      </c>
      <c r="N811" s="4" t="s">
        <v>3747</v>
      </c>
      <c r="O811" s="17">
        <f>INDEX('список ID из СУЭ с должностями'!$A:$F,MATCH(E811,'список ID из СУЭ с должностями'!$B:$B,0),5)</f>
        <v>0</v>
      </c>
    </row>
    <row r="812" spans="1:15" ht="330">
      <c r="A812" s="3" t="s">
        <v>10</v>
      </c>
      <c r="B812" s="3" t="s">
        <v>11</v>
      </c>
      <c r="C812" s="4">
        <v>2026</v>
      </c>
      <c r="D812" s="5" t="s">
        <v>12</v>
      </c>
      <c r="E812" s="4">
        <v>113</v>
      </c>
      <c r="F812" s="4" t="s">
        <v>316</v>
      </c>
      <c r="G812" s="4" t="s">
        <v>349</v>
      </c>
      <c r="H812" s="4" t="s">
        <v>15</v>
      </c>
      <c r="I812" s="4" t="s">
        <v>325</v>
      </c>
      <c r="J812" s="4" t="s">
        <v>1060</v>
      </c>
      <c r="K812" s="4" t="s">
        <v>35</v>
      </c>
      <c r="L812" s="4" t="s">
        <v>3743</v>
      </c>
      <c r="M812" s="4" t="s">
        <v>3746</v>
      </c>
      <c r="N812" s="4" t="s">
        <v>3747</v>
      </c>
      <c r="O812" s="17">
        <f>INDEX('список ID из СУЭ с должностями'!$A:$F,MATCH(E812,'список ID из СУЭ с должностями'!$B:$B,0),5)</f>
        <v>0</v>
      </c>
    </row>
    <row r="813" spans="1:15" ht="135">
      <c r="A813" s="3" t="s">
        <v>10</v>
      </c>
      <c r="B813" s="3" t="s">
        <v>11</v>
      </c>
      <c r="C813" s="4">
        <v>2026</v>
      </c>
      <c r="D813" s="5" t="s">
        <v>12</v>
      </c>
      <c r="E813" s="4">
        <v>114</v>
      </c>
      <c r="F813" s="4" t="s">
        <v>454</v>
      </c>
      <c r="G813" s="4" t="s">
        <v>1144</v>
      </c>
      <c r="H813" s="4" t="s">
        <v>21</v>
      </c>
      <c r="I813" s="4" t="s">
        <v>358</v>
      </c>
      <c r="J813" s="4" t="s">
        <v>1145</v>
      </c>
      <c r="K813" s="4" t="s">
        <v>52</v>
      </c>
      <c r="L813" s="4" t="s">
        <v>3743</v>
      </c>
      <c r="M813" s="4" t="s">
        <v>3746</v>
      </c>
      <c r="N813" s="4" t="s">
        <v>3747</v>
      </c>
      <c r="O813" s="17">
        <f>INDEX('список ID из СУЭ с должностями'!$A:$F,MATCH(E813,'список ID из СУЭ с должностями'!$B:$B,0),5)</f>
        <v>0</v>
      </c>
    </row>
    <row r="814" spans="1:15" ht="165">
      <c r="A814" s="3" t="s">
        <v>10</v>
      </c>
      <c r="B814" s="3" t="s">
        <v>11</v>
      </c>
      <c r="C814" s="4">
        <v>2026</v>
      </c>
      <c r="D814" s="5" t="s">
        <v>12</v>
      </c>
      <c r="E814" s="4">
        <v>114</v>
      </c>
      <c r="F814" s="4" t="s">
        <v>454</v>
      </c>
      <c r="G814" s="4" t="s">
        <v>1144</v>
      </c>
      <c r="H814" s="4" t="s">
        <v>21</v>
      </c>
      <c r="I814" s="4" t="s">
        <v>809</v>
      </c>
      <c r="J814" s="4" t="s">
        <v>1146</v>
      </c>
      <c r="K814" s="4" t="s">
        <v>52</v>
      </c>
      <c r="L814" s="4" t="s">
        <v>3743</v>
      </c>
      <c r="M814" s="4" t="s">
        <v>3746</v>
      </c>
      <c r="N814" s="4" t="s">
        <v>3747</v>
      </c>
      <c r="O814" s="17">
        <f>INDEX('список ID из СУЭ с должностями'!$A:$F,MATCH(E814,'список ID из СУЭ с должностями'!$B:$B,0),5)</f>
        <v>0</v>
      </c>
    </row>
    <row r="815" spans="1:15" ht="135">
      <c r="A815" s="3" t="s">
        <v>10</v>
      </c>
      <c r="B815" s="3" t="s">
        <v>11</v>
      </c>
      <c r="C815" s="4">
        <v>2026</v>
      </c>
      <c r="D815" s="5" t="s">
        <v>12</v>
      </c>
      <c r="E815" s="4">
        <v>114</v>
      </c>
      <c r="F815" s="4" t="s">
        <v>454</v>
      </c>
      <c r="G815" s="4" t="s">
        <v>1144</v>
      </c>
      <c r="H815" s="4" t="s">
        <v>21</v>
      </c>
      <c r="I815" s="4" t="s">
        <v>303</v>
      </c>
      <c r="J815" s="4" t="s">
        <v>1147</v>
      </c>
      <c r="K815" s="4" t="s">
        <v>66</v>
      </c>
      <c r="L815" s="4" t="s">
        <v>3743</v>
      </c>
      <c r="M815" s="4" t="s">
        <v>3746</v>
      </c>
      <c r="N815" s="4" t="s">
        <v>3747</v>
      </c>
      <c r="O815" s="17">
        <f>INDEX('список ID из СУЭ с должностями'!$A:$F,MATCH(E815,'список ID из СУЭ с должностями'!$B:$B,0),5)</f>
        <v>0</v>
      </c>
    </row>
    <row r="816" spans="1:15" ht="135">
      <c r="A816" s="3" t="s">
        <v>10</v>
      </c>
      <c r="B816" s="3" t="s">
        <v>11</v>
      </c>
      <c r="C816" s="4">
        <v>2026</v>
      </c>
      <c r="D816" s="5" t="s">
        <v>12</v>
      </c>
      <c r="E816" s="4">
        <v>114</v>
      </c>
      <c r="F816" s="4" t="s">
        <v>454</v>
      </c>
      <c r="G816" s="4" t="s">
        <v>1144</v>
      </c>
      <c r="H816" s="4" t="s">
        <v>21</v>
      </c>
      <c r="I816" s="4" t="s">
        <v>147</v>
      </c>
      <c r="J816" s="4" t="s">
        <v>1148</v>
      </c>
      <c r="K816" s="4" t="s">
        <v>35</v>
      </c>
      <c r="L816" s="4" t="s">
        <v>3743</v>
      </c>
      <c r="M816" s="4" t="s">
        <v>3746</v>
      </c>
      <c r="N816" s="4" t="s">
        <v>3747</v>
      </c>
      <c r="O816" s="17">
        <f>INDEX('список ID из СУЭ с должностями'!$A:$F,MATCH(E816,'список ID из СУЭ с должностями'!$B:$B,0),5)</f>
        <v>0</v>
      </c>
    </row>
    <row r="817" spans="1:15" ht="195">
      <c r="A817" s="3" t="s">
        <v>10</v>
      </c>
      <c r="B817" s="3" t="s">
        <v>11</v>
      </c>
      <c r="C817" s="4">
        <v>2026</v>
      </c>
      <c r="D817" s="5" t="s">
        <v>12</v>
      </c>
      <c r="E817" s="4">
        <v>114</v>
      </c>
      <c r="F817" s="4" t="s">
        <v>454</v>
      </c>
      <c r="G817" s="4" t="s">
        <v>1144</v>
      </c>
      <c r="H817" s="4" t="s">
        <v>21</v>
      </c>
      <c r="I817" s="4" t="s">
        <v>855</v>
      </c>
      <c r="J817" s="4" t="s">
        <v>1149</v>
      </c>
      <c r="K817" s="4" t="s">
        <v>20</v>
      </c>
      <c r="L817" s="4" t="s">
        <v>3743</v>
      </c>
      <c r="M817" s="4" t="s">
        <v>3746</v>
      </c>
      <c r="N817" s="4" t="s">
        <v>3747</v>
      </c>
      <c r="O817" s="17">
        <f>INDEX('список ID из СУЭ с должностями'!$A:$F,MATCH(E817,'список ID из СУЭ с должностями'!$B:$B,0),5)</f>
        <v>0</v>
      </c>
    </row>
    <row r="818" spans="1:15" ht="135">
      <c r="A818" s="3" t="s">
        <v>10</v>
      </c>
      <c r="B818" s="3" t="s">
        <v>11</v>
      </c>
      <c r="C818" s="4">
        <v>2026</v>
      </c>
      <c r="D818" s="5" t="s">
        <v>12</v>
      </c>
      <c r="E818" s="4">
        <v>114</v>
      </c>
      <c r="F818" s="4" t="s">
        <v>454</v>
      </c>
      <c r="G818" s="4" t="s">
        <v>1144</v>
      </c>
      <c r="H818" s="4" t="s">
        <v>21</v>
      </c>
      <c r="I818" s="4" t="s">
        <v>812</v>
      </c>
      <c r="J818" s="4" t="s">
        <v>1150</v>
      </c>
      <c r="K818" s="4" t="s">
        <v>52</v>
      </c>
      <c r="L818" s="4" t="s">
        <v>3743</v>
      </c>
      <c r="M818" s="4" t="s">
        <v>3746</v>
      </c>
      <c r="N818" s="4" t="s">
        <v>3747</v>
      </c>
      <c r="O818" s="17">
        <f>INDEX('список ID из СУЭ с должностями'!$A:$F,MATCH(E818,'список ID из СУЭ с должностями'!$B:$B,0),5)</f>
        <v>0</v>
      </c>
    </row>
    <row r="819" spans="1:15" ht="315">
      <c r="A819" s="3" t="s">
        <v>10</v>
      </c>
      <c r="B819" s="3" t="s">
        <v>11</v>
      </c>
      <c r="C819" s="4">
        <v>2026</v>
      </c>
      <c r="D819" s="5" t="s">
        <v>12</v>
      </c>
      <c r="E819" s="4">
        <v>115</v>
      </c>
      <c r="F819" s="4" t="s">
        <v>193</v>
      </c>
      <c r="G819" s="4" t="s">
        <v>1151</v>
      </c>
      <c r="H819" s="4" t="s">
        <v>41</v>
      </c>
      <c r="I819" s="4" t="s">
        <v>203</v>
      </c>
      <c r="J819" s="4" t="s">
        <v>204</v>
      </c>
      <c r="K819" s="4" t="s">
        <v>188</v>
      </c>
      <c r="L819" s="4" t="s">
        <v>3743</v>
      </c>
      <c r="M819" s="4" t="s">
        <v>3746</v>
      </c>
      <c r="N819" s="4" t="s">
        <v>3747</v>
      </c>
      <c r="O819" s="17" t="str">
        <f>INDEX('список ID из СУЭ с должностями'!$A:$F,MATCH(E819,'список ID из СУЭ с должностями'!$B:$B,0),5)</f>
        <v>Инж смены</v>
      </c>
    </row>
    <row r="820" spans="1:15" ht="45">
      <c r="A820" s="3" t="s">
        <v>10</v>
      </c>
      <c r="B820" s="3" t="s">
        <v>11</v>
      </c>
      <c r="C820" s="4">
        <v>2026</v>
      </c>
      <c r="D820" s="5" t="s">
        <v>12</v>
      </c>
      <c r="E820" s="4">
        <v>115</v>
      </c>
      <c r="F820" s="4" t="s">
        <v>193</v>
      </c>
      <c r="G820" s="4" t="s">
        <v>1151</v>
      </c>
      <c r="H820" s="4" t="s">
        <v>41</v>
      </c>
      <c r="I820" s="4" t="s">
        <v>195</v>
      </c>
      <c r="J820" s="4" t="s">
        <v>196</v>
      </c>
      <c r="K820" s="4" t="s">
        <v>23</v>
      </c>
      <c r="L820" s="4" t="s">
        <v>3742</v>
      </c>
      <c r="M820" s="4" t="s">
        <v>3748</v>
      </c>
      <c r="N820" s="4" t="s">
        <v>3752</v>
      </c>
      <c r="O820" s="17" t="str">
        <f>INDEX('список ID из СУЭ с должностями'!$A:$F,MATCH(E820,'список ID из СУЭ с должностями'!$B:$B,0),5)</f>
        <v>Инж смены</v>
      </c>
    </row>
    <row r="821" spans="1:15" ht="45">
      <c r="A821" s="3" t="s">
        <v>10</v>
      </c>
      <c r="B821" s="3" t="s">
        <v>11</v>
      </c>
      <c r="C821" s="4">
        <v>2026</v>
      </c>
      <c r="D821" s="5" t="s">
        <v>12</v>
      </c>
      <c r="E821" s="4">
        <v>115</v>
      </c>
      <c r="F821" s="4" t="s">
        <v>193</v>
      </c>
      <c r="G821" s="4" t="s">
        <v>1151</v>
      </c>
      <c r="H821" s="4" t="s">
        <v>41</v>
      </c>
      <c r="I821" s="4" t="s">
        <v>62</v>
      </c>
      <c r="J821" s="4" t="s">
        <v>197</v>
      </c>
      <c r="K821" s="4" t="s">
        <v>66</v>
      </c>
      <c r="L821" s="4" t="s">
        <v>3743</v>
      </c>
      <c r="M821" s="4" t="s">
        <v>3746</v>
      </c>
      <c r="N821" s="4" t="s">
        <v>3747</v>
      </c>
      <c r="O821" s="17" t="str">
        <f>INDEX('список ID из СУЭ с должностями'!$A:$F,MATCH(E821,'список ID из СУЭ с должностями'!$B:$B,0),5)</f>
        <v>Инж смены</v>
      </c>
    </row>
    <row r="822" spans="1:15" ht="90">
      <c r="A822" s="3" t="s">
        <v>10</v>
      </c>
      <c r="B822" s="3" t="s">
        <v>11</v>
      </c>
      <c r="C822" s="4">
        <v>2026</v>
      </c>
      <c r="D822" s="5" t="s">
        <v>12</v>
      </c>
      <c r="E822" s="4">
        <v>115</v>
      </c>
      <c r="F822" s="4" t="s">
        <v>193</v>
      </c>
      <c r="G822" s="4" t="s">
        <v>1151</v>
      </c>
      <c r="H822" s="4" t="s">
        <v>21</v>
      </c>
      <c r="I822" s="4" t="s">
        <v>198</v>
      </c>
      <c r="J822" s="4" t="s">
        <v>199</v>
      </c>
      <c r="K822" s="4" t="s">
        <v>20</v>
      </c>
      <c r="L822" s="4" t="s">
        <v>3743</v>
      </c>
      <c r="M822" s="4" t="s">
        <v>3746</v>
      </c>
      <c r="N822" s="4" t="s">
        <v>3747</v>
      </c>
      <c r="O822" s="17" t="str">
        <f>INDEX('список ID из СУЭ с должностями'!$A:$F,MATCH(E822,'список ID из СУЭ с должностями'!$B:$B,0),5)</f>
        <v>Инж смены</v>
      </c>
    </row>
    <row r="823" spans="1:15" ht="45">
      <c r="A823" s="3" t="s">
        <v>10</v>
      </c>
      <c r="B823" s="3" t="s">
        <v>11</v>
      </c>
      <c r="C823" s="4">
        <v>2026</v>
      </c>
      <c r="D823" s="5" t="s">
        <v>12</v>
      </c>
      <c r="E823" s="4">
        <v>115</v>
      </c>
      <c r="F823" s="4" t="s">
        <v>193</v>
      </c>
      <c r="G823" s="4" t="s">
        <v>1151</v>
      </c>
      <c r="H823" s="4" t="s">
        <v>15</v>
      </c>
      <c r="I823" s="4" t="s">
        <v>191</v>
      </c>
      <c r="J823" s="4" t="s">
        <v>200</v>
      </c>
      <c r="K823" s="4" t="s">
        <v>66</v>
      </c>
      <c r="L823" s="4" t="s">
        <v>3742</v>
      </c>
      <c r="M823" s="4" t="s">
        <v>3746</v>
      </c>
      <c r="N823" s="4" t="s">
        <v>3747</v>
      </c>
      <c r="O823" s="17" t="str">
        <f>INDEX('список ID из СУЭ с должностями'!$A:$F,MATCH(E823,'список ID из СУЭ с должностями'!$B:$B,0),5)</f>
        <v>Инж смены</v>
      </c>
    </row>
    <row r="824" spans="1:15" ht="165">
      <c r="A824" s="3" t="s">
        <v>10</v>
      </c>
      <c r="B824" s="3" t="s">
        <v>11</v>
      </c>
      <c r="C824" s="4">
        <v>2026</v>
      </c>
      <c r="D824" s="5" t="s">
        <v>12</v>
      </c>
      <c r="E824" s="4">
        <v>115</v>
      </c>
      <c r="F824" s="4" t="s">
        <v>193</v>
      </c>
      <c r="G824" s="4" t="s">
        <v>1151</v>
      </c>
      <c r="H824" s="4" t="s">
        <v>15</v>
      </c>
      <c r="I824" s="4" t="s">
        <v>201</v>
      </c>
      <c r="J824" s="4" t="s">
        <v>202</v>
      </c>
      <c r="K824" s="4" t="s">
        <v>66</v>
      </c>
      <c r="L824" s="4" t="s">
        <v>3743</v>
      </c>
      <c r="M824" s="4" t="s">
        <v>3746</v>
      </c>
      <c r="N824" s="4" t="s">
        <v>3747</v>
      </c>
      <c r="O824" s="17" t="str">
        <f>INDEX('список ID из СУЭ с должностями'!$A:$F,MATCH(E824,'список ID из СУЭ с должностями'!$B:$B,0),5)</f>
        <v>Инж смены</v>
      </c>
    </row>
    <row r="825" spans="1:15" ht="180">
      <c r="A825" s="3" t="s">
        <v>10</v>
      </c>
      <c r="B825" s="3" t="s">
        <v>11</v>
      </c>
      <c r="C825" s="4">
        <v>2026</v>
      </c>
      <c r="D825" s="5" t="s">
        <v>12</v>
      </c>
      <c r="E825" s="4">
        <v>116</v>
      </c>
      <c r="F825" s="4" t="s">
        <v>1152</v>
      </c>
      <c r="G825" s="4" t="s">
        <v>1153</v>
      </c>
      <c r="H825" s="4" t="s">
        <v>21</v>
      </c>
      <c r="I825" s="4" t="s">
        <v>1154</v>
      </c>
      <c r="J825" s="4" t="s">
        <v>1155</v>
      </c>
      <c r="K825" s="4" t="s">
        <v>52</v>
      </c>
      <c r="L825" s="4" t="s">
        <v>3743</v>
      </c>
      <c r="M825" s="4" t="s">
        <v>3746</v>
      </c>
      <c r="N825" s="4" t="s">
        <v>3747</v>
      </c>
      <c r="O825" s="17">
        <f>INDEX('список ID из СУЭ с должностями'!$A:$F,MATCH(E825,'список ID из СУЭ с должностями'!$B:$B,0),5)</f>
        <v>0</v>
      </c>
    </row>
    <row r="826" spans="1:15" ht="255">
      <c r="A826" s="3" t="s">
        <v>10</v>
      </c>
      <c r="B826" s="3" t="s">
        <v>11</v>
      </c>
      <c r="C826" s="4">
        <v>2026</v>
      </c>
      <c r="D826" s="5" t="s">
        <v>12</v>
      </c>
      <c r="E826" s="4">
        <v>116</v>
      </c>
      <c r="F826" s="4" t="s">
        <v>1152</v>
      </c>
      <c r="G826" s="4" t="s">
        <v>1153</v>
      </c>
      <c r="H826" s="4" t="s">
        <v>21</v>
      </c>
      <c r="I826" s="4" t="s">
        <v>1156</v>
      </c>
      <c r="J826" s="4" t="s">
        <v>1157</v>
      </c>
      <c r="K826" s="4" t="s">
        <v>52</v>
      </c>
      <c r="L826" s="4" t="s">
        <v>3743</v>
      </c>
      <c r="M826" s="4" t="s">
        <v>3746</v>
      </c>
      <c r="N826" s="4" t="s">
        <v>3747</v>
      </c>
      <c r="O826" s="17">
        <f>INDEX('список ID из СУЭ с должностями'!$A:$F,MATCH(E826,'список ID из СУЭ с должностями'!$B:$B,0),5)</f>
        <v>0</v>
      </c>
    </row>
    <row r="827" spans="1:15" ht="120">
      <c r="A827" s="3" t="s">
        <v>10</v>
      </c>
      <c r="B827" s="3" t="s">
        <v>11</v>
      </c>
      <c r="C827" s="4">
        <v>2026</v>
      </c>
      <c r="D827" s="5" t="s">
        <v>12</v>
      </c>
      <c r="E827" s="4">
        <v>116</v>
      </c>
      <c r="F827" s="4" t="s">
        <v>1152</v>
      </c>
      <c r="G827" s="4" t="s">
        <v>1153</v>
      </c>
      <c r="H827" s="4" t="s">
        <v>15</v>
      </c>
      <c r="I827" s="4" t="s">
        <v>1158</v>
      </c>
      <c r="J827" s="4" t="s">
        <v>1159</v>
      </c>
      <c r="K827" s="4" t="s">
        <v>23</v>
      </c>
      <c r="L827" s="4" t="s">
        <v>3743</v>
      </c>
      <c r="M827" s="4" t="s">
        <v>3748</v>
      </c>
      <c r="N827" s="4" t="s">
        <v>3749</v>
      </c>
      <c r="O827" s="17">
        <f>INDEX('список ID из СУЭ с должностями'!$A:$F,MATCH(E827,'список ID из СУЭ с должностями'!$B:$B,0),5)</f>
        <v>0</v>
      </c>
    </row>
    <row r="828" spans="1:15" ht="120">
      <c r="A828" s="3" t="s">
        <v>10</v>
      </c>
      <c r="B828" s="3" t="s">
        <v>11</v>
      </c>
      <c r="C828" s="4">
        <v>2026</v>
      </c>
      <c r="D828" s="5" t="s">
        <v>12</v>
      </c>
      <c r="E828" s="4">
        <v>116</v>
      </c>
      <c r="F828" s="4" t="s">
        <v>1152</v>
      </c>
      <c r="G828" s="4" t="s">
        <v>1153</v>
      </c>
      <c r="H828" s="4" t="s">
        <v>41</v>
      </c>
      <c r="I828" s="4" t="s">
        <v>1160</v>
      </c>
      <c r="J828" s="4" t="s">
        <v>1161</v>
      </c>
      <c r="K828" s="4" t="s">
        <v>1162</v>
      </c>
      <c r="L828" s="4" t="s">
        <v>3743</v>
      </c>
      <c r="M828" s="4" t="s">
        <v>3746</v>
      </c>
      <c r="N828" s="4" t="s">
        <v>3763</v>
      </c>
      <c r="O828" s="17">
        <f>INDEX('список ID из СУЭ с должностями'!$A:$F,MATCH(E828,'список ID из СУЭ с должностями'!$B:$B,0),5)</f>
        <v>0</v>
      </c>
    </row>
    <row r="829" spans="1:15" ht="150">
      <c r="A829" s="3" t="s">
        <v>10</v>
      </c>
      <c r="B829" s="3" t="s">
        <v>11</v>
      </c>
      <c r="C829" s="4">
        <v>2026</v>
      </c>
      <c r="D829" s="5" t="s">
        <v>12</v>
      </c>
      <c r="E829" s="4">
        <v>116</v>
      </c>
      <c r="F829" s="4" t="s">
        <v>1152</v>
      </c>
      <c r="G829" s="4" t="s">
        <v>1153</v>
      </c>
      <c r="H829" s="4" t="s">
        <v>41</v>
      </c>
      <c r="I829" s="4" t="s">
        <v>1163</v>
      </c>
      <c r="J829" s="4" t="s">
        <v>1164</v>
      </c>
      <c r="K829" s="4" t="s">
        <v>1162</v>
      </c>
      <c r="L829" s="4" t="s">
        <v>3743</v>
      </c>
      <c r="M829" s="4" t="s">
        <v>3746</v>
      </c>
      <c r="N829" s="4" t="s">
        <v>3763</v>
      </c>
      <c r="O829" s="17">
        <f>INDEX('список ID из СУЭ с должностями'!$A:$F,MATCH(E829,'список ID из СУЭ с должностями'!$B:$B,0),5)</f>
        <v>0</v>
      </c>
    </row>
    <row r="830" spans="1:15" ht="150">
      <c r="A830" s="3" t="s">
        <v>10</v>
      </c>
      <c r="B830" s="3" t="s">
        <v>11</v>
      </c>
      <c r="C830" s="4">
        <v>2026</v>
      </c>
      <c r="D830" s="5" t="s">
        <v>12</v>
      </c>
      <c r="E830" s="4">
        <v>116</v>
      </c>
      <c r="F830" s="4" t="s">
        <v>1152</v>
      </c>
      <c r="G830" s="4" t="s">
        <v>1153</v>
      </c>
      <c r="H830" s="4" t="s">
        <v>15</v>
      </c>
      <c r="I830" s="4" t="s">
        <v>1165</v>
      </c>
      <c r="J830" s="4" t="s">
        <v>1166</v>
      </c>
      <c r="K830" s="4" t="s">
        <v>1165</v>
      </c>
      <c r="L830" s="4" t="s">
        <v>3743</v>
      </c>
      <c r="M830" s="4" t="s">
        <v>3746</v>
      </c>
      <c r="N830" s="4" t="s">
        <v>3763</v>
      </c>
      <c r="O830" s="17">
        <f>INDEX('список ID из СУЭ с должностями'!$A:$F,MATCH(E830,'список ID из СУЭ с должностями'!$B:$B,0),5)</f>
        <v>0</v>
      </c>
    </row>
    <row r="831" spans="1:15" ht="409.5">
      <c r="A831" s="3" t="s">
        <v>10</v>
      </c>
      <c r="B831" s="3" t="s">
        <v>11</v>
      </c>
      <c r="C831" s="4">
        <v>2026</v>
      </c>
      <c r="D831" s="5" t="s">
        <v>12</v>
      </c>
      <c r="E831" s="4">
        <v>117</v>
      </c>
      <c r="F831" s="4" t="s">
        <v>458</v>
      </c>
      <c r="G831" s="4" t="s">
        <v>1144</v>
      </c>
      <c r="H831" s="4" t="s">
        <v>21</v>
      </c>
      <c r="I831" s="4" t="s">
        <v>437</v>
      </c>
      <c r="J831" s="4" t="s">
        <v>1167</v>
      </c>
      <c r="K831" s="4" t="s">
        <v>52</v>
      </c>
      <c r="L831" s="4" t="s">
        <v>3743</v>
      </c>
      <c r="M831" s="4" t="s">
        <v>3746</v>
      </c>
      <c r="N831" s="4" t="s">
        <v>3747</v>
      </c>
      <c r="O831" s="17">
        <f>INDEX('список ID из СУЭ с должностями'!$A:$F,MATCH(E831,'список ID из СУЭ с должностями'!$B:$B,0),5)</f>
        <v>0</v>
      </c>
    </row>
    <row r="832" spans="1:15" ht="409.5">
      <c r="A832" s="3" t="s">
        <v>10</v>
      </c>
      <c r="B832" s="3" t="s">
        <v>11</v>
      </c>
      <c r="C832" s="4">
        <v>2026</v>
      </c>
      <c r="D832" s="5" t="s">
        <v>12</v>
      </c>
      <c r="E832" s="4">
        <v>117</v>
      </c>
      <c r="F832" s="4" t="s">
        <v>458</v>
      </c>
      <c r="G832" s="4" t="s">
        <v>1144</v>
      </c>
      <c r="H832" s="4" t="s">
        <v>21</v>
      </c>
      <c r="I832" s="4" t="s">
        <v>1168</v>
      </c>
      <c r="J832" s="4" t="s">
        <v>1169</v>
      </c>
      <c r="K832" s="4" t="s">
        <v>25</v>
      </c>
      <c r="L832" s="4" t="s">
        <v>3743</v>
      </c>
      <c r="M832" s="4" t="s">
        <v>3746</v>
      </c>
      <c r="N832" s="4" t="s">
        <v>3747</v>
      </c>
      <c r="O832" s="17">
        <f>INDEX('список ID из СУЭ с должностями'!$A:$F,MATCH(E832,'список ID из СУЭ с должностями'!$B:$B,0),5)</f>
        <v>0</v>
      </c>
    </row>
    <row r="833" spans="1:15" ht="409.5">
      <c r="A833" s="3" t="s">
        <v>10</v>
      </c>
      <c r="B833" s="3" t="s">
        <v>11</v>
      </c>
      <c r="C833" s="4">
        <v>2026</v>
      </c>
      <c r="D833" s="5" t="s">
        <v>12</v>
      </c>
      <c r="E833" s="4">
        <v>117</v>
      </c>
      <c r="F833" s="4" t="s">
        <v>458</v>
      </c>
      <c r="G833" s="4" t="s">
        <v>1144</v>
      </c>
      <c r="H833" s="4" t="s">
        <v>15</v>
      </c>
      <c r="I833" s="4" t="s">
        <v>460</v>
      </c>
      <c r="J833" s="4" t="s">
        <v>1170</v>
      </c>
      <c r="K833" s="4" t="s">
        <v>38</v>
      </c>
      <c r="L833" s="4" t="s">
        <v>3743</v>
      </c>
      <c r="M833" s="4" t="s">
        <v>3746</v>
      </c>
      <c r="N833" s="4" t="s">
        <v>3747</v>
      </c>
      <c r="O833" s="17">
        <f>INDEX('список ID из СУЭ с должностями'!$A:$F,MATCH(E833,'список ID из СУЭ с должностями'!$B:$B,0),5)</f>
        <v>0</v>
      </c>
    </row>
    <row r="834" spans="1:15" ht="135">
      <c r="A834" s="3" t="s">
        <v>10</v>
      </c>
      <c r="B834" s="3" t="s">
        <v>11</v>
      </c>
      <c r="C834" s="4">
        <v>2026</v>
      </c>
      <c r="D834" s="5" t="s">
        <v>12</v>
      </c>
      <c r="E834" s="4">
        <v>117</v>
      </c>
      <c r="F834" s="4" t="s">
        <v>458</v>
      </c>
      <c r="G834" s="4" t="s">
        <v>1144</v>
      </c>
      <c r="H834" s="4" t="s">
        <v>21</v>
      </c>
      <c r="I834" s="4" t="s">
        <v>1171</v>
      </c>
      <c r="J834" s="4" t="s">
        <v>1172</v>
      </c>
      <c r="K834" s="4" t="s">
        <v>230</v>
      </c>
      <c r="L834" s="4" t="s">
        <v>3743</v>
      </c>
      <c r="M834" s="4" t="s">
        <v>3746</v>
      </c>
      <c r="N834" s="4" t="s">
        <v>3754</v>
      </c>
      <c r="O834" s="17">
        <f>INDEX('список ID из СУЭ с должностями'!$A:$F,MATCH(E834,'список ID из СУЭ с должностями'!$B:$B,0),5)</f>
        <v>0</v>
      </c>
    </row>
    <row r="835" spans="1:15" ht="390">
      <c r="A835" s="3" t="s">
        <v>10</v>
      </c>
      <c r="B835" s="3" t="s">
        <v>11</v>
      </c>
      <c r="C835" s="4">
        <v>2026</v>
      </c>
      <c r="D835" s="5" t="s">
        <v>12</v>
      </c>
      <c r="E835" s="4">
        <v>117</v>
      </c>
      <c r="F835" s="4" t="s">
        <v>458</v>
      </c>
      <c r="G835" s="4" t="s">
        <v>1144</v>
      </c>
      <c r="H835" s="4" t="s">
        <v>15</v>
      </c>
      <c r="I835" s="4" t="s">
        <v>855</v>
      </c>
      <c r="J835" s="4" t="s">
        <v>1173</v>
      </c>
      <c r="K835" s="4" t="s">
        <v>66</v>
      </c>
      <c r="L835" s="4" t="s">
        <v>3743</v>
      </c>
      <c r="M835" s="4" t="s">
        <v>3746</v>
      </c>
      <c r="N835" s="4" t="s">
        <v>3747</v>
      </c>
      <c r="O835" s="17">
        <f>INDEX('список ID из СУЭ с должностями'!$A:$F,MATCH(E835,'список ID из СУЭ с должностями'!$B:$B,0),5)</f>
        <v>0</v>
      </c>
    </row>
    <row r="836" spans="1:15" ht="330">
      <c r="A836" s="3" t="s">
        <v>10</v>
      </c>
      <c r="B836" s="3" t="s">
        <v>11</v>
      </c>
      <c r="C836" s="4">
        <v>2026</v>
      </c>
      <c r="D836" s="5" t="s">
        <v>12</v>
      </c>
      <c r="E836" s="4">
        <v>117</v>
      </c>
      <c r="F836" s="4" t="s">
        <v>458</v>
      </c>
      <c r="G836" s="4" t="s">
        <v>1144</v>
      </c>
      <c r="H836" s="4" t="s">
        <v>15</v>
      </c>
      <c r="I836" s="4" t="s">
        <v>147</v>
      </c>
      <c r="J836" s="4" t="s">
        <v>1174</v>
      </c>
      <c r="K836" s="4" t="s">
        <v>35</v>
      </c>
      <c r="L836" s="4" t="s">
        <v>3743</v>
      </c>
      <c r="M836" s="4" t="s">
        <v>3746</v>
      </c>
      <c r="N836" s="4" t="s">
        <v>3747</v>
      </c>
      <c r="O836" s="17">
        <f>INDEX('список ID из СУЭ с должностями'!$A:$F,MATCH(E836,'список ID из СУЭ с должностями'!$B:$B,0),5)</f>
        <v>0</v>
      </c>
    </row>
    <row r="837" spans="1:15" ht="315">
      <c r="A837" s="3" t="s">
        <v>10</v>
      </c>
      <c r="B837" s="3" t="s">
        <v>11</v>
      </c>
      <c r="C837" s="4">
        <v>2026</v>
      </c>
      <c r="D837" s="5" t="s">
        <v>12</v>
      </c>
      <c r="E837" s="4">
        <v>117</v>
      </c>
      <c r="F837" s="4" t="s">
        <v>458</v>
      </c>
      <c r="G837" s="4" t="s">
        <v>1144</v>
      </c>
      <c r="H837" s="4" t="s">
        <v>15</v>
      </c>
      <c r="I837" s="4" t="s">
        <v>303</v>
      </c>
      <c r="J837" s="4" t="s">
        <v>1175</v>
      </c>
      <c r="K837" s="4" t="s">
        <v>66</v>
      </c>
      <c r="L837" s="4" t="s">
        <v>3743</v>
      </c>
      <c r="M837" s="4" t="s">
        <v>3746</v>
      </c>
      <c r="N837" s="4" t="s">
        <v>3747</v>
      </c>
      <c r="O837" s="17">
        <f>INDEX('список ID из СУЭ с должностями'!$A:$F,MATCH(E837,'список ID из СУЭ с должностями'!$B:$B,0),5)</f>
        <v>0</v>
      </c>
    </row>
    <row r="838" spans="1:15" ht="409.5">
      <c r="A838" s="3" t="s">
        <v>10</v>
      </c>
      <c r="B838" s="3" t="s">
        <v>11</v>
      </c>
      <c r="C838" s="4">
        <v>2026</v>
      </c>
      <c r="D838" s="5" t="s">
        <v>12</v>
      </c>
      <c r="E838" s="4">
        <v>117</v>
      </c>
      <c r="F838" s="4" t="s">
        <v>458</v>
      </c>
      <c r="G838" s="4" t="s">
        <v>1144</v>
      </c>
      <c r="H838" s="4" t="s">
        <v>15</v>
      </c>
      <c r="I838" s="4" t="s">
        <v>149</v>
      </c>
      <c r="J838" s="4" t="s">
        <v>1176</v>
      </c>
      <c r="K838" s="4" t="s">
        <v>52</v>
      </c>
      <c r="L838" s="4" t="s">
        <v>3743</v>
      </c>
      <c r="M838" s="4" t="s">
        <v>3746</v>
      </c>
      <c r="N838" s="4" t="s">
        <v>3747</v>
      </c>
      <c r="O838" s="17">
        <f>INDEX('список ID из СУЭ с должностями'!$A:$F,MATCH(E838,'список ID из СУЭ с должностями'!$B:$B,0),5)</f>
        <v>0</v>
      </c>
    </row>
    <row r="839" spans="1:15" ht="90">
      <c r="A839" s="3" t="s">
        <v>10</v>
      </c>
      <c r="B839" s="3" t="s">
        <v>11</v>
      </c>
      <c r="C839" s="4">
        <v>2026</v>
      </c>
      <c r="D839" s="5" t="s">
        <v>12</v>
      </c>
      <c r="E839" s="4">
        <v>118</v>
      </c>
      <c r="F839" s="4" t="s">
        <v>724</v>
      </c>
      <c r="G839" s="4" t="s">
        <v>725</v>
      </c>
      <c r="H839" s="4" t="s">
        <v>15</v>
      </c>
      <c r="I839" s="4" t="s">
        <v>1063</v>
      </c>
      <c r="J839" s="4" t="s">
        <v>1063</v>
      </c>
      <c r="K839" s="4" t="s">
        <v>52</v>
      </c>
      <c r="L839" s="4" t="s">
        <v>3743</v>
      </c>
      <c r="M839" s="4" t="s">
        <v>3746</v>
      </c>
      <c r="N839" s="4" t="s">
        <v>3747</v>
      </c>
      <c r="O839" s="17">
        <f>INDEX('список ID из СУЭ с должностями'!$A:$F,MATCH(E839,'список ID из СУЭ с должностями'!$B:$B,0),5)</f>
        <v>0</v>
      </c>
    </row>
    <row r="840" spans="1:15" ht="135">
      <c r="A840" s="3" t="s">
        <v>10</v>
      </c>
      <c r="B840" s="3" t="s">
        <v>11</v>
      </c>
      <c r="C840" s="4">
        <v>2026</v>
      </c>
      <c r="D840" s="5" t="s">
        <v>12</v>
      </c>
      <c r="E840" s="4">
        <v>118</v>
      </c>
      <c r="F840" s="4" t="s">
        <v>724</v>
      </c>
      <c r="G840" s="4" t="s">
        <v>725</v>
      </c>
      <c r="H840" s="4" t="s">
        <v>15</v>
      </c>
      <c r="I840" s="4" t="s">
        <v>1177</v>
      </c>
      <c r="J840" s="4" t="s">
        <v>1178</v>
      </c>
      <c r="K840" s="4" t="s">
        <v>52</v>
      </c>
      <c r="L840" s="4" t="s">
        <v>3743</v>
      </c>
      <c r="M840" s="4" t="s">
        <v>3746</v>
      </c>
      <c r="N840" s="4" t="s">
        <v>3747</v>
      </c>
      <c r="O840" s="17">
        <f>INDEX('список ID из СУЭ с должностями'!$A:$F,MATCH(E840,'список ID из СУЭ с должностями'!$B:$B,0),5)</f>
        <v>0</v>
      </c>
    </row>
    <row r="841" spans="1:15" ht="90">
      <c r="A841" s="3" t="s">
        <v>10</v>
      </c>
      <c r="B841" s="3" t="s">
        <v>11</v>
      </c>
      <c r="C841" s="4">
        <v>2026</v>
      </c>
      <c r="D841" s="5" t="s">
        <v>12</v>
      </c>
      <c r="E841" s="4">
        <v>118</v>
      </c>
      <c r="F841" s="4" t="s">
        <v>724</v>
      </c>
      <c r="G841" s="4" t="s">
        <v>725</v>
      </c>
      <c r="H841" s="4" t="s">
        <v>15</v>
      </c>
      <c r="I841" s="4" t="s">
        <v>726</v>
      </c>
      <c r="J841" s="4" t="s">
        <v>182</v>
      </c>
      <c r="K841" s="4" t="s">
        <v>151</v>
      </c>
      <c r="L841" s="4" t="s">
        <v>3742</v>
      </c>
      <c r="M841" s="4" t="s">
        <v>3746</v>
      </c>
      <c r="N841" s="4" t="s">
        <v>3747</v>
      </c>
      <c r="O841" s="17">
        <f>INDEX('список ID из СУЭ с должностями'!$A:$F,MATCH(E841,'список ID из СУЭ с должностями'!$B:$B,0),5)</f>
        <v>0</v>
      </c>
    </row>
    <row r="842" spans="1:15" ht="90">
      <c r="A842" s="3" t="s">
        <v>10</v>
      </c>
      <c r="B842" s="3" t="s">
        <v>11</v>
      </c>
      <c r="C842" s="4">
        <v>2026</v>
      </c>
      <c r="D842" s="5" t="s">
        <v>12</v>
      </c>
      <c r="E842" s="4">
        <v>118</v>
      </c>
      <c r="F842" s="4" t="s">
        <v>724</v>
      </c>
      <c r="G842" s="4" t="s">
        <v>725</v>
      </c>
      <c r="H842" s="4" t="s">
        <v>15</v>
      </c>
      <c r="I842" s="4" t="s">
        <v>733</v>
      </c>
      <c r="J842" s="4" t="s">
        <v>733</v>
      </c>
      <c r="K842" s="4" t="s">
        <v>52</v>
      </c>
      <c r="L842" s="4" t="s">
        <v>3743</v>
      </c>
      <c r="M842" s="4" t="s">
        <v>3746</v>
      </c>
      <c r="N842" s="4" t="s">
        <v>3747</v>
      </c>
      <c r="O842" s="17">
        <f>INDEX('список ID из СУЭ с должностями'!$A:$F,MATCH(E842,'список ID из СУЭ с должностями'!$B:$B,0),5)</f>
        <v>0</v>
      </c>
    </row>
    <row r="843" spans="1:15" ht="90">
      <c r="A843" s="3" t="s">
        <v>10</v>
      </c>
      <c r="B843" s="3" t="s">
        <v>11</v>
      </c>
      <c r="C843" s="4">
        <v>2026</v>
      </c>
      <c r="D843" s="5" t="s">
        <v>12</v>
      </c>
      <c r="E843" s="4">
        <v>118</v>
      </c>
      <c r="F843" s="4" t="s">
        <v>724</v>
      </c>
      <c r="G843" s="4" t="s">
        <v>725</v>
      </c>
      <c r="H843" s="4" t="s">
        <v>15</v>
      </c>
      <c r="I843" s="4" t="s">
        <v>1179</v>
      </c>
      <c r="J843" s="4" t="s">
        <v>182</v>
      </c>
      <c r="K843" s="4" t="s">
        <v>52</v>
      </c>
      <c r="L843" s="4" t="s">
        <v>3742</v>
      </c>
      <c r="M843" s="4" t="s">
        <v>3746</v>
      </c>
      <c r="N843" s="4" t="s">
        <v>3747</v>
      </c>
      <c r="O843" s="17">
        <f>INDEX('список ID из СУЭ с должностями'!$A:$F,MATCH(E843,'список ID из СУЭ с должностями'!$B:$B,0),5)</f>
        <v>0</v>
      </c>
    </row>
    <row r="844" spans="1:15" ht="90">
      <c r="A844" s="3" t="s">
        <v>10</v>
      </c>
      <c r="B844" s="3" t="s">
        <v>11</v>
      </c>
      <c r="C844" s="4">
        <v>2026</v>
      </c>
      <c r="D844" s="5" t="s">
        <v>12</v>
      </c>
      <c r="E844" s="4">
        <v>118</v>
      </c>
      <c r="F844" s="4" t="s">
        <v>724</v>
      </c>
      <c r="G844" s="4" t="s">
        <v>725</v>
      </c>
      <c r="H844" s="4" t="s">
        <v>15</v>
      </c>
      <c r="I844" s="4" t="s">
        <v>1180</v>
      </c>
      <c r="J844" s="4" t="s">
        <v>132</v>
      </c>
      <c r="K844" s="4" t="s">
        <v>52</v>
      </c>
      <c r="L844" s="4" t="s">
        <v>3742</v>
      </c>
      <c r="M844" s="4" t="s">
        <v>3746</v>
      </c>
      <c r="N844" s="4" t="s">
        <v>3747</v>
      </c>
      <c r="O844" s="17">
        <f>INDEX('список ID из СУЭ с должностями'!$A:$F,MATCH(E844,'список ID из СУЭ с должностями'!$B:$B,0),5)</f>
        <v>0</v>
      </c>
    </row>
    <row r="845" spans="1:15" ht="90">
      <c r="A845" s="3" t="s">
        <v>10</v>
      </c>
      <c r="B845" s="3" t="s">
        <v>11</v>
      </c>
      <c r="C845" s="4">
        <v>2026</v>
      </c>
      <c r="D845" s="5" t="s">
        <v>12</v>
      </c>
      <c r="E845" s="4">
        <v>118</v>
      </c>
      <c r="F845" s="4" t="s">
        <v>724</v>
      </c>
      <c r="G845" s="4" t="s">
        <v>725</v>
      </c>
      <c r="H845" s="4" t="s">
        <v>15</v>
      </c>
      <c r="I845" s="4" t="s">
        <v>1181</v>
      </c>
      <c r="J845" s="4" t="s">
        <v>1182</v>
      </c>
      <c r="K845" s="4" t="s">
        <v>52</v>
      </c>
      <c r="L845" s="4" t="s">
        <v>3743</v>
      </c>
      <c r="M845" s="4" t="s">
        <v>3746</v>
      </c>
      <c r="N845" s="4" t="s">
        <v>3747</v>
      </c>
      <c r="O845" s="17">
        <f>INDEX('список ID из СУЭ с должностями'!$A:$F,MATCH(E845,'список ID из СУЭ с должностями'!$B:$B,0),5)</f>
        <v>0</v>
      </c>
    </row>
    <row r="846" spans="1:15" ht="90">
      <c r="A846" s="3" t="s">
        <v>10</v>
      </c>
      <c r="B846" s="3" t="s">
        <v>11</v>
      </c>
      <c r="C846" s="4">
        <v>2026</v>
      </c>
      <c r="D846" s="5" t="s">
        <v>12</v>
      </c>
      <c r="E846" s="4">
        <v>118</v>
      </c>
      <c r="F846" s="4" t="s">
        <v>724</v>
      </c>
      <c r="G846" s="4" t="s">
        <v>725</v>
      </c>
      <c r="H846" s="4" t="s">
        <v>15</v>
      </c>
      <c r="I846" s="4" t="s">
        <v>1183</v>
      </c>
      <c r="J846" s="4" t="s">
        <v>1184</v>
      </c>
      <c r="K846" s="4" t="s">
        <v>52</v>
      </c>
      <c r="L846" s="4" t="s">
        <v>3743</v>
      </c>
      <c r="M846" s="4" t="s">
        <v>3746</v>
      </c>
      <c r="N846" s="4" t="s">
        <v>3747</v>
      </c>
      <c r="O846" s="17">
        <f>INDEX('список ID из СУЭ с должностями'!$A:$F,MATCH(E846,'список ID из СУЭ с должностями'!$B:$B,0),5)</f>
        <v>0</v>
      </c>
    </row>
    <row r="847" spans="1:15" ht="90">
      <c r="A847" s="3" t="s">
        <v>10</v>
      </c>
      <c r="B847" s="3" t="s">
        <v>11</v>
      </c>
      <c r="C847" s="4">
        <v>2026</v>
      </c>
      <c r="D847" s="5" t="s">
        <v>12</v>
      </c>
      <c r="E847" s="4">
        <v>118</v>
      </c>
      <c r="F847" s="4" t="s">
        <v>724</v>
      </c>
      <c r="G847" s="4" t="s">
        <v>725</v>
      </c>
      <c r="H847" s="4" t="s">
        <v>15</v>
      </c>
      <c r="I847" s="4" t="s">
        <v>1071</v>
      </c>
      <c r="J847" s="4" t="s">
        <v>1185</v>
      </c>
      <c r="K847" s="4" t="s">
        <v>35</v>
      </c>
      <c r="L847" s="4" t="s">
        <v>3743</v>
      </c>
      <c r="M847" s="4" t="s">
        <v>3746</v>
      </c>
      <c r="N847" s="4" t="s">
        <v>3747</v>
      </c>
      <c r="O847" s="17">
        <f>INDEX('список ID из СУЭ с должностями'!$A:$F,MATCH(E847,'список ID из СУЭ с должностями'!$B:$B,0),5)</f>
        <v>0</v>
      </c>
    </row>
    <row r="848" spans="1:15" ht="135">
      <c r="A848" s="3" t="s">
        <v>10</v>
      </c>
      <c r="B848" s="3" t="s">
        <v>11</v>
      </c>
      <c r="C848" s="4">
        <v>2026</v>
      </c>
      <c r="D848" s="5" t="s">
        <v>12</v>
      </c>
      <c r="E848" s="4">
        <v>118</v>
      </c>
      <c r="F848" s="4" t="s">
        <v>724</v>
      </c>
      <c r="G848" s="4" t="s">
        <v>725</v>
      </c>
      <c r="H848" s="4" t="s">
        <v>15</v>
      </c>
      <c r="I848" s="4" t="s">
        <v>1186</v>
      </c>
      <c r="J848" s="4" t="s">
        <v>1187</v>
      </c>
      <c r="K848" s="4" t="s">
        <v>52</v>
      </c>
      <c r="L848" s="4" t="s">
        <v>3743</v>
      </c>
      <c r="M848" s="4" t="s">
        <v>3746</v>
      </c>
      <c r="N848" s="4" t="s">
        <v>3747</v>
      </c>
      <c r="O848" s="17">
        <f>INDEX('список ID из СУЭ с должностями'!$A:$F,MATCH(E848,'список ID из СУЭ с должностями'!$B:$B,0),5)</f>
        <v>0</v>
      </c>
    </row>
    <row r="849" spans="1:15" ht="75">
      <c r="A849" s="3" t="s">
        <v>10</v>
      </c>
      <c r="B849" s="3" t="s">
        <v>11</v>
      </c>
      <c r="C849" s="4">
        <v>2026</v>
      </c>
      <c r="D849" s="5" t="s">
        <v>12</v>
      </c>
      <c r="E849" s="4">
        <v>119</v>
      </c>
      <c r="F849" s="4" t="s">
        <v>84</v>
      </c>
      <c r="G849" s="4" t="s">
        <v>85</v>
      </c>
      <c r="H849" s="4" t="s">
        <v>21</v>
      </c>
      <c r="I849" s="4" t="s">
        <v>1188</v>
      </c>
      <c r="J849" s="4" t="s">
        <v>1189</v>
      </c>
      <c r="K849" s="4" t="s">
        <v>66</v>
      </c>
      <c r="L849" s="4" t="s">
        <v>3743</v>
      </c>
      <c r="M849" s="4" t="s">
        <v>3746</v>
      </c>
      <c r="N849" s="4" t="s">
        <v>3747</v>
      </c>
      <c r="O849" s="17">
        <f>INDEX('список ID из СУЭ с должностями'!$A:$F,MATCH(E849,'список ID из СУЭ с должностями'!$B:$B,0),5)</f>
        <v>0</v>
      </c>
    </row>
    <row r="850" spans="1:15" ht="75">
      <c r="A850" s="3" t="s">
        <v>10</v>
      </c>
      <c r="B850" s="3" t="s">
        <v>11</v>
      </c>
      <c r="C850" s="4">
        <v>2026</v>
      </c>
      <c r="D850" s="5" t="s">
        <v>12</v>
      </c>
      <c r="E850" s="4">
        <v>119</v>
      </c>
      <c r="F850" s="4" t="s">
        <v>84</v>
      </c>
      <c r="G850" s="4" t="s">
        <v>85</v>
      </c>
      <c r="H850" s="4" t="s">
        <v>15</v>
      </c>
      <c r="I850" s="4" t="s">
        <v>1190</v>
      </c>
      <c r="J850" s="4" t="s">
        <v>1191</v>
      </c>
      <c r="K850" s="4" t="s">
        <v>30</v>
      </c>
      <c r="L850" s="4" t="s">
        <v>3743</v>
      </c>
      <c r="M850" s="4" t="s">
        <v>3746</v>
      </c>
      <c r="N850" s="4" t="s">
        <v>3747</v>
      </c>
      <c r="O850" s="17">
        <f>INDEX('список ID из СУЭ с должностями'!$A:$F,MATCH(E850,'список ID из СУЭ с должностями'!$B:$B,0),5)</f>
        <v>0</v>
      </c>
    </row>
    <row r="851" spans="1:15" ht="75">
      <c r="A851" s="3" t="s">
        <v>10</v>
      </c>
      <c r="B851" s="3" t="s">
        <v>11</v>
      </c>
      <c r="C851" s="4">
        <v>2026</v>
      </c>
      <c r="D851" s="5" t="s">
        <v>12</v>
      </c>
      <c r="E851" s="4">
        <v>119</v>
      </c>
      <c r="F851" s="4" t="s">
        <v>84</v>
      </c>
      <c r="G851" s="4" t="s">
        <v>85</v>
      </c>
      <c r="H851" s="4" t="s">
        <v>41</v>
      </c>
      <c r="I851" s="4" t="s">
        <v>268</v>
      </c>
      <c r="J851" s="4" t="s">
        <v>1192</v>
      </c>
      <c r="K851" s="4" t="s">
        <v>30</v>
      </c>
      <c r="L851" s="4" t="s">
        <v>3743</v>
      </c>
      <c r="M851" s="4" t="s">
        <v>3746</v>
      </c>
      <c r="N851" s="4" t="s">
        <v>3747</v>
      </c>
      <c r="O851" s="17">
        <f>INDEX('список ID из СУЭ с должностями'!$A:$F,MATCH(E851,'список ID из СУЭ с должностями'!$B:$B,0),5)</f>
        <v>0</v>
      </c>
    </row>
    <row r="852" spans="1:15" ht="90">
      <c r="A852" s="3" t="s">
        <v>10</v>
      </c>
      <c r="B852" s="3" t="s">
        <v>11</v>
      </c>
      <c r="C852" s="4">
        <v>2026</v>
      </c>
      <c r="D852" s="5" t="s">
        <v>12</v>
      </c>
      <c r="E852" s="4">
        <v>119</v>
      </c>
      <c r="F852" s="4" t="s">
        <v>84</v>
      </c>
      <c r="G852" s="4" t="s">
        <v>85</v>
      </c>
      <c r="H852" s="4" t="s">
        <v>41</v>
      </c>
      <c r="I852" s="4" t="s">
        <v>1193</v>
      </c>
      <c r="J852" s="4" t="s">
        <v>1194</v>
      </c>
      <c r="K852" s="4" t="s">
        <v>23</v>
      </c>
      <c r="L852" s="4" t="s">
        <v>3743</v>
      </c>
      <c r="M852" s="4" t="s">
        <v>3748</v>
      </c>
      <c r="N852" s="4" t="s">
        <v>3752</v>
      </c>
      <c r="O852" s="17">
        <f>INDEX('список ID из СУЭ с должностями'!$A:$F,MATCH(E852,'список ID из СУЭ с должностями'!$B:$B,0),5)</f>
        <v>0</v>
      </c>
    </row>
    <row r="853" spans="1:15" ht="75">
      <c r="A853" s="3" t="s">
        <v>10</v>
      </c>
      <c r="B853" s="3" t="s">
        <v>11</v>
      </c>
      <c r="C853" s="4">
        <v>2026</v>
      </c>
      <c r="D853" s="5" t="s">
        <v>12</v>
      </c>
      <c r="E853" s="4">
        <v>119</v>
      </c>
      <c r="F853" s="4" t="s">
        <v>84</v>
      </c>
      <c r="G853" s="4" t="s">
        <v>85</v>
      </c>
      <c r="H853" s="4" t="s">
        <v>21</v>
      </c>
      <c r="I853" s="4" t="s">
        <v>1195</v>
      </c>
      <c r="J853" s="4" t="s">
        <v>1196</v>
      </c>
      <c r="K853" s="4" t="s">
        <v>30</v>
      </c>
      <c r="L853" s="4" t="s">
        <v>3743</v>
      </c>
      <c r="M853" s="4" t="s">
        <v>3746</v>
      </c>
      <c r="N853" s="4" t="s">
        <v>3747</v>
      </c>
      <c r="O853" s="17">
        <f>INDEX('список ID из СУЭ с должностями'!$A:$F,MATCH(E853,'список ID из СУЭ с должностями'!$B:$B,0),5)</f>
        <v>0</v>
      </c>
    </row>
    <row r="854" spans="1:15" ht="105">
      <c r="A854" s="3" t="s">
        <v>10</v>
      </c>
      <c r="B854" s="3" t="s">
        <v>11</v>
      </c>
      <c r="C854" s="4">
        <v>2026</v>
      </c>
      <c r="D854" s="5" t="s">
        <v>12</v>
      </c>
      <c r="E854" s="4">
        <v>119</v>
      </c>
      <c r="F854" s="4" t="s">
        <v>84</v>
      </c>
      <c r="G854" s="4" t="s">
        <v>85</v>
      </c>
      <c r="H854" s="4" t="s">
        <v>15</v>
      </c>
      <c r="I854" s="4" t="s">
        <v>86</v>
      </c>
      <c r="J854" s="4" t="s">
        <v>1197</v>
      </c>
      <c r="K854" s="4" t="s">
        <v>35</v>
      </c>
      <c r="L854" s="4" t="s">
        <v>3743</v>
      </c>
      <c r="M854" s="4" t="s">
        <v>3746</v>
      </c>
      <c r="N854" s="4" t="s">
        <v>3747</v>
      </c>
      <c r="O854" s="17">
        <f>INDEX('список ID из СУЭ с должностями'!$A:$F,MATCH(E854,'список ID из СУЭ с должностями'!$B:$B,0),5)</f>
        <v>0</v>
      </c>
    </row>
    <row r="855" spans="1:15" ht="409.5">
      <c r="A855" s="3" t="s">
        <v>10</v>
      </c>
      <c r="B855" s="3" t="s">
        <v>11</v>
      </c>
      <c r="C855" s="4">
        <v>2026</v>
      </c>
      <c r="D855" s="5" t="s">
        <v>12</v>
      </c>
      <c r="E855" s="4">
        <v>119</v>
      </c>
      <c r="F855" s="4" t="s">
        <v>84</v>
      </c>
      <c r="G855" s="4" t="s">
        <v>85</v>
      </c>
      <c r="H855" s="4" t="s">
        <v>21</v>
      </c>
      <c r="I855" s="4" t="s">
        <v>1198</v>
      </c>
      <c r="J855" s="4" t="s">
        <v>1199</v>
      </c>
      <c r="K855" s="4" t="s">
        <v>30</v>
      </c>
      <c r="L855" s="4" t="s">
        <v>3743</v>
      </c>
      <c r="M855" s="4" t="s">
        <v>3746</v>
      </c>
      <c r="N855" s="4" t="s">
        <v>3747</v>
      </c>
      <c r="O855" s="17">
        <f>INDEX('список ID из СУЭ с должностями'!$A:$F,MATCH(E855,'список ID из СУЭ с должностями'!$B:$B,0),5)</f>
        <v>0</v>
      </c>
    </row>
    <row r="856" spans="1:15" ht="75">
      <c r="A856" s="3" t="s">
        <v>10</v>
      </c>
      <c r="B856" s="3" t="s">
        <v>11</v>
      </c>
      <c r="C856" s="4">
        <v>2026</v>
      </c>
      <c r="D856" s="5" t="s">
        <v>12</v>
      </c>
      <c r="E856" s="4">
        <v>119</v>
      </c>
      <c r="F856" s="4" t="s">
        <v>84</v>
      </c>
      <c r="G856" s="4" t="s">
        <v>85</v>
      </c>
      <c r="H856" s="4" t="s">
        <v>15</v>
      </c>
      <c r="I856" s="4" t="s">
        <v>1200</v>
      </c>
      <c r="J856" s="4" t="s">
        <v>378</v>
      </c>
      <c r="K856" s="4" t="s">
        <v>30</v>
      </c>
      <c r="L856" s="4" t="s">
        <v>3742</v>
      </c>
      <c r="M856" s="4" t="s">
        <v>3746</v>
      </c>
      <c r="N856" s="4" t="s">
        <v>3747</v>
      </c>
      <c r="O856" s="17">
        <f>INDEX('список ID из СУЭ с должностями'!$A:$F,MATCH(E856,'список ID из СУЭ с должностями'!$B:$B,0),5)</f>
        <v>0</v>
      </c>
    </row>
    <row r="857" spans="1:15" ht="75">
      <c r="A857" s="3" t="s">
        <v>10</v>
      </c>
      <c r="B857" s="3" t="s">
        <v>11</v>
      </c>
      <c r="C857" s="4">
        <v>2026</v>
      </c>
      <c r="D857" s="5" t="s">
        <v>12</v>
      </c>
      <c r="E857" s="4">
        <v>119</v>
      </c>
      <c r="F857" s="4" t="s">
        <v>84</v>
      </c>
      <c r="G857" s="4" t="s">
        <v>85</v>
      </c>
      <c r="H857" s="4" t="s">
        <v>15</v>
      </c>
      <c r="I857" s="4" t="s">
        <v>1201</v>
      </c>
      <c r="J857" s="4" t="s">
        <v>182</v>
      </c>
      <c r="K857" s="4" t="s">
        <v>30</v>
      </c>
      <c r="L857" s="4" t="s">
        <v>3742</v>
      </c>
      <c r="M857" s="4" t="s">
        <v>3746</v>
      </c>
      <c r="N857" s="4" t="s">
        <v>3747</v>
      </c>
      <c r="O857" s="17">
        <f>INDEX('список ID из СУЭ с должностями'!$A:$F,MATCH(E857,'список ID из СУЭ с должностями'!$B:$B,0),5)</f>
        <v>0</v>
      </c>
    </row>
    <row r="858" spans="1:15" ht="105">
      <c r="A858" s="3" t="s">
        <v>10</v>
      </c>
      <c r="B858" s="3" t="s">
        <v>11</v>
      </c>
      <c r="C858" s="4">
        <v>2026</v>
      </c>
      <c r="D858" s="5" t="s">
        <v>12</v>
      </c>
      <c r="E858" s="4">
        <v>120</v>
      </c>
      <c r="F858" s="4" t="s">
        <v>67</v>
      </c>
      <c r="G858" s="4" t="s">
        <v>99</v>
      </c>
      <c r="H858" s="4" t="s">
        <v>15</v>
      </c>
      <c r="I858" s="4" t="s">
        <v>86</v>
      </c>
      <c r="J858" s="4" t="s">
        <v>1126</v>
      </c>
      <c r="K858" s="4" t="s">
        <v>35</v>
      </c>
      <c r="L858" s="4" t="s">
        <v>3743</v>
      </c>
      <c r="M858" s="4" t="s">
        <v>3746</v>
      </c>
      <c r="N858" s="4" t="s">
        <v>3747</v>
      </c>
      <c r="O858" s="17">
        <f>INDEX('список ID из СУЭ с должностями'!$A:$F,MATCH(E858,'список ID из СУЭ с должностями'!$B:$B,0),5)</f>
        <v>0</v>
      </c>
    </row>
    <row r="859" spans="1:15" ht="105">
      <c r="A859" s="3" t="s">
        <v>10</v>
      </c>
      <c r="B859" s="3" t="s">
        <v>11</v>
      </c>
      <c r="C859" s="4">
        <v>2026</v>
      </c>
      <c r="D859" s="5" t="s">
        <v>12</v>
      </c>
      <c r="E859" s="4">
        <v>120</v>
      </c>
      <c r="F859" s="4" t="s">
        <v>67</v>
      </c>
      <c r="G859" s="4" t="s">
        <v>99</v>
      </c>
      <c r="H859" s="4" t="s">
        <v>15</v>
      </c>
      <c r="I859" s="4" t="s">
        <v>1127</v>
      </c>
      <c r="J859" s="4" t="s">
        <v>1128</v>
      </c>
      <c r="K859" s="4" t="s">
        <v>30</v>
      </c>
      <c r="L859" s="4" t="s">
        <v>3743</v>
      </c>
      <c r="M859" s="4" t="s">
        <v>3746</v>
      </c>
      <c r="N859" s="4" t="s">
        <v>3747</v>
      </c>
      <c r="O859" s="17">
        <f>INDEX('список ID из СУЭ с должностями'!$A:$F,MATCH(E859,'список ID из СУЭ с должностями'!$B:$B,0),5)</f>
        <v>0</v>
      </c>
    </row>
    <row r="860" spans="1:15" ht="105">
      <c r="A860" s="3" t="s">
        <v>10</v>
      </c>
      <c r="B860" s="3" t="s">
        <v>11</v>
      </c>
      <c r="C860" s="4">
        <v>2026</v>
      </c>
      <c r="D860" s="5" t="s">
        <v>12</v>
      </c>
      <c r="E860" s="4">
        <v>120</v>
      </c>
      <c r="F860" s="4" t="s">
        <v>67</v>
      </c>
      <c r="G860" s="4" t="s">
        <v>99</v>
      </c>
      <c r="H860" s="4" t="s">
        <v>21</v>
      </c>
      <c r="I860" s="4" t="s">
        <v>1129</v>
      </c>
      <c r="J860" s="4" t="s">
        <v>1202</v>
      </c>
      <c r="K860" s="4" t="s">
        <v>30</v>
      </c>
      <c r="L860" s="4" t="s">
        <v>3742</v>
      </c>
      <c r="M860" s="4" t="s">
        <v>3746</v>
      </c>
      <c r="N860" s="4" t="s">
        <v>3747</v>
      </c>
      <c r="O860" s="17">
        <f>INDEX('список ID из СУЭ с должностями'!$A:$F,MATCH(E860,'список ID из СУЭ с должностями'!$B:$B,0),5)</f>
        <v>0</v>
      </c>
    </row>
    <row r="861" spans="1:15" ht="315">
      <c r="A861" s="3" t="s">
        <v>10</v>
      </c>
      <c r="B861" s="3" t="s">
        <v>11</v>
      </c>
      <c r="C861" s="4">
        <v>2026</v>
      </c>
      <c r="D861" s="5" t="s">
        <v>12</v>
      </c>
      <c r="E861" s="4">
        <v>121</v>
      </c>
      <c r="F861" s="4" t="s">
        <v>316</v>
      </c>
      <c r="G861" s="4" t="s">
        <v>1203</v>
      </c>
      <c r="H861" s="4" t="s">
        <v>15</v>
      </c>
      <c r="I861" s="4" t="s">
        <v>28</v>
      </c>
      <c r="J861" s="4" t="s">
        <v>824</v>
      </c>
      <c r="K861" s="4" t="s">
        <v>25</v>
      </c>
      <c r="L861" s="4" t="s">
        <v>3743</v>
      </c>
      <c r="M861" s="4" t="s">
        <v>3746</v>
      </c>
      <c r="N861" s="4" t="s">
        <v>3747</v>
      </c>
      <c r="O861" s="17">
        <f>INDEX('список ID из СУЭ с должностями'!$A:$F,MATCH(E861,'список ID из СУЭ с должностями'!$B:$B,0),5)</f>
        <v>0</v>
      </c>
    </row>
    <row r="862" spans="1:15" ht="120">
      <c r="A862" s="3" t="s">
        <v>10</v>
      </c>
      <c r="B862" s="3" t="s">
        <v>11</v>
      </c>
      <c r="C862" s="4">
        <v>2026</v>
      </c>
      <c r="D862" s="5" t="s">
        <v>12</v>
      </c>
      <c r="E862" s="4">
        <v>121</v>
      </c>
      <c r="F862" s="4" t="s">
        <v>316</v>
      </c>
      <c r="G862" s="4" t="s">
        <v>1203</v>
      </c>
      <c r="H862" s="4" t="s">
        <v>15</v>
      </c>
      <c r="I862" s="4" t="s">
        <v>356</v>
      </c>
      <c r="J862" s="4" t="s">
        <v>821</v>
      </c>
      <c r="K862" s="4" t="s">
        <v>25</v>
      </c>
      <c r="L862" s="4" t="s">
        <v>3743</v>
      </c>
      <c r="M862" s="4" t="s">
        <v>3746</v>
      </c>
      <c r="N862" s="4" t="s">
        <v>3747</v>
      </c>
      <c r="O862" s="17">
        <f>INDEX('список ID из СУЭ с должностями'!$A:$F,MATCH(E862,'список ID из СУЭ с должностями'!$B:$B,0),5)</f>
        <v>0</v>
      </c>
    </row>
    <row r="863" spans="1:15" ht="105">
      <c r="A863" s="3" t="s">
        <v>10</v>
      </c>
      <c r="B863" s="3" t="s">
        <v>11</v>
      </c>
      <c r="C863" s="4">
        <v>2026</v>
      </c>
      <c r="D863" s="5" t="s">
        <v>12</v>
      </c>
      <c r="E863" s="4">
        <v>121</v>
      </c>
      <c r="F863" s="4" t="s">
        <v>316</v>
      </c>
      <c r="G863" s="4" t="s">
        <v>1203</v>
      </c>
      <c r="H863" s="4" t="s">
        <v>15</v>
      </c>
      <c r="I863" s="4" t="s">
        <v>358</v>
      </c>
      <c r="J863" s="4" t="s">
        <v>825</v>
      </c>
      <c r="K863" s="4" t="s">
        <v>66</v>
      </c>
      <c r="L863" s="4" t="s">
        <v>3743</v>
      </c>
      <c r="M863" s="4" t="s">
        <v>3746</v>
      </c>
      <c r="N863" s="4" t="s">
        <v>3747</v>
      </c>
      <c r="O863" s="17">
        <f>INDEX('список ID из СУЭ с должностями'!$A:$F,MATCH(E863,'список ID из СУЭ с должностями'!$B:$B,0),5)</f>
        <v>0</v>
      </c>
    </row>
    <row r="864" spans="1:15" ht="330">
      <c r="A864" s="3" t="s">
        <v>10</v>
      </c>
      <c r="B864" s="3" t="s">
        <v>11</v>
      </c>
      <c r="C864" s="4">
        <v>2026</v>
      </c>
      <c r="D864" s="5" t="s">
        <v>12</v>
      </c>
      <c r="E864" s="4">
        <v>121</v>
      </c>
      <c r="F864" s="4" t="s">
        <v>316</v>
      </c>
      <c r="G864" s="4" t="s">
        <v>1203</v>
      </c>
      <c r="H864" s="4" t="s">
        <v>15</v>
      </c>
      <c r="I864" s="4" t="s">
        <v>325</v>
      </c>
      <c r="J864" s="4" t="s">
        <v>1204</v>
      </c>
      <c r="K864" s="4" t="s">
        <v>35</v>
      </c>
      <c r="L864" s="4" t="s">
        <v>3743</v>
      </c>
      <c r="M864" s="4" t="s">
        <v>3746</v>
      </c>
      <c r="N864" s="4" t="s">
        <v>3747</v>
      </c>
      <c r="O864" s="17">
        <f>INDEX('список ID из СУЭ с должностями'!$A:$F,MATCH(E864,'список ID из СУЭ с должностями'!$B:$B,0),5)</f>
        <v>0</v>
      </c>
    </row>
    <row r="865" spans="1:15" ht="135">
      <c r="A865" s="3" t="s">
        <v>10</v>
      </c>
      <c r="B865" s="3" t="s">
        <v>11</v>
      </c>
      <c r="C865" s="4">
        <v>2026</v>
      </c>
      <c r="D865" s="5" t="s">
        <v>12</v>
      </c>
      <c r="E865" s="4">
        <v>121</v>
      </c>
      <c r="F865" s="4" t="s">
        <v>316</v>
      </c>
      <c r="G865" s="4" t="s">
        <v>1203</v>
      </c>
      <c r="H865" s="4" t="s">
        <v>15</v>
      </c>
      <c r="I865" s="4" t="s">
        <v>318</v>
      </c>
      <c r="J865" s="4" t="s">
        <v>1205</v>
      </c>
      <c r="K865" s="4" t="s">
        <v>188</v>
      </c>
      <c r="L865" s="4" t="s">
        <v>3743</v>
      </c>
      <c r="M865" s="4" t="s">
        <v>3746</v>
      </c>
      <c r="N865" s="4" t="s">
        <v>3747</v>
      </c>
      <c r="O865" s="17">
        <f>INDEX('список ID из СУЭ с должностями'!$A:$F,MATCH(E865,'список ID из СУЭ с должностями'!$B:$B,0),5)</f>
        <v>0</v>
      </c>
    </row>
    <row r="866" spans="1:15" ht="315">
      <c r="A866" s="3" t="s">
        <v>10</v>
      </c>
      <c r="B866" s="3" t="s">
        <v>11</v>
      </c>
      <c r="C866" s="4">
        <v>2026</v>
      </c>
      <c r="D866" s="5" t="s">
        <v>12</v>
      </c>
      <c r="E866" s="4">
        <v>121</v>
      </c>
      <c r="F866" s="4" t="s">
        <v>316</v>
      </c>
      <c r="G866" s="4" t="s">
        <v>1203</v>
      </c>
      <c r="H866" s="4" t="s">
        <v>41</v>
      </c>
      <c r="I866" s="4" t="s">
        <v>352</v>
      </c>
      <c r="J866" s="4" t="s">
        <v>823</v>
      </c>
      <c r="K866" s="4" t="s">
        <v>25</v>
      </c>
      <c r="L866" s="4" t="s">
        <v>3743</v>
      </c>
      <c r="M866" s="4" t="s">
        <v>3746</v>
      </c>
      <c r="N866" s="4" t="s">
        <v>3747</v>
      </c>
      <c r="O866" s="17">
        <f>INDEX('список ID из СУЭ с должностями'!$A:$F,MATCH(E866,'список ID из СУЭ с должностями'!$B:$B,0),5)</f>
        <v>0</v>
      </c>
    </row>
    <row r="867" spans="1:15" ht="330">
      <c r="A867" s="3" t="s">
        <v>10</v>
      </c>
      <c r="B867" s="3" t="s">
        <v>11</v>
      </c>
      <c r="C867" s="4">
        <v>2026</v>
      </c>
      <c r="D867" s="5" t="s">
        <v>12</v>
      </c>
      <c r="E867" s="4">
        <v>121</v>
      </c>
      <c r="F867" s="4" t="s">
        <v>316</v>
      </c>
      <c r="G867" s="4" t="s">
        <v>1203</v>
      </c>
      <c r="H867" s="4" t="s">
        <v>15</v>
      </c>
      <c r="I867" s="4" t="s">
        <v>323</v>
      </c>
      <c r="J867" s="4" t="s">
        <v>826</v>
      </c>
      <c r="K867" s="4" t="s">
        <v>66</v>
      </c>
      <c r="L867" s="4" t="s">
        <v>3743</v>
      </c>
      <c r="M867" s="4" t="s">
        <v>3746</v>
      </c>
      <c r="N867" s="4" t="s">
        <v>3747</v>
      </c>
      <c r="O867" s="17">
        <f>INDEX('список ID из СУЭ с должностями'!$A:$F,MATCH(E867,'список ID из СУЭ с должностями'!$B:$B,0),5)</f>
        <v>0</v>
      </c>
    </row>
    <row r="868" spans="1:15" ht="409.5">
      <c r="A868" s="3" t="s">
        <v>10</v>
      </c>
      <c r="B868" s="3" t="s">
        <v>11</v>
      </c>
      <c r="C868" s="4">
        <v>2026</v>
      </c>
      <c r="D868" s="5" t="s">
        <v>12</v>
      </c>
      <c r="E868" s="4">
        <v>121</v>
      </c>
      <c r="F868" s="4" t="s">
        <v>316</v>
      </c>
      <c r="G868" s="4" t="s">
        <v>1203</v>
      </c>
      <c r="H868" s="4" t="s">
        <v>15</v>
      </c>
      <c r="I868" s="4" t="s">
        <v>354</v>
      </c>
      <c r="J868" s="4" t="s">
        <v>1059</v>
      </c>
      <c r="K868" s="4" t="s">
        <v>25</v>
      </c>
      <c r="L868" s="4" t="s">
        <v>3743</v>
      </c>
      <c r="M868" s="4" t="s">
        <v>3746</v>
      </c>
      <c r="N868" s="4" t="s">
        <v>3747</v>
      </c>
      <c r="O868" s="17">
        <f>INDEX('список ID из СУЭ с должностями'!$A:$F,MATCH(E868,'список ID из СУЭ с должностями'!$B:$B,0),5)</f>
        <v>0</v>
      </c>
    </row>
    <row r="869" spans="1:15" ht="165">
      <c r="A869" s="3" t="s">
        <v>10</v>
      </c>
      <c r="B869" s="3" t="s">
        <v>11</v>
      </c>
      <c r="C869" s="4">
        <v>2026</v>
      </c>
      <c r="D869" s="5" t="s">
        <v>12</v>
      </c>
      <c r="E869" s="4">
        <v>122</v>
      </c>
      <c r="F869" s="4" t="s">
        <v>385</v>
      </c>
      <c r="G869" s="4" t="s">
        <v>404</v>
      </c>
      <c r="H869" s="4" t="s">
        <v>15</v>
      </c>
      <c r="I869" s="4" t="s">
        <v>408</v>
      </c>
      <c r="J869" s="4" t="s">
        <v>1206</v>
      </c>
      <c r="K869" s="4" t="s">
        <v>35</v>
      </c>
      <c r="L869" s="4" t="s">
        <v>3743</v>
      </c>
      <c r="M869" s="4" t="s">
        <v>3746</v>
      </c>
      <c r="N869" s="4" t="s">
        <v>3747</v>
      </c>
      <c r="O869" s="17">
        <f>INDEX('список ID из СУЭ с должностями'!$A:$F,MATCH(E869,'список ID из СУЭ с должностями'!$B:$B,0),5)</f>
        <v>0</v>
      </c>
    </row>
    <row r="870" spans="1:15" ht="45">
      <c r="A870" s="3" t="s">
        <v>10</v>
      </c>
      <c r="B870" s="3" t="s">
        <v>11</v>
      </c>
      <c r="C870" s="4">
        <v>2026</v>
      </c>
      <c r="D870" s="5" t="s">
        <v>12</v>
      </c>
      <c r="E870" s="4">
        <v>122</v>
      </c>
      <c r="F870" s="4" t="s">
        <v>385</v>
      </c>
      <c r="G870" s="4" t="s">
        <v>404</v>
      </c>
      <c r="H870" s="4" t="s">
        <v>15</v>
      </c>
      <c r="I870" s="4" t="s">
        <v>1207</v>
      </c>
      <c r="J870" s="4" t="s">
        <v>1208</v>
      </c>
      <c r="K870" s="4" t="s">
        <v>52</v>
      </c>
      <c r="L870" s="4" t="s">
        <v>3743</v>
      </c>
      <c r="M870" s="4" t="s">
        <v>3746</v>
      </c>
      <c r="N870" s="4" t="s">
        <v>3747</v>
      </c>
      <c r="O870" s="17">
        <f>INDEX('список ID из СУЭ с должностями'!$A:$F,MATCH(E870,'список ID из СУЭ с должностями'!$B:$B,0),5)</f>
        <v>0</v>
      </c>
    </row>
    <row r="871" spans="1:15" ht="150">
      <c r="A871" s="3" t="s">
        <v>10</v>
      </c>
      <c r="B871" s="3" t="s">
        <v>11</v>
      </c>
      <c r="C871" s="4">
        <v>2026</v>
      </c>
      <c r="D871" s="5" t="s">
        <v>12</v>
      </c>
      <c r="E871" s="4">
        <v>122</v>
      </c>
      <c r="F871" s="4" t="s">
        <v>385</v>
      </c>
      <c r="G871" s="4" t="s">
        <v>404</v>
      </c>
      <c r="H871" s="4" t="s">
        <v>41</v>
      </c>
      <c r="I871" s="4" t="s">
        <v>1209</v>
      </c>
      <c r="J871" s="4" t="s">
        <v>1210</v>
      </c>
      <c r="K871" s="4" t="s">
        <v>52</v>
      </c>
      <c r="L871" s="4" t="s">
        <v>3743</v>
      </c>
      <c r="M871" s="4" t="s">
        <v>3746</v>
      </c>
      <c r="N871" s="4" t="s">
        <v>3747</v>
      </c>
      <c r="O871" s="17">
        <f>INDEX('список ID из СУЭ с должностями'!$A:$F,MATCH(E871,'список ID из СУЭ с должностями'!$B:$B,0),5)</f>
        <v>0</v>
      </c>
    </row>
    <row r="872" spans="1:15" ht="60">
      <c r="A872" s="3" t="s">
        <v>10</v>
      </c>
      <c r="B872" s="3" t="s">
        <v>11</v>
      </c>
      <c r="C872" s="4">
        <v>2026</v>
      </c>
      <c r="D872" s="5" t="s">
        <v>12</v>
      </c>
      <c r="E872" s="4">
        <v>122</v>
      </c>
      <c r="F872" s="4" t="s">
        <v>385</v>
      </c>
      <c r="G872" s="4" t="s">
        <v>404</v>
      </c>
      <c r="H872" s="4" t="s">
        <v>41</v>
      </c>
      <c r="I872" s="4" t="s">
        <v>1211</v>
      </c>
      <c r="J872" s="4" t="s">
        <v>1212</v>
      </c>
      <c r="K872" s="4" t="s">
        <v>52</v>
      </c>
      <c r="L872" s="4" t="s">
        <v>3743</v>
      </c>
      <c r="M872" s="4" t="s">
        <v>3746</v>
      </c>
      <c r="N872" s="4" t="s">
        <v>3747</v>
      </c>
      <c r="O872" s="17">
        <f>INDEX('список ID из СУЭ с должностями'!$A:$F,MATCH(E872,'список ID из СУЭ с должностями'!$B:$B,0),5)</f>
        <v>0</v>
      </c>
    </row>
    <row r="873" spans="1:15" ht="120">
      <c r="A873" s="3" t="s">
        <v>10</v>
      </c>
      <c r="B873" s="3" t="s">
        <v>11</v>
      </c>
      <c r="C873" s="4">
        <v>2026</v>
      </c>
      <c r="D873" s="5" t="s">
        <v>12</v>
      </c>
      <c r="E873" s="4">
        <v>122</v>
      </c>
      <c r="F873" s="4" t="s">
        <v>385</v>
      </c>
      <c r="G873" s="4" t="s">
        <v>404</v>
      </c>
      <c r="H873" s="4" t="s">
        <v>21</v>
      </c>
      <c r="I873" s="4" t="s">
        <v>52</v>
      </c>
      <c r="J873" s="4" t="s">
        <v>1213</v>
      </c>
      <c r="K873" s="4" t="s">
        <v>52</v>
      </c>
      <c r="L873" s="4" t="s">
        <v>3743</v>
      </c>
      <c r="M873" s="4" t="s">
        <v>3746</v>
      </c>
      <c r="N873" s="4" t="s">
        <v>3747</v>
      </c>
      <c r="O873" s="17">
        <f>INDEX('список ID из СУЭ с должностями'!$A:$F,MATCH(E873,'список ID из СУЭ с должностями'!$B:$B,0),5)</f>
        <v>0</v>
      </c>
    </row>
    <row r="874" spans="1:15" ht="360">
      <c r="A874" s="3" t="s">
        <v>10</v>
      </c>
      <c r="B874" s="3" t="s">
        <v>11</v>
      </c>
      <c r="C874" s="4">
        <v>2026</v>
      </c>
      <c r="D874" s="5" t="s">
        <v>12</v>
      </c>
      <c r="E874" s="4">
        <v>122</v>
      </c>
      <c r="F874" s="4" t="s">
        <v>385</v>
      </c>
      <c r="G874" s="4" t="s">
        <v>404</v>
      </c>
      <c r="H874" s="4" t="s">
        <v>15</v>
      </c>
      <c r="I874" s="4" t="s">
        <v>405</v>
      </c>
      <c r="J874" s="4" t="s">
        <v>1214</v>
      </c>
      <c r="K874" s="4" t="s">
        <v>52</v>
      </c>
      <c r="L874" s="4" t="s">
        <v>3743</v>
      </c>
      <c r="M874" s="4" t="s">
        <v>3746</v>
      </c>
      <c r="N874" s="4" t="s">
        <v>3747</v>
      </c>
      <c r="O874" s="17">
        <f>INDEX('список ID из СУЭ с должностями'!$A:$F,MATCH(E874,'список ID из СУЭ с должностями'!$B:$B,0),5)</f>
        <v>0</v>
      </c>
    </row>
    <row r="875" spans="1:15" ht="45">
      <c r="A875" s="3" t="s">
        <v>10</v>
      </c>
      <c r="B875" s="3" t="s">
        <v>11</v>
      </c>
      <c r="C875" s="4">
        <v>2026</v>
      </c>
      <c r="D875" s="5" t="s">
        <v>12</v>
      </c>
      <c r="E875" s="4">
        <v>122</v>
      </c>
      <c r="F875" s="4" t="s">
        <v>385</v>
      </c>
      <c r="G875" s="4" t="s">
        <v>404</v>
      </c>
      <c r="H875" s="4" t="s">
        <v>21</v>
      </c>
      <c r="I875" s="4" t="s">
        <v>1215</v>
      </c>
      <c r="J875" s="4" t="s">
        <v>1216</v>
      </c>
      <c r="K875" s="4" t="s">
        <v>23</v>
      </c>
      <c r="L875" s="4" t="s">
        <v>3743</v>
      </c>
      <c r="M875" s="4" t="s">
        <v>3748</v>
      </c>
      <c r="N875" s="4" t="s">
        <v>3749</v>
      </c>
      <c r="O875" s="17">
        <f>INDEX('список ID из СУЭ с должностями'!$A:$F,MATCH(E875,'список ID из СУЭ с должностями'!$B:$B,0),5)</f>
        <v>0</v>
      </c>
    </row>
    <row r="876" spans="1:15" ht="105">
      <c r="A876" s="3" t="s">
        <v>10</v>
      </c>
      <c r="B876" s="3" t="s">
        <v>11</v>
      </c>
      <c r="C876" s="4">
        <v>2026</v>
      </c>
      <c r="D876" s="5" t="s">
        <v>12</v>
      </c>
      <c r="E876" s="4">
        <v>123</v>
      </c>
      <c r="F876" s="4" t="s">
        <v>193</v>
      </c>
      <c r="G876" s="4" t="s">
        <v>436</v>
      </c>
      <c r="H876" s="4" t="s">
        <v>15</v>
      </c>
      <c r="I876" s="4" t="s">
        <v>1217</v>
      </c>
      <c r="J876" s="4" t="s">
        <v>1218</v>
      </c>
      <c r="K876" s="4" t="s">
        <v>52</v>
      </c>
      <c r="L876" s="4" t="s">
        <v>3743</v>
      </c>
      <c r="M876" s="4" t="s">
        <v>3746</v>
      </c>
      <c r="N876" s="4" t="s">
        <v>3747</v>
      </c>
      <c r="O876" s="17">
        <f>INDEX('список ID из СУЭ с должностями'!$A:$F,MATCH(E876,'список ID из СУЭ с должностями'!$B:$B,0),5)</f>
        <v>0</v>
      </c>
    </row>
    <row r="877" spans="1:15" ht="120">
      <c r="A877" s="3" t="s">
        <v>10</v>
      </c>
      <c r="B877" s="3" t="s">
        <v>11</v>
      </c>
      <c r="C877" s="4">
        <v>2026</v>
      </c>
      <c r="D877" s="5" t="s">
        <v>12</v>
      </c>
      <c r="E877" s="4">
        <v>123</v>
      </c>
      <c r="F877" s="4" t="s">
        <v>193</v>
      </c>
      <c r="G877" s="4" t="s">
        <v>436</v>
      </c>
      <c r="H877" s="4" t="s">
        <v>15</v>
      </c>
      <c r="I877" s="4" t="s">
        <v>1219</v>
      </c>
      <c r="J877" s="4" t="s">
        <v>1220</v>
      </c>
      <c r="K877" s="4" t="s">
        <v>52</v>
      </c>
      <c r="L877" s="4" t="s">
        <v>3743</v>
      </c>
      <c r="M877" s="4" t="s">
        <v>3746</v>
      </c>
      <c r="N877" s="4" t="s">
        <v>3747</v>
      </c>
      <c r="O877" s="17">
        <f>INDEX('список ID из СУЭ с должностями'!$A:$F,MATCH(E877,'список ID из СУЭ с должностями'!$B:$B,0),5)</f>
        <v>0</v>
      </c>
    </row>
    <row r="878" spans="1:15" ht="90">
      <c r="A878" s="3" t="s">
        <v>10</v>
      </c>
      <c r="B878" s="3" t="s">
        <v>11</v>
      </c>
      <c r="C878" s="4">
        <v>2026</v>
      </c>
      <c r="D878" s="5" t="s">
        <v>12</v>
      </c>
      <c r="E878" s="4">
        <v>123</v>
      </c>
      <c r="F878" s="4" t="s">
        <v>193</v>
      </c>
      <c r="G878" s="4" t="s">
        <v>436</v>
      </c>
      <c r="H878" s="4" t="s">
        <v>15</v>
      </c>
      <c r="I878" s="4" t="s">
        <v>1221</v>
      </c>
      <c r="J878" s="4" t="s">
        <v>1222</v>
      </c>
      <c r="K878" s="4" t="s">
        <v>52</v>
      </c>
      <c r="L878" s="4" t="s">
        <v>3743</v>
      </c>
      <c r="M878" s="4" t="s">
        <v>3746</v>
      </c>
      <c r="N878" s="4" t="s">
        <v>3747</v>
      </c>
      <c r="O878" s="17">
        <f>INDEX('список ID из СУЭ с должностями'!$A:$F,MATCH(E878,'список ID из СУЭ с должностями'!$B:$B,0),5)</f>
        <v>0</v>
      </c>
    </row>
    <row r="879" spans="1:15" ht="135">
      <c r="A879" s="3" t="s">
        <v>10</v>
      </c>
      <c r="B879" s="3" t="s">
        <v>11</v>
      </c>
      <c r="C879" s="4">
        <v>2026</v>
      </c>
      <c r="D879" s="5" t="s">
        <v>12</v>
      </c>
      <c r="E879" s="4">
        <v>123</v>
      </c>
      <c r="F879" s="4" t="s">
        <v>193</v>
      </c>
      <c r="G879" s="4" t="s">
        <v>436</v>
      </c>
      <c r="H879" s="4" t="s">
        <v>15</v>
      </c>
      <c r="I879" s="4" t="s">
        <v>857</v>
      </c>
      <c r="J879" s="4" t="s">
        <v>1223</v>
      </c>
      <c r="K879" s="4" t="s">
        <v>35</v>
      </c>
      <c r="L879" s="4" t="s">
        <v>3743</v>
      </c>
      <c r="M879" s="4" t="s">
        <v>3746</v>
      </c>
      <c r="N879" s="4" t="s">
        <v>3747</v>
      </c>
      <c r="O879" s="17">
        <f>INDEX('список ID из СУЭ с должностями'!$A:$F,MATCH(E879,'список ID из СУЭ с должностями'!$B:$B,0),5)</f>
        <v>0</v>
      </c>
    </row>
    <row r="880" spans="1:15" ht="120">
      <c r="A880" s="3" t="s">
        <v>10</v>
      </c>
      <c r="B880" s="3" t="s">
        <v>11</v>
      </c>
      <c r="C880" s="4">
        <v>2026</v>
      </c>
      <c r="D880" s="5" t="s">
        <v>12</v>
      </c>
      <c r="E880" s="4">
        <v>123</v>
      </c>
      <c r="F880" s="4" t="s">
        <v>193</v>
      </c>
      <c r="G880" s="4" t="s">
        <v>436</v>
      </c>
      <c r="H880" s="4" t="s">
        <v>15</v>
      </c>
      <c r="I880" s="4" t="s">
        <v>149</v>
      </c>
      <c r="J880" s="4" t="s">
        <v>1224</v>
      </c>
      <c r="K880" s="4" t="s">
        <v>55</v>
      </c>
      <c r="L880" s="4" t="s">
        <v>3743</v>
      </c>
      <c r="M880" s="4" t="s">
        <v>3746</v>
      </c>
      <c r="N880" s="4" t="s">
        <v>3747</v>
      </c>
      <c r="O880" s="17">
        <f>INDEX('список ID из СУЭ с должностями'!$A:$F,MATCH(E880,'список ID из СУЭ с должностями'!$B:$B,0),5)</f>
        <v>0</v>
      </c>
    </row>
    <row r="881" spans="1:15" ht="105">
      <c r="A881" s="3" t="s">
        <v>10</v>
      </c>
      <c r="B881" s="3" t="s">
        <v>11</v>
      </c>
      <c r="C881" s="4">
        <v>2026</v>
      </c>
      <c r="D881" s="5" t="s">
        <v>12</v>
      </c>
      <c r="E881" s="4">
        <v>124</v>
      </c>
      <c r="F881" s="4" t="s">
        <v>385</v>
      </c>
      <c r="G881" s="4" t="s">
        <v>99</v>
      </c>
      <c r="H881" s="4" t="s">
        <v>15</v>
      </c>
      <c r="I881" s="4" t="s">
        <v>110</v>
      </c>
      <c r="J881" s="4" t="s">
        <v>1225</v>
      </c>
      <c r="K881" s="4" t="s">
        <v>312</v>
      </c>
      <c r="L881" s="4" t="s">
        <v>3743</v>
      </c>
      <c r="M881" s="4" t="s">
        <v>3746</v>
      </c>
      <c r="N881" s="4" t="s">
        <v>3755</v>
      </c>
      <c r="O881" s="17">
        <f>INDEX('список ID из СУЭ с должностями'!$A:$F,MATCH(E881,'список ID из СУЭ с должностями'!$B:$B,0),5)</f>
        <v>0</v>
      </c>
    </row>
    <row r="882" spans="1:15" ht="105">
      <c r="A882" s="3" t="s">
        <v>10</v>
      </c>
      <c r="B882" s="3" t="s">
        <v>11</v>
      </c>
      <c r="C882" s="4">
        <v>2026</v>
      </c>
      <c r="D882" s="5" t="s">
        <v>12</v>
      </c>
      <c r="E882" s="4">
        <v>124</v>
      </c>
      <c r="F882" s="4" t="s">
        <v>385</v>
      </c>
      <c r="G882" s="4" t="s">
        <v>99</v>
      </c>
      <c r="H882" s="4" t="s">
        <v>15</v>
      </c>
      <c r="I882" s="4" t="s">
        <v>1226</v>
      </c>
      <c r="J882" s="4" t="s">
        <v>109</v>
      </c>
      <c r="K882" s="4" t="s">
        <v>312</v>
      </c>
      <c r="L882" s="4" t="s">
        <v>3742</v>
      </c>
      <c r="M882" s="4" t="s">
        <v>3746</v>
      </c>
      <c r="N882" s="4" t="s">
        <v>3755</v>
      </c>
      <c r="O882" s="17">
        <f>INDEX('список ID из СУЭ с должностями'!$A:$F,MATCH(E882,'список ID из СУЭ с должностями'!$B:$B,0),5)</f>
        <v>0</v>
      </c>
    </row>
    <row r="883" spans="1:15" ht="105">
      <c r="A883" s="3" t="s">
        <v>10</v>
      </c>
      <c r="B883" s="3" t="s">
        <v>11</v>
      </c>
      <c r="C883" s="4">
        <v>2026</v>
      </c>
      <c r="D883" s="5" t="s">
        <v>12</v>
      </c>
      <c r="E883" s="4">
        <v>124</v>
      </c>
      <c r="F883" s="4" t="s">
        <v>385</v>
      </c>
      <c r="G883" s="4" t="s">
        <v>99</v>
      </c>
      <c r="H883" s="4" t="s">
        <v>15</v>
      </c>
      <c r="I883" s="4" t="s">
        <v>1137</v>
      </c>
      <c r="J883" s="4" t="s">
        <v>109</v>
      </c>
      <c r="K883" s="4" t="s">
        <v>312</v>
      </c>
      <c r="L883" s="4" t="s">
        <v>3742</v>
      </c>
      <c r="M883" s="4" t="s">
        <v>3746</v>
      </c>
      <c r="N883" s="4" t="s">
        <v>3755</v>
      </c>
      <c r="O883" s="17">
        <f>INDEX('список ID из СУЭ с должностями'!$A:$F,MATCH(E883,'список ID из СУЭ с должностями'!$B:$B,0),5)</f>
        <v>0</v>
      </c>
    </row>
    <row r="884" spans="1:15" ht="105">
      <c r="A884" s="3" t="s">
        <v>10</v>
      </c>
      <c r="B884" s="3" t="s">
        <v>11</v>
      </c>
      <c r="C884" s="4">
        <v>2026</v>
      </c>
      <c r="D884" s="5" t="s">
        <v>12</v>
      </c>
      <c r="E884" s="4">
        <v>124</v>
      </c>
      <c r="F884" s="4" t="s">
        <v>385</v>
      </c>
      <c r="G884" s="4" t="s">
        <v>99</v>
      </c>
      <c r="H884" s="4" t="s">
        <v>15</v>
      </c>
      <c r="I884" s="4" t="s">
        <v>1227</v>
      </c>
      <c r="J884" s="4" t="s">
        <v>132</v>
      </c>
      <c r="K884" s="4" t="s">
        <v>312</v>
      </c>
      <c r="L884" s="4" t="s">
        <v>3742</v>
      </c>
      <c r="M884" s="4" t="s">
        <v>3746</v>
      </c>
      <c r="N884" s="4" t="s">
        <v>3755</v>
      </c>
      <c r="O884" s="17">
        <f>INDEX('список ID из СУЭ с должностями'!$A:$F,MATCH(E884,'список ID из СУЭ с должностями'!$B:$B,0),5)</f>
        <v>0</v>
      </c>
    </row>
    <row r="885" spans="1:15" ht="105">
      <c r="A885" s="3" t="s">
        <v>10</v>
      </c>
      <c r="B885" s="3" t="s">
        <v>11</v>
      </c>
      <c r="C885" s="4">
        <v>2026</v>
      </c>
      <c r="D885" s="5" t="s">
        <v>12</v>
      </c>
      <c r="E885" s="4">
        <v>124</v>
      </c>
      <c r="F885" s="4" t="s">
        <v>385</v>
      </c>
      <c r="G885" s="4" t="s">
        <v>99</v>
      </c>
      <c r="H885" s="4" t="s">
        <v>15</v>
      </c>
      <c r="I885" s="4" t="s">
        <v>26</v>
      </c>
      <c r="J885" s="4" t="s">
        <v>27</v>
      </c>
      <c r="K885" s="4" t="s">
        <v>25</v>
      </c>
      <c r="L885" s="4" t="s">
        <v>3743</v>
      </c>
      <c r="M885" s="4" t="s">
        <v>3746</v>
      </c>
      <c r="N885" s="4" t="s">
        <v>3747</v>
      </c>
      <c r="O885" s="17">
        <f>INDEX('список ID из СУЭ с должностями'!$A:$F,MATCH(E885,'список ID из СУЭ с должностями'!$B:$B,0),5)</f>
        <v>0</v>
      </c>
    </row>
    <row r="886" spans="1:15" ht="150">
      <c r="A886" s="3" t="s">
        <v>10</v>
      </c>
      <c r="B886" s="3" t="s">
        <v>11</v>
      </c>
      <c r="C886" s="4">
        <v>2026</v>
      </c>
      <c r="D886" s="5" t="s">
        <v>12</v>
      </c>
      <c r="E886" s="4">
        <v>125</v>
      </c>
      <c r="F886" s="4" t="s">
        <v>44</v>
      </c>
      <c r="G886" s="4" t="s">
        <v>790</v>
      </c>
      <c r="H886" s="4" t="s">
        <v>15</v>
      </c>
      <c r="I886" s="4" t="s">
        <v>1228</v>
      </c>
      <c r="J886" s="4" t="s">
        <v>1229</v>
      </c>
      <c r="K886" s="4" t="s">
        <v>25</v>
      </c>
      <c r="L886" s="4" t="s">
        <v>3743</v>
      </c>
      <c r="M886" s="4" t="s">
        <v>3746</v>
      </c>
      <c r="N886" s="4" t="s">
        <v>3747</v>
      </c>
      <c r="O886" s="17">
        <f>INDEX('список ID из СУЭ с должностями'!$A:$F,MATCH(E886,'список ID из СУЭ с должностями'!$B:$B,0),5)</f>
        <v>0</v>
      </c>
    </row>
    <row r="887" spans="1:15" ht="105">
      <c r="A887" s="3" t="s">
        <v>10</v>
      </c>
      <c r="B887" s="3" t="s">
        <v>11</v>
      </c>
      <c r="C887" s="4">
        <v>2026</v>
      </c>
      <c r="D887" s="5" t="s">
        <v>12</v>
      </c>
      <c r="E887" s="4">
        <v>125</v>
      </c>
      <c r="F887" s="4" t="s">
        <v>44</v>
      </c>
      <c r="G887" s="4" t="s">
        <v>790</v>
      </c>
      <c r="H887" s="4" t="s">
        <v>15</v>
      </c>
      <c r="I887" s="4" t="s">
        <v>464</v>
      </c>
      <c r="J887" s="4" t="s">
        <v>930</v>
      </c>
      <c r="K887" s="4" t="s">
        <v>66</v>
      </c>
      <c r="L887" s="4" t="s">
        <v>3743</v>
      </c>
      <c r="M887" s="4" t="s">
        <v>3746</v>
      </c>
      <c r="N887" s="4" t="s">
        <v>3747</v>
      </c>
      <c r="O887" s="17">
        <f>INDEX('список ID из СУЭ с должностями'!$A:$F,MATCH(E887,'список ID из СУЭ с должностями'!$B:$B,0),5)</f>
        <v>0</v>
      </c>
    </row>
    <row r="888" spans="1:15" ht="135">
      <c r="A888" s="3" t="s">
        <v>10</v>
      </c>
      <c r="B888" s="3" t="s">
        <v>11</v>
      </c>
      <c r="C888" s="4">
        <v>2026</v>
      </c>
      <c r="D888" s="5" t="s">
        <v>12</v>
      </c>
      <c r="E888" s="4">
        <v>125</v>
      </c>
      <c r="F888" s="4" t="s">
        <v>44</v>
      </c>
      <c r="G888" s="4" t="s">
        <v>790</v>
      </c>
      <c r="H888" s="4" t="s">
        <v>15</v>
      </c>
      <c r="I888" s="4" t="s">
        <v>791</v>
      </c>
      <c r="J888" s="4" t="s">
        <v>1230</v>
      </c>
      <c r="K888" s="4" t="s">
        <v>52</v>
      </c>
      <c r="L888" s="4" t="s">
        <v>3743</v>
      </c>
      <c r="M888" s="4" t="s">
        <v>3746</v>
      </c>
      <c r="N888" s="4" t="s">
        <v>3747</v>
      </c>
      <c r="O888" s="17">
        <f>INDEX('список ID из СУЭ с должностями'!$A:$F,MATCH(E888,'список ID из СУЭ с должностями'!$B:$B,0),5)</f>
        <v>0</v>
      </c>
    </row>
    <row r="889" spans="1:15" ht="105">
      <c r="A889" s="3" t="s">
        <v>10</v>
      </c>
      <c r="B889" s="3" t="s">
        <v>11</v>
      </c>
      <c r="C889" s="4">
        <v>2026</v>
      </c>
      <c r="D889" s="5" t="s">
        <v>12</v>
      </c>
      <c r="E889" s="4">
        <v>125</v>
      </c>
      <c r="F889" s="4" t="s">
        <v>44</v>
      </c>
      <c r="G889" s="4" t="s">
        <v>790</v>
      </c>
      <c r="H889" s="4" t="s">
        <v>21</v>
      </c>
      <c r="I889" s="4" t="s">
        <v>1231</v>
      </c>
      <c r="J889" s="4" t="s">
        <v>1232</v>
      </c>
      <c r="K889" s="4" t="s">
        <v>66</v>
      </c>
      <c r="L889" s="4" t="s">
        <v>3743</v>
      </c>
      <c r="M889" s="4" t="s">
        <v>3746</v>
      </c>
      <c r="N889" s="4" t="s">
        <v>3747</v>
      </c>
      <c r="O889" s="17">
        <f>INDEX('список ID из СУЭ с должностями'!$A:$F,MATCH(E889,'список ID из СУЭ с должностями'!$B:$B,0),5)</f>
        <v>0</v>
      </c>
    </row>
    <row r="890" spans="1:15" ht="409.5">
      <c r="A890" s="3" t="s">
        <v>10</v>
      </c>
      <c r="B890" s="3" t="s">
        <v>11</v>
      </c>
      <c r="C890" s="4">
        <v>2026</v>
      </c>
      <c r="D890" s="5" t="s">
        <v>12</v>
      </c>
      <c r="E890" s="4">
        <v>125</v>
      </c>
      <c r="F890" s="4" t="s">
        <v>44</v>
      </c>
      <c r="G890" s="4" t="s">
        <v>790</v>
      </c>
      <c r="H890" s="4" t="s">
        <v>21</v>
      </c>
      <c r="I890" s="4" t="s">
        <v>460</v>
      </c>
      <c r="J890" s="4" t="s">
        <v>1170</v>
      </c>
      <c r="K890" s="4" t="s">
        <v>38</v>
      </c>
      <c r="L890" s="4" t="s">
        <v>3743</v>
      </c>
      <c r="M890" s="4" t="s">
        <v>3746</v>
      </c>
      <c r="N890" s="4" t="s">
        <v>3747</v>
      </c>
      <c r="O890" s="17">
        <f>INDEX('список ID из СУЭ с должностями'!$A:$F,MATCH(E890,'список ID из СУЭ с должностями'!$B:$B,0),5)</f>
        <v>0</v>
      </c>
    </row>
    <row r="891" spans="1:15" ht="210">
      <c r="A891" s="3" t="s">
        <v>10</v>
      </c>
      <c r="B891" s="3" t="s">
        <v>11</v>
      </c>
      <c r="C891" s="4">
        <v>2026</v>
      </c>
      <c r="D891" s="5" t="s">
        <v>12</v>
      </c>
      <c r="E891" s="4">
        <v>125</v>
      </c>
      <c r="F891" s="4" t="s">
        <v>44</v>
      </c>
      <c r="G891" s="4" t="s">
        <v>790</v>
      </c>
      <c r="H891" s="4" t="s">
        <v>41</v>
      </c>
      <c r="I891" s="4" t="s">
        <v>1002</v>
      </c>
      <c r="J891" s="4" t="s">
        <v>1233</v>
      </c>
      <c r="K891" s="4" t="s">
        <v>52</v>
      </c>
      <c r="L891" s="4" t="s">
        <v>3743</v>
      </c>
      <c r="M891" s="4" t="s">
        <v>3746</v>
      </c>
      <c r="N891" s="4" t="s">
        <v>3747</v>
      </c>
      <c r="O891" s="17">
        <f>INDEX('список ID из СУЭ с должностями'!$A:$F,MATCH(E891,'список ID из СУЭ с должностями'!$B:$B,0),5)</f>
        <v>0</v>
      </c>
    </row>
    <row r="892" spans="1:15" ht="225">
      <c r="A892" s="3" t="s">
        <v>10</v>
      </c>
      <c r="B892" s="3" t="s">
        <v>11</v>
      </c>
      <c r="C892" s="4">
        <v>2026</v>
      </c>
      <c r="D892" s="5" t="s">
        <v>12</v>
      </c>
      <c r="E892" s="4">
        <v>125</v>
      </c>
      <c r="F892" s="4" t="s">
        <v>44</v>
      </c>
      <c r="G892" s="4" t="s">
        <v>790</v>
      </c>
      <c r="H892" s="4" t="s">
        <v>15</v>
      </c>
      <c r="I892" s="4" t="s">
        <v>303</v>
      </c>
      <c r="J892" s="4" t="s">
        <v>1234</v>
      </c>
      <c r="K892" s="4" t="s">
        <v>66</v>
      </c>
      <c r="L892" s="4" t="s">
        <v>3743</v>
      </c>
      <c r="M892" s="4" t="s">
        <v>3746</v>
      </c>
      <c r="N892" s="4" t="s">
        <v>3747</v>
      </c>
      <c r="O892" s="17">
        <f>INDEX('список ID из СУЭ с должностями'!$A:$F,MATCH(E892,'список ID из СУЭ с должностями'!$B:$B,0),5)</f>
        <v>0</v>
      </c>
    </row>
    <row r="893" spans="1:15" ht="345">
      <c r="A893" s="3" t="s">
        <v>10</v>
      </c>
      <c r="B893" s="3" t="s">
        <v>11</v>
      </c>
      <c r="C893" s="4">
        <v>2026</v>
      </c>
      <c r="D893" s="5" t="s">
        <v>12</v>
      </c>
      <c r="E893" s="4">
        <v>125</v>
      </c>
      <c r="F893" s="4" t="s">
        <v>44</v>
      </c>
      <c r="G893" s="4" t="s">
        <v>790</v>
      </c>
      <c r="H893" s="4" t="s">
        <v>15</v>
      </c>
      <c r="I893" s="4" t="s">
        <v>149</v>
      </c>
      <c r="J893" s="4" t="s">
        <v>1235</v>
      </c>
      <c r="K893" s="4" t="s">
        <v>30</v>
      </c>
      <c r="L893" s="4" t="s">
        <v>3743</v>
      </c>
      <c r="M893" s="4" t="s">
        <v>3746</v>
      </c>
      <c r="N893" s="4" t="s">
        <v>3747</v>
      </c>
      <c r="O893" s="17">
        <f>INDEX('список ID из СУЭ с должностями'!$A:$F,MATCH(E893,'список ID из СУЭ с должностями'!$B:$B,0),5)</f>
        <v>0</v>
      </c>
    </row>
    <row r="894" spans="1:15" ht="255">
      <c r="A894" s="3" t="s">
        <v>10</v>
      </c>
      <c r="B894" s="3" t="s">
        <v>11</v>
      </c>
      <c r="C894" s="4">
        <v>2026</v>
      </c>
      <c r="D894" s="5" t="s">
        <v>12</v>
      </c>
      <c r="E894" s="4">
        <v>125</v>
      </c>
      <c r="F894" s="4" t="s">
        <v>44</v>
      </c>
      <c r="G894" s="4" t="s">
        <v>790</v>
      </c>
      <c r="H894" s="4" t="s">
        <v>15</v>
      </c>
      <c r="I894" s="4" t="s">
        <v>147</v>
      </c>
      <c r="J894" s="4" t="s">
        <v>1236</v>
      </c>
      <c r="K894" s="4" t="s">
        <v>35</v>
      </c>
      <c r="L894" s="4" t="s">
        <v>3743</v>
      </c>
      <c r="M894" s="4" t="s">
        <v>3746</v>
      </c>
      <c r="N894" s="4" t="s">
        <v>3747</v>
      </c>
      <c r="O894" s="17">
        <f>INDEX('список ID из СУЭ с должностями'!$A:$F,MATCH(E894,'список ID из СУЭ с должностями'!$B:$B,0),5)</f>
        <v>0</v>
      </c>
    </row>
    <row r="895" spans="1:15" ht="409.5">
      <c r="A895" s="3" t="s">
        <v>10</v>
      </c>
      <c r="B895" s="3" t="s">
        <v>11</v>
      </c>
      <c r="C895" s="4">
        <v>2026</v>
      </c>
      <c r="D895" s="5" t="s">
        <v>12</v>
      </c>
      <c r="E895" s="4">
        <v>125</v>
      </c>
      <c r="F895" s="4" t="s">
        <v>44</v>
      </c>
      <c r="G895" s="4" t="s">
        <v>790</v>
      </c>
      <c r="H895" s="4" t="s">
        <v>15</v>
      </c>
      <c r="I895" s="4" t="s">
        <v>25</v>
      </c>
      <c r="J895" s="4" t="s">
        <v>1237</v>
      </c>
      <c r="K895" s="4" t="s">
        <v>25</v>
      </c>
      <c r="L895" s="4" t="s">
        <v>3743</v>
      </c>
      <c r="M895" s="4" t="s">
        <v>3746</v>
      </c>
      <c r="N895" s="4" t="s">
        <v>3747</v>
      </c>
      <c r="O895" s="17">
        <f>INDEX('список ID из СУЭ с должностями'!$A:$F,MATCH(E895,'список ID из СУЭ с должностями'!$B:$B,0),5)</f>
        <v>0</v>
      </c>
    </row>
    <row r="896" spans="1:15" ht="150">
      <c r="A896" s="3" t="s">
        <v>10</v>
      </c>
      <c r="B896" s="3" t="s">
        <v>11</v>
      </c>
      <c r="C896" s="4">
        <v>2026</v>
      </c>
      <c r="D896" s="5" t="s">
        <v>12</v>
      </c>
      <c r="E896" s="4">
        <v>126</v>
      </c>
      <c r="F896" s="4" t="s">
        <v>316</v>
      </c>
      <c r="G896" s="4" t="s">
        <v>1203</v>
      </c>
      <c r="H896" s="4" t="s">
        <v>15</v>
      </c>
      <c r="I896" s="4" t="s">
        <v>318</v>
      </c>
      <c r="J896" s="4" t="s">
        <v>1238</v>
      </c>
      <c r="K896" s="4" t="s">
        <v>52</v>
      </c>
      <c r="L896" s="4" t="s">
        <v>3743</v>
      </c>
      <c r="M896" s="4" t="s">
        <v>3746</v>
      </c>
      <c r="N896" s="4" t="s">
        <v>3747</v>
      </c>
      <c r="O896" s="17">
        <f>INDEX('список ID из СУЭ с должностями'!$A:$F,MATCH(E896,'список ID из СУЭ с должностями'!$B:$B,0),5)</f>
        <v>0</v>
      </c>
    </row>
    <row r="897" spans="1:15" ht="105">
      <c r="A897" s="3" t="s">
        <v>10</v>
      </c>
      <c r="B897" s="3" t="s">
        <v>11</v>
      </c>
      <c r="C897" s="4">
        <v>2026</v>
      </c>
      <c r="D897" s="5" t="s">
        <v>12</v>
      </c>
      <c r="E897" s="4">
        <v>126</v>
      </c>
      <c r="F897" s="4" t="s">
        <v>316</v>
      </c>
      <c r="G897" s="4" t="s">
        <v>1203</v>
      </c>
      <c r="H897" s="4" t="s">
        <v>15</v>
      </c>
      <c r="I897" s="4" t="s">
        <v>356</v>
      </c>
      <c r="J897" s="4" t="s">
        <v>1239</v>
      </c>
      <c r="K897" s="4" t="s">
        <v>30</v>
      </c>
      <c r="L897" s="4" t="s">
        <v>3743</v>
      </c>
      <c r="M897" s="4" t="s">
        <v>3746</v>
      </c>
      <c r="N897" s="4" t="s">
        <v>3747</v>
      </c>
      <c r="O897" s="17">
        <f>INDEX('список ID из СУЭ с должностями'!$A:$F,MATCH(E897,'список ID из СУЭ с должностями'!$B:$B,0),5)</f>
        <v>0</v>
      </c>
    </row>
    <row r="898" spans="1:15" ht="255">
      <c r="A898" s="3" t="s">
        <v>10</v>
      </c>
      <c r="B898" s="3" t="s">
        <v>11</v>
      </c>
      <c r="C898" s="4">
        <v>2026</v>
      </c>
      <c r="D898" s="5" t="s">
        <v>12</v>
      </c>
      <c r="E898" s="4">
        <v>126</v>
      </c>
      <c r="F898" s="4" t="s">
        <v>316</v>
      </c>
      <c r="G898" s="4" t="s">
        <v>1203</v>
      </c>
      <c r="H898" s="4" t="s">
        <v>15</v>
      </c>
      <c r="I898" s="4" t="s">
        <v>354</v>
      </c>
      <c r="J898" s="4" t="s">
        <v>1240</v>
      </c>
      <c r="K898" s="4" t="s">
        <v>25</v>
      </c>
      <c r="L898" s="4" t="s">
        <v>3743</v>
      </c>
      <c r="M898" s="4" t="s">
        <v>3746</v>
      </c>
      <c r="N898" s="4" t="s">
        <v>3747</v>
      </c>
      <c r="O898" s="17">
        <f>INDEX('список ID из СУЭ с должностями'!$A:$F,MATCH(E898,'список ID из СУЭ с должностями'!$B:$B,0),5)</f>
        <v>0</v>
      </c>
    </row>
    <row r="899" spans="1:15" ht="105">
      <c r="A899" s="3" t="s">
        <v>10</v>
      </c>
      <c r="B899" s="3" t="s">
        <v>11</v>
      </c>
      <c r="C899" s="4">
        <v>2026</v>
      </c>
      <c r="D899" s="5" t="s">
        <v>12</v>
      </c>
      <c r="E899" s="4">
        <v>126</v>
      </c>
      <c r="F899" s="4" t="s">
        <v>316</v>
      </c>
      <c r="G899" s="4" t="s">
        <v>1203</v>
      </c>
      <c r="H899" s="4" t="s">
        <v>15</v>
      </c>
      <c r="I899" s="4" t="s">
        <v>358</v>
      </c>
      <c r="J899" s="4" t="s">
        <v>825</v>
      </c>
      <c r="K899" s="4" t="s">
        <v>66</v>
      </c>
      <c r="L899" s="4" t="s">
        <v>3743</v>
      </c>
      <c r="M899" s="4" t="s">
        <v>3746</v>
      </c>
      <c r="N899" s="4" t="s">
        <v>3747</v>
      </c>
      <c r="O899" s="17">
        <f>INDEX('список ID из СУЭ с должностями'!$A:$F,MATCH(E899,'список ID из СУЭ с должностями'!$B:$B,0),5)</f>
        <v>0</v>
      </c>
    </row>
    <row r="900" spans="1:15" ht="315">
      <c r="A900" s="3" t="s">
        <v>10</v>
      </c>
      <c r="B900" s="3" t="s">
        <v>11</v>
      </c>
      <c r="C900" s="4">
        <v>2026</v>
      </c>
      <c r="D900" s="5" t="s">
        <v>12</v>
      </c>
      <c r="E900" s="4">
        <v>126</v>
      </c>
      <c r="F900" s="4" t="s">
        <v>316</v>
      </c>
      <c r="G900" s="4" t="s">
        <v>1203</v>
      </c>
      <c r="H900" s="4" t="s">
        <v>41</v>
      </c>
      <c r="I900" s="4" t="s">
        <v>352</v>
      </c>
      <c r="J900" s="4" t="s">
        <v>823</v>
      </c>
      <c r="K900" s="4" t="s">
        <v>25</v>
      </c>
      <c r="L900" s="4" t="s">
        <v>3743</v>
      </c>
      <c r="M900" s="4" t="s">
        <v>3746</v>
      </c>
      <c r="N900" s="4" t="s">
        <v>3747</v>
      </c>
      <c r="O900" s="17">
        <f>INDEX('список ID из СУЭ с должностями'!$A:$F,MATCH(E900,'список ID из СУЭ с должностями'!$B:$B,0),5)</f>
        <v>0</v>
      </c>
    </row>
    <row r="901" spans="1:15" ht="330">
      <c r="A901" s="3" t="s">
        <v>10</v>
      </c>
      <c r="B901" s="3" t="s">
        <v>11</v>
      </c>
      <c r="C901" s="4">
        <v>2026</v>
      </c>
      <c r="D901" s="5" t="s">
        <v>12</v>
      </c>
      <c r="E901" s="4">
        <v>126</v>
      </c>
      <c r="F901" s="4" t="s">
        <v>316</v>
      </c>
      <c r="G901" s="4" t="s">
        <v>1203</v>
      </c>
      <c r="H901" s="4" t="s">
        <v>15</v>
      </c>
      <c r="I901" s="4" t="s">
        <v>323</v>
      </c>
      <c r="J901" s="4" t="s">
        <v>826</v>
      </c>
      <c r="K901" s="4" t="s">
        <v>66</v>
      </c>
      <c r="L901" s="4" t="s">
        <v>3743</v>
      </c>
      <c r="M901" s="4" t="s">
        <v>3746</v>
      </c>
      <c r="N901" s="4" t="s">
        <v>3747</v>
      </c>
      <c r="O901" s="17">
        <f>INDEX('список ID из СУЭ с должностями'!$A:$F,MATCH(E901,'список ID из СУЭ с должностями'!$B:$B,0),5)</f>
        <v>0</v>
      </c>
    </row>
    <row r="902" spans="1:15" ht="330">
      <c r="A902" s="3" t="s">
        <v>10</v>
      </c>
      <c r="B902" s="3" t="s">
        <v>11</v>
      </c>
      <c r="C902" s="4">
        <v>2026</v>
      </c>
      <c r="D902" s="5" t="s">
        <v>12</v>
      </c>
      <c r="E902" s="4">
        <v>126</v>
      </c>
      <c r="F902" s="4" t="s">
        <v>316</v>
      </c>
      <c r="G902" s="4" t="s">
        <v>1203</v>
      </c>
      <c r="H902" s="4" t="s">
        <v>15</v>
      </c>
      <c r="I902" s="4" t="s">
        <v>325</v>
      </c>
      <c r="J902" s="4" t="s">
        <v>1204</v>
      </c>
      <c r="K902" s="4" t="s">
        <v>35</v>
      </c>
      <c r="L902" s="4" t="s">
        <v>3743</v>
      </c>
      <c r="M902" s="4" t="s">
        <v>3746</v>
      </c>
      <c r="N902" s="4" t="s">
        <v>3747</v>
      </c>
      <c r="O902" s="17">
        <f>INDEX('список ID из СУЭ с должностями'!$A:$F,MATCH(E902,'список ID из СУЭ с должностями'!$B:$B,0),5)</f>
        <v>0</v>
      </c>
    </row>
    <row r="903" spans="1:15" ht="150">
      <c r="A903" s="3" t="s">
        <v>10</v>
      </c>
      <c r="B903" s="3" t="s">
        <v>11</v>
      </c>
      <c r="C903" s="4">
        <v>2026</v>
      </c>
      <c r="D903" s="5" t="s">
        <v>12</v>
      </c>
      <c r="E903" s="4">
        <v>127</v>
      </c>
      <c r="F903" s="4" t="s">
        <v>280</v>
      </c>
      <c r="G903" s="4" t="s">
        <v>1241</v>
      </c>
      <c r="H903" s="4" t="s">
        <v>41</v>
      </c>
      <c r="I903" s="4" t="s">
        <v>42</v>
      </c>
      <c r="J903" s="4" t="s">
        <v>43</v>
      </c>
      <c r="K903" s="4" t="s">
        <v>25</v>
      </c>
      <c r="L903" s="4" t="s">
        <v>3743</v>
      </c>
      <c r="M903" s="4" t="s">
        <v>3746</v>
      </c>
      <c r="N903" s="4" t="s">
        <v>3747</v>
      </c>
      <c r="O903" s="17" t="str">
        <f>INDEX('список ID из СУЭ с должностями'!$A:$F,MATCH(E903,'список ID из СУЭ с должностями'!$B:$B,0),5)</f>
        <v>ВИП</v>
      </c>
    </row>
    <row r="904" spans="1:15" ht="270">
      <c r="A904" s="3" t="s">
        <v>10</v>
      </c>
      <c r="B904" s="3" t="s">
        <v>11</v>
      </c>
      <c r="C904" s="4">
        <v>2026</v>
      </c>
      <c r="D904" s="5" t="s">
        <v>12</v>
      </c>
      <c r="E904" s="4">
        <v>127</v>
      </c>
      <c r="F904" s="4" t="s">
        <v>280</v>
      </c>
      <c r="G904" s="4" t="s">
        <v>1241</v>
      </c>
      <c r="H904" s="4" t="s">
        <v>15</v>
      </c>
      <c r="I904" s="4" t="s">
        <v>48</v>
      </c>
      <c r="J904" s="4" t="s">
        <v>1242</v>
      </c>
      <c r="K904" s="4" t="s">
        <v>35</v>
      </c>
      <c r="L904" s="4" t="s">
        <v>3743</v>
      </c>
      <c r="M904" s="4" t="s">
        <v>3746</v>
      </c>
      <c r="N904" s="4" t="s">
        <v>3747</v>
      </c>
      <c r="O904" s="17" t="str">
        <f>INDEX('список ID из СУЭ с должностями'!$A:$F,MATCH(E904,'список ID из СУЭ с должностями'!$B:$B,0),5)</f>
        <v>ВИП</v>
      </c>
    </row>
    <row r="905" spans="1:15" ht="90">
      <c r="A905" s="3" t="s">
        <v>10</v>
      </c>
      <c r="B905" s="3" t="s">
        <v>11</v>
      </c>
      <c r="C905" s="4">
        <v>2026</v>
      </c>
      <c r="D905" s="5" t="s">
        <v>12</v>
      </c>
      <c r="E905" s="4">
        <v>127</v>
      </c>
      <c r="F905" s="4" t="s">
        <v>280</v>
      </c>
      <c r="G905" s="4" t="s">
        <v>1241</v>
      </c>
      <c r="H905" s="4" t="s">
        <v>15</v>
      </c>
      <c r="I905" s="4" t="s">
        <v>984</v>
      </c>
      <c r="J905" s="4" t="s">
        <v>65</v>
      </c>
      <c r="K905" s="4" t="s">
        <v>66</v>
      </c>
      <c r="L905" s="4" t="s">
        <v>3742</v>
      </c>
      <c r="M905" s="4" t="s">
        <v>3746</v>
      </c>
      <c r="N905" s="4" t="s">
        <v>3747</v>
      </c>
      <c r="O905" s="17" t="str">
        <f>INDEX('список ID из СУЭ с должностями'!$A:$F,MATCH(E905,'список ID из СУЭ с должностями'!$B:$B,0),5)</f>
        <v>ВИП</v>
      </c>
    </row>
    <row r="906" spans="1:15" ht="90">
      <c r="A906" s="3" t="s">
        <v>10</v>
      </c>
      <c r="B906" s="3" t="s">
        <v>11</v>
      </c>
      <c r="C906" s="4">
        <v>2026</v>
      </c>
      <c r="D906" s="5" t="s">
        <v>12</v>
      </c>
      <c r="E906" s="4">
        <v>127</v>
      </c>
      <c r="F906" s="4" t="s">
        <v>280</v>
      </c>
      <c r="G906" s="4" t="s">
        <v>1241</v>
      </c>
      <c r="H906" s="4" t="s">
        <v>15</v>
      </c>
      <c r="I906" s="4" t="s">
        <v>62</v>
      </c>
      <c r="J906" s="4" t="s">
        <v>986</v>
      </c>
      <c r="K906" s="4" t="s">
        <v>55</v>
      </c>
      <c r="L906" s="4" t="s">
        <v>3743</v>
      </c>
      <c r="M906" s="4" t="s">
        <v>3746</v>
      </c>
      <c r="N906" s="4" t="s">
        <v>3747</v>
      </c>
      <c r="O906" s="17" t="str">
        <f>INDEX('список ID из СУЭ с должностями'!$A:$F,MATCH(E906,'список ID из СУЭ с должностями'!$B:$B,0),5)</f>
        <v>ВИП</v>
      </c>
    </row>
    <row r="907" spans="1:15" ht="90">
      <c r="A907" s="3" t="s">
        <v>10</v>
      </c>
      <c r="B907" s="3" t="s">
        <v>11</v>
      </c>
      <c r="C907" s="4">
        <v>2026</v>
      </c>
      <c r="D907" s="5" t="s">
        <v>12</v>
      </c>
      <c r="E907" s="4">
        <v>127</v>
      </c>
      <c r="F907" s="4" t="s">
        <v>280</v>
      </c>
      <c r="G907" s="4" t="s">
        <v>1241</v>
      </c>
      <c r="H907" s="4" t="s">
        <v>15</v>
      </c>
      <c r="I907" s="4" t="s">
        <v>56</v>
      </c>
      <c r="J907" s="4" t="s">
        <v>1243</v>
      </c>
      <c r="K907" s="4" t="s">
        <v>151</v>
      </c>
      <c r="L907" s="4" t="s">
        <v>3743</v>
      </c>
      <c r="M907" s="4" t="s">
        <v>3746</v>
      </c>
      <c r="N907" s="4" t="s">
        <v>3747</v>
      </c>
      <c r="O907" s="17" t="str">
        <f>INDEX('список ID из СУЭ с должностями'!$A:$F,MATCH(E907,'список ID из СУЭ с должностями'!$B:$B,0),5)</f>
        <v>ВИП</v>
      </c>
    </row>
    <row r="908" spans="1:15" ht="90">
      <c r="A908" s="3" t="s">
        <v>10</v>
      </c>
      <c r="B908" s="3" t="s">
        <v>11</v>
      </c>
      <c r="C908" s="4">
        <v>2026</v>
      </c>
      <c r="D908" s="5" t="s">
        <v>12</v>
      </c>
      <c r="E908" s="4">
        <v>127</v>
      </c>
      <c r="F908" s="4" t="s">
        <v>280</v>
      </c>
      <c r="G908" s="4" t="s">
        <v>1241</v>
      </c>
      <c r="H908" s="4" t="s">
        <v>15</v>
      </c>
      <c r="I908" s="4" t="s">
        <v>1244</v>
      </c>
      <c r="J908" s="4" t="s">
        <v>1245</v>
      </c>
      <c r="K908" s="4" t="s">
        <v>52</v>
      </c>
      <c r="L908" s="4" t="s">
        <v>3743</v>
      </c>
      <c r="M908" s="4" t="s">
        <v>3746</v>
      </c>
      <c r="N908" s="4" t="s">
        <v>3747</v>
      </c>
      <c r="O908" s="17" t="str">
        <f>INDEX('список ID из СУЭ с должностями'!$A:$F,MATCH(E908,'список ID из СУЭ с должностями'!$B:$B,0),5)</f>
        <v>ВИП</v>
      </c>
    </row>
    <row r="909" spans="1:15" ht="90">
      <c r="A909" s="3" t="s">
        <v>10</v>
      </c>
      <c r="B909" s="3" t="s">
        <v>11</v>
      </c>
      <c r="C909" s="4">
        <v>2026</v>
      </c>
      <c r="D909" s="5" t="s">
        <v>12</v>
      </c>
      <c r="E909" s="4">
        <v>127</v>
      </c>
      <c r="F909" s="4" t="s">
        <v>280</v>
      </c>
      <c r="G909" s="4" t="s">
        <v>1241</v>
      </c>
      <c r="H909" s="4" t="s">
        <v>15</v>
      </c>
      <c r="I909" s="4" t="s">
        <v>1246</v>
      </c>
      <c r="J909" s="4" t="s">
        <v>1247</v>
      </c>
      <c r="K909" s="4" t="s">
        <v>151</v>
      </c>
      <c r="L909" s="4" t="s">
        <v>3742</v>
      </c>
      <c r="M909" s="4" t="s">
        <v>3746</v>
      </c>
      <c r="N909" s="4" t="s">
        <v>3747</v>
      </c>
      <c r="O909" s="17" t="str">
        <f>INDEX('список ID из СУЭ с должностями'!$A:$F,MATCH(E909,'список ID из СУЭ с должностями'!$B:$B,0),5)</f>
        <v>ВИП</v>
      </c>
    </row>
    <row r="910" spans="1:15" ht="90">
      <c r="A910" s="3" t="s">
        <v>10</v>
      </c>
      <c r="B910" s="3" t="s">
        <v>11</v>
      </c>
      <c r="C910" s="4">
        <v>2026</v>
      </c>
      <c r="D910" s="5" t="s">
        <v>12</v>
      </c>
      <c r="E910" s="4">
        <v>127</v>
      </c>
      <c r="F910" s="4" t="s">
        <v>280</v>
      </c>
      <c r="G910" s="4" t="s">
        <v>1241</v>
      </c>
      <c r="H910" s="4" t="s">
        <v>15</v>
      </c>
      <c r="I910" s="4" t="s">
        <v>1248</v>
      </c>
      <c r="J910" s="4" t="s">
        <v>1249</v>
      </c>
      <c r="K910" s="4" t="s">
        <v>55</v>
      </c>
      <c r="L910" s="4" t="s">
        <v>3743</v>
      </c>
      <c r="M910" s="4" t="s">
        <v>3746</v>
      </c>
      <c r="N910" s="4" t="s">
        <v>3747</v>
      </c>
      <c r="O910" s="17" t="str">
        <f>INDEX('список ID из СУЭ с должностями'!$A:$F,MATCH(E910,'список ID из СУЭ с должностями'!$B:$B,0),5)</f>
        <v>ВИП</v>
      </c>
    </row>
    <row r="911" spans="1:15" ht="90">
      <c r="A911" s="3" t="s">
        <v>10</v>
      </c>
      <c r="B911" s="3" t="s">
        <v>11</v>
      </c>
      <c r="C911" s="4">
        <v>2026</v>
      </c>
      <c r="D911" s="5" t="s">
        <v>12</v>
      </c>
      <c r="E911" s="4">
        <v>127</v>
      </c>
      <c r="F911" s="4" t="s">
        <v>280</v>
      </c>
      <c r="G911" s="4" t="s">
        <v>1241</v>
      </c>
      <c r="H911" s="4" t="s">
        <v>15</v>
      </c>
      <c r="I911" s="4" t="s">
        <v>1250</v>
      </c>
      <c r="J911" s="4" t="s">
        <v>1251</v>
      </c>
      <c r="K911" s="4" t="s">
        <v>30</v>
      </c>
      <c r="L911" s="4" t="s">
        <v>3743</v>
      </c>
      <c r="M911" s="4" t="s">
        <v>3746</v>
      </c>
      <c r="N911" s="4" t="s">
        <v>3747</v>
      </c>
      <c r="O911" s="17" t="str">
        <f>INDEX('список ID из СУЭ с должностями'!$A:$F,MATCH(E911,'список ID из СУЭ с должностями'!$B:$B,0),5)</f>
        <v>ВИП</v>
      </c>
    </row>
    <row r="912" spans="1:15" ht="90">
      <c r="A912" s="3" t="s">
        <v>10</v>
      </c>
      <c r="B912" s="3" t="s">
        <v>11</v>
      </c>
      <c r="C912" s="4">
        <v>2026</v>
      </c>
      <c r="D912" s="5" t="s">
        <v>12</v>
      </c>
      <c r="E912" s="4">
        <v>127</v>
      </c>
      <c r="F912" s="4" t="s">
        <v>280</v>
      </c>
      <c r="G912" s="4" t="s">
        <v>1241</v>
      </c>
      <c r="H912" s="4" t="s">
        <v>15</v>
      </c>
      <c r="I912" s="4" t="s">
        <v>1037</v>
      </c>
      <c r="J912" s="4" t="s">
        <v>1038</v>
      </c>
      <c r="K912" s="4" t="s">
        <v>188</v>
      </c>
      <c r="L912" s="4" t="s">
        <v>3742</v>
      </c>
      <c r="M912" s="4" t="s">
        <v>3746</v>
      </c>
      <c r="N912" s="4" t="s">
        <v>3747</v>
      </c>
      <c r="O912" s="17" t="str">
        <f>INDEX('список ID из СУЭ с должностями'!$A:$F,MATCH(E912,'список ID из СУЭ с должностями'!$B:$B,0),5)</f>
        <v>ВИП</v>
      </c>
    </row>
    <row r="913" spans="1:15" ht="60">
      <c r="A913" s="3" t="s">
        <v>10</v>
      </c>
      <c r="B913" s="3" t="s">
        <v>11</v>
      </c>
      <c r="C913" s="4">
        <v>2026</v>
      </c>
      <c r="D913" s="5" t="s">
        <v>12</v>
      </c>
      <c r="E913" s="4">
        <v>128</v>
      </c>
      <c r="F913" s="4" t="s">
        <v>1252</v>
      </c>
      <c r="G913" s="4" t="s">
        <v>1253</v>
      </c>
      <c r="H913" s="4" t="s">
        <v>41</v>
      </c>
      <c r="I913" s="4" t="s">
        <v>1254</v>
      </c>
      <c r="J913" s="4" t="s">
        <v>1255</v>
      </c>
      <c r="K913" s="4" t="s">
        <v>23</v>
      </c>
      <c r="L913" s="4" t="s">
        <v>3743</v>
      </c>
      <c r="M913" s="4" t="s">
        <v>3748</v>
      </c>
      <c r="N913" s="4" t="s">
        <v>3749</v>
      </c>
      <c r="O913" s="17">
        <f>INDEX('список ID из СУЭ с должностями'!$A:$F,MATCH(E913,'список ID из СУЭ с должностями'!$B:$B,0),5)</f>
        <v>0</v>
      </c>
    </row>
    <row r="914" spans="1:15" ht="90">
      <c r="A914" s="3" t="s">
        <v>10</v>
      </c>
      <c r="B914" s="3" t="s">
        <v>11</v>
      </c>
      <c r="C914" s="4">
        <v>2026</v>
      </c>
      <c r="D914" s="5" t="s">
        <v>12</v>
      </c>
      <c r="E914" s="4">
        <v>128</v>
      </c>
      <c r="F914" s="4" t="s">
        <v>1252</v>
      </c>
      <c r="G914" s="4" t="s">
        <v>1253</v>
      </c>
      <c r="H914" s="4" t="s">
        <v>21</v>
      </c>
      <c r="I914" s="4" t="s">
        <v>1257</v>
      </c>
      <c r="J914" s="4" t="s">
        <v>1258</v>
      </c>
      <c r="K914" s="4" t="s">
        <v>25</v>
      </c>
      <c r="L914" s="4" t="s">
        <v>3743</v>
      </c>
      <c r="M914" s="4" t="s">
        <v>3746</v>
      </c>
      <c r="N914" s="4" t="s">
        <v>3747</v>
      </c>
      <c r="O914" s="17">
        <f>INDEX('список ID из СУЭ с должностями'!$A:$F,MATCH(E914,'список ID из СУЭ с должностями'!$B:$B,0),5)</f>
        <v>0</v>
      </c>
    </row>
    <row r="915" spans="1:15" ht="60">
      <c r="A915" s="3" t="s">
        <v>10</v>
      </c>
      <c r="B915" s="3" t="s">
        <v>11</v>
      </c>
      <c r="C915" s="4">
        <v>2026</v>
      </c>
      <c r="D915" s="5" t="s">
        <v>12</v>
      </c>
      <c r="E915" s="4">
        <v>128</v>
      </c>
      <c r="F915" s="4" t="s">
        <v>1252</v>
      </c>
      <c r="G915" s="4" t="s">
        <v>1253</v>
      </c>
      <c r="H915" s="4" t="s">
        <v>41</v>
      </c>
      <c r="I915" s="4" t="s">
        <v>1259</v>
      </c>
      <c r="J915" s="4" t="s">
        <v>1260</v>
      </c>
      <c r="K915" s="4" t="s">
        <v>23</v>
      </c>
      <c r="L915" s="4" t="s">
        <v>3743</v>
      </c>
      <c r="M915" s="4" t="s">
        <v>3748</v>
      </c>
      <c r="N915" s="4" t="s">
        <v>3752</v>
      </c>
      <c r="O915" s="17">
        <f>INDEX('список ID из СУЭ с должностями'!$A:$F,MATCH(E915,'список ID из СУЭ с должностями'!$B:$B,0),5)</f>
        <v>0</v>
      </c>
    </row>
    <row r="916" spans="1:15" ht="75">
      <c r="A916" s="3" t="s">
        <v>10</v>
      </c>
      <c r="B916" s="3" t="s">
        <v>11</v>
      </c>
      <c r="C916" s="4">
        <v>2026</v>
      </c>
      <c r="D916" s="5" t="s">
        <v>12</v>
      </c>
      <c r="E916" s="4">
        <v>128</v>
      </c>
      <c r="F916" s="4" t="s">
        <v>1252</v>
      </c>
      <c r="G916" s="4" t="s">
        <v>1253</v>
      </c>
      <c r="H916" s="4" t="s">
        <v>21</v>
      </c>
      <c r="I916" s="4" t="s">
        <v>1261</v>
      </c>
      <c r="J916" s="4" t="s">
        <v>1262</v>
      </c>
      <c r="K916" s="4" t="s">
        <v>20</v>
      </c>
      <c r="L916" s="4" t="s">
        <v>3743</v>
      </c>
      <c r="M916" s="4" t="s">
        <v>3746</v>
      </c>
      <c r="N916" s="4" t="s">
        <v>3747</v>
      </c>
      <c r="O916" s="17">
        <f>INDEX('список ID из СУЭ с должностями'!$A:$F,MATCH(E916,'список ID из СУЭ с должностями'!$B:$B,0),5)</f>
        <v>0</v>
      </c>
    </row>
    <row r="917" spans="1:15" ht="75">
      <c r="A917" s="3" t="s">
        <v>10</v>
      </c>
      <c r="B917" s="3" t="s">
        <v>11</v>
      </c>
      <c r="C917" s="4">
        <v>2026</v>
      </c>
      <c r="D917" s="5" t="s">
        <v>12</v>
      </c>
      <c r="E917" s="4">
        <v>128</v>
      </c>
      <c r="F917" s="4" t="s">
        <v>1252</v>
      </c>
      <c r="G917" s="4" t="s">
        <v>1253</v>
      </c>
      <c r="H917" s="4" t="s">
        <v>15</v>
      </c>
      <c r="I917" s="4" t="s">
        <v>975</v>
      </c>
      <c r="J917" s="4" t="s">
        <v>132</v>
      </c>
      <c r="K917" s="4" t="s">
        <v>20</v>
      </c>
      <c r="L917" s="4" t="s">
        <v>3742</v>
      </c>
      <c r="M917" s="4" t="s">
        <v>3746</v>
      </c>
      <c r="N917" s="4" t="s">
        <v>3747</v>
      </c>
      <c r="O917" s="17">
        <f>INDEX('список ID из СУЭ с должностями'!$A:$F,MATCH(E917,'список ID из СУЭ с должностями'!$B:$B,0),5)</f>
        <v>0</v>
      </c>
    </row>
    <row r="918" spans="1:15" ht="75">
      <c r="A918" s="3" t="s">
        <v>10</v>
      </c>
      <c r="B918" s="3" t="s">
        <v>11</v>
      </c>
      <c r="C918" s="4">
        <v>2026</v>
      </c>
      <c r="D918" s="5" t="s">
        <v>12</v>
      </c>
      <c r="E918" s="4">
        <v>128</v>
      </c>
      <c r="F918" s="4" t="s">
        <v>1252</v>
      </c>
      <c r="G918" s="4" t="s">
        <v>1253</v>
      </c>
      <c r="H918" s="4" t="s">
        <v>41</v>
      </c>
      <c r="I918" s="4" t="s">
        <v>1263</v>
      </c>
      <c r="J918" s="4" t="s">
        <v>1264</v>
      </c>
      <c r="K918" s="4" t="s">
        <v>20</v>
      </c>
      <c r="L918" s="4" t="s">
        <v>3743</v>
      </c>
      <c r="M918" s="4" t="s">
        <v>3746</v>
      </c>
      <c r="N918" s="4" t="s">
        <v>3747</v>
      </c>
      <c r="O918" s="17">
        <f>INDEX('список ID из СУЭ с должностями'!$A:$F,MATCH(E918,'список ID из СУЭ с должностями'!$B:$B,0),5)</f>
        <v>0</v>
      </c>
    </row>
    <row r="919" spans="1:15" ht="75">
      <c r="A919" s="3" t="s">
        <v>10</v>
      </c>
      <c r="B919" s="3" t="s">
        <v>11</v>
      </c>
      <c r="C919" s="4">
        <v>2026</v>
      </c>
      <c r="D919" s="5" t="s">
        <v>12</v>
      </c>
      <c r="E919" s="4">
        <v>128</v>
      </c>
      <c r="F919" s="4" t="s">
        <v>1252</v>
      </c>
      <c r="G919" s="4" t="s">
        <v>1253</v>
      </c>
      <c r="H919" s="4" t="s">
        <v>15</v>
      </c>
      <c r="I919" s="4" t="s">
        <v>1265</v>
      </c>
      <c r="J919" s="4" t="s">
        <v>1266</v>
      </c>
      <c r="K919" s="4" t="s">
        <v>1267</v>
      </c>
      <c r="L919" s="4" t="s">
        <v>3743</v>
      </c>
      <c r="M919" s="4" t="s">
        <v>3746</v>
      </c>
      <c r="N919" s="4" t="s">
        <v>3764</v>
      </c>
      <c r="O919" s="17">
        <f>INDEX('список ID из СУЭ с должностями'!$A:$F,MATCH(E919,'список ID из СУЭ с должностями'!$B:$B,0),5)</f>
        <v>0</v>
      </c>
    </row>
    <row r="920" spans="1:15" ht="90">
      <c r="A920" s="3" t="s">
        <v>10</v>
      </c>
      <c r="B920" s="3" t="s">
        <v>11</v>
      </c>
      <c r="C920" s="4">
        <v>2026</v>
      </c>
      <c r="D920" s="5" t="s">
        <v>12</v>
      </c>
      <c r="E920" s="4">
        <v>129</v>
      </c>
      <c r="F920" s="4" t="s">
        <v>1268</v>
      </c>
      <c r="G920" s="4" t="s">
        <v>1269</v>
      </c>
      <c r="H920" s="4" t="s">
        <v>15</v>
      </c>
      <c r="I920" s="4" t="s">
        <v>1168</v>
      </c>
      <c r="J920" s="4" t="s">
        <v>1270</v>
      </c>
      <c r="K920" s="4" t="s">
        <v>25</v>
      </c>
      <c r="L920" s="4" t="s">
        <v>3743</v>
      </c>
      <c r="M920" s="4" t="s">
        <v>3746</v>
      </c>
      <c r="N920" s="4" t="s">
        <v>3747</v>
      </c>
      <c r="O920" s="17">
        <f>INDEX('список ID из СУЭ с должностями'!$A:$F,MATCH(E920,'список ID из СУЭ с должностями'!$B:$B,0),5)</f>
        <v>0</v>
      </c>
    </row>
    <row r="921" spans="1:15" ht="90">
      <c r="A921" s="3" t="s">
        <v>10</v>
      </c>
      <c r="B921" s="3" t="s">
        <v>11</v>
      </c>
      <c r="C921" s="4">
        <v>2026</v>
      </c>
      <c r="D921" s="5" t="s">
        <v>12</v>
      </c>
      <c r="E921" s="4">
        <v>129</v>
      </c>
      <c r="F921" s="4" t="s">
        <v>1268</v>
      </c>
      <c r="G921" s="4" t="s">
        <v>1269</v>
      </c>
      <c r="H921" s="4" t="s">
        <v>41</v>
      </c>
      <c r="I921" s="4" t="s">
        <v>806</v>
      </c>
      <c r="J921" s="4" t="s">
        <v>1271</v>
      </c>
      <c r="K921" s="4" t="s">
        <v>38</v>
      </c>
      <c r="L921" s="4" t="s">
        <v>3743</v>
      </c>
      <c r="M921" s="4" t="s">
        <v>3746</v>
      </c>
      <c r="N921" s="4" t="s">
        <v>3747</v>
      </c>
      <c r="O921" s="17">
        <f>INDEX('список ID из СУЭ с должностями'!$A:$F,MATCH(E921,'список ID из СУЭ с должностями'!$B:$B,0),5)</f>
        <v>0</v>
      </c>
    </row>
    <row r="922" spans="1:15" ht="180">
      <c r="A922" s="3" t="s">
        <v>10</v>
      </c>
      <c r="B922" s="3" t="s">
        <v>11</v>
      </c>
      <c r="C922" s="4">
        <v>2026</v>
      </c>
      <c r="D922" s="5" t="s">
        <v>12</v>
      </c>
      <c r="E922" s="4">
        <v>129</v>
      </c>
      <c r="F922" s="4" t="s">
        <v>1268</v>
      </c>
      <c r="G922" s="4" t="s">
        <v>1269</v>
      </c>
      <c r="H922" s="4" t="s">
        <v>15</v>
      </c>
      <c r="I922" s="4" t="s">
        <v>809</v>
      </c>
      <c r="J922" s="4" t="s">
        <v>1272</v>
      </c>
      <c r="K922" s="4" t="s">
        <v>20</v>
      </c>
      <c r="L922" s="4" t="s">
        <v>3743</v>
      </c>
      <c r="M922" s="4" t="s">
        <v>3746</v>
      </c>
      <c r="N922" s="4" t="s">
        <v>3747</v>
      </c>
      <c r="O922" s="17">
        <f>INDEX('список ID из СУЭ с должностями'!$A:$F,MATCH(E922,'список ID из СУЭ с должностями'!$B:$B,0),5)</f>
        <v>0</v>
      </c>
    </row>
    <row r="923" spans="1:15" ht="300">
      <c r="A923" s="3" t="s">
        <v>10</v>
      </c>
      <c r="B923" s="3" t="s">
        <v>11</v>
      </c>
      <c r="C923" s="4">
        <v>2026</v>
      </c>
      <c r="D923" s="5" t="s">
        <v>12</v>
      </c>
      <c r="E923" s="4">
        <v>129</v>
      </c>
      <c r="F923" s="4" t="s">
        <v>1268</v>
      </c>
      <c r="G923" s="4" t="s">
        <v>1269</v>
      </c>
      <c r="H923" s="4" t="s">
        <v>15</v>
      </c>
      <c r="I923" s="4" t="s">
        <v>857</v>
      </c>
      <c r="J923" s="4" t="s">
        <v>1273</v>
      </c>
      <c r="K923" s="4" t="s">
        <v>35</v>
      </c>
      <c r="L923" s="4" t="s">
        <v>3743</v>
      </c>
      <c r="M923" s="4" t="s">
        <v>3746</v>
      </c>
      <c r="N923" s="4" t="s">
        <v>3747</v>
      </c>
      <c r="O923" s="17">
        <f>INDEX('список ID из СУЭ с должностями'!$A:$F,MATCH(E923,'список ID из СУЭ с должностями'!$B:$B,0),5)</f>
        <v>0</v>
      </c>
    </row>
    <row r="924" spans="1:15" ht="150">
      <c r="A924" s="3" t="s">
        <v>10</v>
      </c>
      <c r="B924" s="3" t="s">
        <v>11</v>
      </c>
      <c r="C924" s="4">
        <v>2026</v>
      </c>
      <c r="D924" s="5" t="s">
        <v>12</v>
      </c>
      <c r="E924" s="4">
        <v>129</v>
      </c>
      <c r="F924" s="4" t="s">
        <v>1268</v>
      </c>
      <c r="G924" s="4" t="s">
        <v>1269</v>
      </c>
      <c r="H924" s="4" t="s">
        <v>15</v>
      </c>
      <c r="I924" s="4" t="s">
        <v>303</v>
      </c>
      <c r="J924" s="4" t="s">
        <v>1274</v>
      </c>
      <c r="K924" s="4" t="s">
        <v>52</v>
      </c>
      <c r="L924" s="4" t="s">
        <v>3743</v>
      </c>
      <c r="M924" s="4" t="s">
        <v>3746</v>
      </c>
      <c r="N924" s="4" t="s">
        <v>3747</v>
      </c>
      <c r="O924" s="17">
        <f>INDEX('список ID из СУЭ с должностями'!$A:$F,MATCH(E924,'список ID из СУЭ с должностями'!$B:$B,0),5)</f>
        <v>0</v>
      </c>
    </row>
    <row r="925" spans="1:15" ht="60">
      <c r="A925" s="3" t="s">
        <v>10</v>
      </c>
      <c r="B925" s="3" t="s">
        <v>11</v>
      </c>
      <c r="C925" s="4">
        <v>2026</v>
      </c>
      <c r="D925" s="5" t="s">
        <v>12</v>
      </c>
      <c r="E925" s="4">
        <v>130</v>
      </c>
      <c r="F925" s="4" t="s">
        <v>39</v>
      </c>
      <c r="G925" s="4" t="s">
        <v>1275</v>
      </c>
      <c r="H925" s="4" t="s">
        <v>15</v>
      </c>
      <c r="I925" s="4" t="s">
        <v>288</v>
      </c>
      <c r="J925" s="4" t="s">
        <v>1276</v>
      </c>
      <c r="K925" s="4" t="s">
        <v>188</v>
      </c>
      <c r="L925" s="4" t="s">
        <v>3742</v>
      </c>
      <c r="M925" s="4" t="s">
        <v>3746</v>
      </c>
      <c r="N925" s="4" t="s">
        <v>3747</v>
      </c>
      <c r="O925" s="17" t="str">
        <f>INDEX('список ID из СУЭ с должностями'!$A:$F,MATCH(E925,'список ID из СУЭ с должностями'!$B:$B,0),5)</f>
        <v>НС</v>
      </c>
    </row>
    <row r="926" spans="1:15" ht="60">
      <c r="A926" s="3" t="s">
        <v>10</v>
      </c>
      <c r="B926" s="3" t="s">
        <v>11</v>
      </c>
      <c r="C926" s="4">
        <v>2026</v>
      </c>
      <c r="D926" s="5" t="s">
        <v>12</v>
      </c>
      <c r="E926" s="4">
        <v>130</v>
      </c>
      <c r="F926" s="4" t="s">
        <v>39</v>
      </c>
      <c r="G926" s="4" t="s">
        <v>1275</v>
      </c>
      <c r="H926" s="4" t="s">
        <v>15</v>
      </c>
      <c r="I926" s="4" t="s">
        <v>290</v>
      </c>
      <c r="J926" s="4" t="s">
        <v>1277</v>
      </c>
      <c r="K926" s="4" t="s">
        <v>151</v>
      </c>
      <c r="L926" s="4" t="s">
        <v>3742</v>
      </c>
      <c r="M926" s="4" t="s">
        <v>3746</v>
      </c>
      <c r="N926" s="4" t="s">
        <v>3747</v>
      </c>
      <c r="O926" s="17" t="str">
        <f>INDEX('список ID из СУЭ с должностями'!$A:$F,MATCH(E926,'список ID из СУЭ с должностями'!$B:$B,0),5)</f>
        <v>НС</v>
      </c>
    </row>
    <row r="927" spans="1:15" ht="45">
      <c r="A927" s="3" t="s">
        <v>10</v>
      </c>
      <c r="B927" s="3" t="s">
        <v>11</v>
      </c>
      <c r="C927" s="4">
        <v>2026</v>
      </c>
      <c r="D927" s="5" t="s">
        <v>12</v>
      </c>
      <c r="E927" s="4">
        <v>130</v>
      </c>
      <c r="F927" s="4" t="s">
        <v>39</v>
      </c>
      <c r="G927" s="4" t="s">
        <v>1275</v>
      </c>
      <c r="H927" s="4" t="s">
        <v>15</v>
      </c>
      <c r="I927" s="4" t="s">
        <v>1278</v>
      </c>
      <c r="J927" s="4" t="s">
        <v>1279</v>
      </c>
      <c r="K927" s="4" t="s">
        <v>55</v>
      </c>
      <c r="L927" s="4" t="s">
        <v>3742</v>
      </c>
      <c r="M927" s="4" t="s">
        <v>3746</v>
      </c>
      <c r="N927" s="4" t="s">
        <v>3747</v>
      </c>
      <c r="O927" s="17" t="str">
        <f>INDEX('список ID из СУЭ с должностями'!$A:$F,MATCH(E927,'список ID из СУЭ с должностями'!$B:$B,0),5)</f>
        <v>НС</v>
      </c>
    </row>
    <row r="928" spans="1:15" ht="45">
      <c r="A928" s="3" t="s">
        <v>10</v>
      </c>
      <c r="B928" s="3" t="s">
        <v>11</v>
      </c>
      <c r="C928" s="4">
        <v>2026</v>
      </c>
      <c r="D928" s="5" t="s">
        <v>12</v>
      </c>
      <c r="E928" s="4">
        <v>130</v>
      </c>
      <c r="F928" s="4" t="s">
        <v>39</v>
      </c>
      <c r="G928" s="4" t="s">
        <v>1275</v>
      </c>
      <c r="H928" s="4" t="s">
        <v>15</v>
      </c>
      <c r="I928" s="4" t="s">
        <v>1280</v>
      </c>
      <c r="J928" s="4" t="s">
        <v>1281</v>
      </c>
      <c r="K928" s="4" t="s">
        <v>66</v>
      </c>
      <c r="L928" s="4" t="s">
        <v>3742</v>
      </c>
      <c r="M928" s="4" t="s">
        <v>3746</v>
      </c>
      <c r="N928" s="4" t="s">
        <v>3747</v>
      </c>
      <c r="O928" s="17" t="str">
        <f>INDEX('список ID из СУЭ с должностями'!$A:$F,MATCH(E928,'список ID из СУЭ с должностями'!$B:$B,0),5)</f>
        <v>НС</v>
      </c>
    </row>
    <row r="929" spans="1:15" ht="105">
      <c r="A929" s="3" t="s">
        <v>10</v>
      </c>
      <c r="B929" s="3" t="s">
        <v>11</v>
      </c>
      <c r="C929" s="4">
        <v>2026</v>
      </c>
      <c r="D929" s="5" t="s">
        <v>12</v>
      </c>
      <c r="E929" s="4">
        <v>130</v>
      </c>
      <c r="F929" s="4" t="s">
        <v>39</v>
      </c>
      <c r="G929" s="4" t="s">
        <v>1275</v>
      </c>
      <c r="H929" s="4" t="s">
        <v>15</v>
      </c>
      <c r="I929" s="4" t="s">
        <v>1282</v>
      </c>
      <c r="J929" s="4" t="s">
        <v>1283</v>
      </c>
      <c r="K929" s="4" t="s">
        <v>20</v>
      </c>
      <c r="L929" s="4" t="s">
        <v>3743</v>
      </c>
      <c r="M929" s="4" t="s">
        <v>3746</v>
      </c>
      <c r="N929" s="4" t="s">
        <v>3747</v>
      </c>
      <c r="O929" s="17" t="str">
        <f>INDEX('список ID из СУЭ с должностями'!$A:$F,MATCH(E929,'список ID из СУЭ с должностями'!$B:$B,0),5)</f>
        <v>НС</v>
      </c>
    </row>
    <row r="930" spans="1:15" ht="60">
      <c r="A930" s="3" t="s">
        <v>10</v>
      </c>
      <c r="B930" s="3" t="s">
        <v>11</v>
      </c>
      <c r="C930" s="4">
        <v>2026</v>
      </c>
      <c r="D930" s="5" t="s">
        <v>12</v>
      </c>
      <c r="E930" s="4">
        <v>130</v>
      </c>
      <c r="F930" s="4" t="s">
        <v>39</v>
      </c>
      <c r="G930" s="4" t="s">
        <v>1275</v>
      </c>
      <c r="H930" s="4" t="s">
        <v>15</v>
      </c>
      <c r="I930" s="4" t="s">
        <v>1284</v>
      </c>
      <c r="J930" s="4" t="s">
        <v>957</v>
      </c>
      <c r="K930" s="4" t="s">
        <v>188</v>
      </c>
      <c r="L930" s="4" t="s">
        <v>3742</v>
      </c>
      <c r="M930" s="4" t="s">
        <v>3746</v>
      </c>
      <c r="N930" s="4" t="s">
        <v>3747</v>
      </c>
      <c r="O930" s="17" t="str">
        <f>INDEX('список ID из СУЭ с должностями'!$A:$F,MATCH(E930,'список ID из СУЭ с должностями'!$B:$B,0),5)</f>
        <v>НС</v>
      </c>
    </row>
    <row r="931" spans="1:15" ht="45">
      <c r="A931" s="3" t="s">
        <v>10</v>
      </c>
      <c r="B931" s="3" t="s">
        <v>11</v>
      </c>
      <c r="C931" s="4">
        <v>2026</v>
      </c>
      <c r="D931" s="5" t="s">
        <v>12</v>
      </c>
      <c r="E931" s="4">
        <v>130</v>
      </c>
      <c r="F931" s="4" t="s">
        <v>39</v>
      </c>
      <c r="G931" s="4" t="s">
        <v>1275</v>
      </c>
      <c r="H931" s="4" t="s">
        <v>15</v>
      </c>
      <c r="I931" s="4" t="s">
        <v>203</v>
      </c>
      <c r="J931" s="4" t="s">
        <v>957</v>
      </c>
      <c r="K931" s="4" t="s">
        <v>35</v>
      </c>
      <c r="L931" s="4" t="s">
        <v>3742</v>
      </c>
      <c r="M931" s="4" t="s">
        <v>3746</v>
      </c>
      <c r="N931" s="4" t="s">
        <v>3747</v>
      </c>
      <c r="O931" s="17" t="str">
        <f>INDEX('список ID из СУЭ с должностями'!$A:$F,MATCH(E931,'список ID из СУЭ с должностями'!$B:$B,0),5)</f>
        <v>НС</v>
      </c>
    </row>
    <row r="932" spans="1:15" ht="60">
      <c r="A932" s="3" t="s">
        <v>10</v>
      </c>
      <c r="B932" s="3" t="s">
        <v>11</v>
      </c>
      <c r="C932" s="4">
        <v>2026</v>
      </c>
      <c r="D932" s="5" t="s">
        <v>12</v>
      </c>
      <c r="E932" s="4">
        <v>130</v>
      </c>
      <c r="F932" s="4" t="s">
        <v>39</v>
      </c>
      <c r="G932" s="4" t="s">
        <v>1275</v>
      </c>
      <c r="H932" s="4" t="s">
        <v>15</v>
      </c>
      <c r="I932" s="4" t="s">
        <v>292</v>
      </c>
      <c r="J932" s="4" t="s">
        <v>1285</v>
      </c>
      <c r="K932" s="4" t="s">
        <v>30</v>
      </c>
      <c r="L932" s="4" t="s">
        <v>3742</v>
      </c>
      <c r="M932" s="4" t="s">
        <v>3746</v>
      </c>
      <c r="N932" s="4" t="s">
        <v>3747</v>
      </c>
      <c r="O932" s="17" t="str">
        <f>INDEX('список ID из СУЭ с должностями'!$A:$F,MATCH(E932,'список ID из СУЭ с должностями'!$B:$B,0),5)</f>
        <v>НС</v>
      </c>
    </row>
    <row r="933" spans="1:15" ht="360">
      <c r="A933" s="3" t="s">
        <v>10</v>
      </c>
      <c r="B933" s="3" t="s">
        <v>11</v>
      </c>
      <c r="C933" s="4">
        <v>2026</v>
      </c>
      <c r="D933" s="5" t="s">
        <v>12</v>
      </c>
      <c r="E933" s="4">
        <v>130</v>
      </c>
      <c r="F933" s="4" t="s">
        <v>39</v>
      </c>
      <c r="G933" s="4" t="s">
        <v>1275</v>
      </c>
      <c r="H933" s="4" t="s">
        <v>15</v>
      </c>
      <c r="I933" s="4" t="s">
        <v>189</v>
      </c>
      <c r="J933" s="4" t="s">
        <v>1286</v>
      </c>
      <c r="K933" s="4" t="s">
        <v>30</v>
      </c>
      <c r="L933" s="4" t="s">
        <v>3743</v>
      </c>
      <c r="M933" s="4" t="s">
        <v>3746</v>
      </c>
      <c r="N933" s="4" t="s">
        <v>3747</v>
      </c>
      <c r="O933" s="17" t="str">
        <f>INDEX('список ID из СУЭ с должностями'!$A:$F,MATCH(E933,'список ID из СУЭ с должностями'!$B:$B,0),5)</f>
        <v>НС</v>
      </c>
    </row>
    <row r="934" spans="1:15" ht="60">
      <c r="A934" s="3" t="s">
        <v>10</v>
      </c>
      <c r="B934" s="3" t="s">
        <v>11</v>
      </c>
      <c r="C934" s="4">
        <v>2026</v>
      </c>
      <c r="D934" s="5" t="s">
        <v>12</v>
      </c>
      <c r="E934" s="4">
        <v>131</v>
      </c>
      <c r="F934" s="4" t="s">
        <v>88</v>
      </c>
      <c r="G934" s="4" t="s">
        <v>951</v>
      </c>
      <c r="H934" s="4" t="s">
        <v>15</v>
      </c>
      <c r="I934" s="4" t="s">
        <v>1287</v>
      </c>
      <c r="J934" s="4" t="s">
        <v>1288</v>
      </c>
      <c r="K934" s="4" t="s">
        <v>188</v>
      </c>
      <c r="L934" s="4" t="s">
        <v>3743</v>
      </c>
      <c r="M934" s="4" t="s">
        <v>3746</v>
      </c>
      <c r="N934" s="4" t="s">
        <v>3747</v>
      </c>
      <c r="O934" s="17">
        <f>INDEX('список ID из СУЭ с должностями'!$A:$F,MATCH(E934,'список ID из СУЭ с должностями'!$B:$B,0),5)</f>
        <v>0</v>
      </c>
    </row>
    <row r="935" spans="1:15" ht="60">
      <c r="A935" s="3" t="s">
        <v>10</v>
      </c>
      <c r="B935" s="3" t="s">
        <v>11</v>
      </c>
      <c r="C935" s="4">
        <v>2026</v>
      </c>
      <c r="D935" s="5" t="s">
        <v>12</v>
      </c>
      <c r="E935" s="4">
        <v>131</v>
      </c>
      <c r="F935" s="4" t="s">
        <v>88</v>
      </c>
      <c r="G935" s="4" t="s">
        <v>951</v>
      </c>
      <c r="H935" s="4" t="s">
        <v>15</v>
      </c>
      <c r="I935" s="4" t="s">
        <v>401</v>
      </c>
      <c r="J935" s="4" t="s">
        <v>402</v>
      </c>
      <c r="K935" s="4" t="s">
        <v>66</v>
      </c>
      <c r="L935" s="4" t="s">
        <v>3742</v>
      </c>
      <c r="M935" s="4" t="s">
        <v>3746</v>
      </c>
      <c r="N935" s="4" t="s">
        <v>3747</v>
      </c>
      <c r="O935" s="17">
        <f>INDEX('список ID из СУЭ с должностями'!$A:$F,MATCH(E935,'список ID из СУЭ с должностями'!$B:$B,0),5)</f>
        <v>0</v>
      </c>
    </row>
    <row r="936" spans="1:15" ht="60">
      <c r="A936" s="3" t="s">
        <v>10</v>
      </c>
      <c r="B936" s="3" t="s">
        <v>11</v>
      </c>
      <c r="C936" s="4">
        <v>2026</v>
      </c>
      <c r="D936" s="5" t="s">
        <v>12</v>
      </c>
      <c r="E936" s="4">
        <v>131</v>
      </c>
      <c r="F936" s="4" t="s">
        <v>88</v>
      </c>
      <c r="G936" s="4" t="s">
        <v>951</v>
      </c>
      <c r="H936" s="4" t="s">
        <v>15</v>
      </c>
      <c r="I936" s="4" t="s">
        <v>956</v>
      </c>
      <c r="J936" s="4" t="s">
        <v>957</v>
      </c>
      <c r="K936" s="4" t="s">
        <v>35</v>
      </c>
      <c r="L936" s="4" t="s">
        <v>3742</v>
      </c>
      <c r="M936" s="4" t="s">
        <v>3746</v>
      </c>
      <c r="N936" s="4" t="s">
        <v>3747</v>
      </c>
      <c r="O936" s="17">
        <f>INDEX('список ID из СУЭ с должностями'!$A:$F,MATCH(E936,'список ID из СУЭ с должностями'!$B:$B,0),5)</f>
        <v>0</v>
      </c>
    </row>
    <row r="937" spans="1:15" ht="60">
      <c r="A937" s="3" t="s">
        <v>10</v>
      </c>
      <c r="B937" s="3" t="s">
        <v>11</v>
      </c>
      <c r="C937" s="4">
        <v>2026</v>
      </c>
      <c r="D937" s="5" t="s">
        <v>12</v>
      </c>
      <c r="E937" s="4">
        <v>131</v>
      </c>
      <c r="F937" s="4" t="s">
        <v>88</v>
      </c>
      <c r="G937" s="4" t="s">
        <v>951</v>
      </c>
      <c r="H937" s="4" t="s">
        <v>21</v>
      </c>
      <c r="I937" s="4" t="s">
        <v>954</v>
      </c>
      <c r="J937" s="4" t="s">
        <v>1289</v>
      </c>
      <c r="K937" s="4" t="s">
        <v>23</v>
      </c>
      <c r="L937" s="4" t="s">
        <v>3743</v>
      </c>
      <c r="M937" s="4" t="s">
        <v>3748</v>
      </c>
      <c r="N937" s="4" t="s">
        <v>3749</v>
      </c>
      <c r="O937" s="17">
        <f>INDEX('список ID из СУЭ с должностями'!$A:$F,MATCH(E937,'список ID из СУЭ с должностями'!$B:$B,0),5)</f>
        <v>0</v>
      </c>
    </row>
    <row r="938" spans="1:15" ht="60">
      <c r="A938" s="3" t="s">
        <v>10</v>
      </c>
      <c r="B938" s="3" t="s">
        <v>11</v>
      </c>
      <c r="C938" s="4">
        <v>2026</v>
      </c>
      <c r="D938" s="5" t="s">
        <v>12</v>
      </c>
      <c r="E938" s="4">
        <v>131</v>
      </c>
      <c r="F938" s="4" t="s">
        <v>88</v>
      </c>
      <c r="G938" s="4" t="s">
        <v>951</v>
      </c>
      <c r="H938" s="4" t="s">
        <v>21</v>
      </c>
      <c r="I938" s="4" t="s">
        <v>958</v>
      </c>
      <c r="J938" s="4" t="s">
        <v>972</v>
      </c>
      <c r="K938" s="4" t="s">
        <v>25</v>
      </c>
      <c r="L938" s="4" t="s">
        <v>3743</v>
      </c>
      <c r="M938" s="4" t="s">
        <v>3746</v>
      </c>
      <c r="N938" s="4" t="s">
        <v>3747</v>
      </c>
      <c r="O938" s="17">
        <f>INDEX('список ID из СУЭ с должностями'!$A:$F,MATCH(E938,'список ID из СУЭ с должностями'!$B:$B,0),5)</f>
        <v>0</v>
      </c>
    </row>
    <row r="939" spans="1:15" ht="180">
      <c r="A939" s="3" t="s">
        <v>10</v>
      </c>
      <c r="B939" s="3" t="s">
        <v>11</v>
      </c>
      <c r="C939" s="4">
        <v>2026</v>
      </c>
      <c r="D939" s="5" t="s">
        <v>12</v>
      </c>
      <c r="E939" s="4">
        <v>131</v>
      </c>
      <c r="F939" s="4" t="s">
        <v>88</v>
      </c>
      <c r="G939" s="4" t="s">
        <v>951</v>
      </c>
      <c r="H939" s="4" t="s">
        <v>15</v>
      </c>
      <c r="I939" s="4" t="s">
        <v>960</v>
      </c>
      <c r="J939" s="4" t="s">
        <v>961</v>
      </c>
      <c r="K939" s="4" t="s">
        <v>188</v>
      </c>
      <c r="L939" s="4" t="s">
        <v>3743</v>
      </c>
      <c r="M939" s="4" t="s">
        <v>3746</v>
      </c>
      <c r="N939" s="4" t="s">
        <v>3747</v>
      </c>
      <c r="O939" s="17">
        <f>INDEX('список ID из СУЭ с должностями'!$A:$F,MATCH(E939,'список ID из СУЭ с должностями'!$B:$B,0),5)</f>
        <v>0</v>
      </c>
    </row>
    <row r="940" spans="1:15" ht="120">
      <c r="A940" s="3" t="s">
        <v>10</v>
      </c>
      <c r="B940" s="3" t="s">
        <v>11</v>
      </c>
      <c r="C940" s="4">
        <v>2026</v>
      </c>
      <c r="D940" s="5" t="s">
        <v>12</v>
      </c>
      <c r="E940" s="4">
        <v>132</v>
      </c>
      <c r="F940" s="4" t="s">
        <v>1290</v>
      </c>
      <c r="G940" s="4" t="s">
        <v>1203</v>
      </c>
      <c r="H940" s="4" t="s">
        <v>15</v>
      </c>
      <c r="I940" s="4" t="s">
        <v>356</v>
      </c>
      <c r="J940" s="4" t="s">
        <v>821</v>
      </c>
      <c r="K940" s="4" t="s">
        <v>25</v>
      </c>
      <c r="L940" s="4" t="s">
        <v>3743</v>
      </c>
      <c r="M940" s="4" t="s">
        <v>3746</v>
      </c>
      <c r="N940" s="4" t="s">
        <v>3747</v>
      </c>
      <c r="O940" s="17">
        <f>INDEX('список ID из СУЭ с должностями'!$A:$F,MATCH(E940,'список ID из СУЭ с должностями'!$B:$B,0),5)</f>
        <v>0</v>
      </c>
    </row>
    <row r="941" spans="1:15" ht="409.5">
      <c r="A941" s="3" t="s">
        <v>10</v>
      </c>
      <c r="B941" s="3" t="s">
        <v>11</v>
      </c>
      <c r="C941" s="4">
        <v>2026</v>
      </c>
      <c r="D941" s="5" t="s">
        <v>12</v>
      </c>
      <c r="E941" s="4">
        <v>132</v>
      </c>
      <c r="F941" s="4" t="s">
        <v>1290</v>
      </c>
      <c r="G941" s="4" t="s">
        <v>1203</v>
      </c>
      <c r="H941" s="4" t="s">
        <v>15</v>
      </c>
      <c r="I941" s="4" t="s">
        <v>354</v>
      </c>
      <c r="J941" s="4" t="s">
        <v>1059</v>
      </c>
      <c r="K941" s="4" t="s">
        <v>25</v>
      </c>
      <c r="L941" s="4" t="s">
        <v>3743</v>
      </c>
      <c r="M941" s="4" t="s">
        <v>3746</v>
      </c>
      <c r="N941" s="4" t="s">
        <v>3747</v>
      </c>
      <c r="O941" s="17">
        <f>INDEX('список ID из СУЭ с должностями'!$A:$F,MATCH(E941,'список ID из СУЭ с должностями'!$B:$B,0),5)</f>
        <v>0</v>
      </c>
    </row>
    <row r="942" spans="1:15" ht="105">
      <c r="A942" s="3" t="s">
        <v>10</v>
      </c>
      <c r="B942" s="3" t="s">
        <v>11</v>
      </c>
      <c r="C942" s="4">
        <v>2026</v>
      </c>
      <c r="D942" s="5" t="s">
        <v>12</v>
      </c>
      <c r="E942" s="4">
        <v>132</v>
      </c>
      <c r="F942" s="4" t="s">
        <v>1290</v>
      </c>
      <c r="G942" s="4" t="s">
        <v>1203</v>
      </c>
      <c r="H942" s="4" t="s">
        <v>15</v>
      </c>
      <c r="I942" s="4" t="s">
        <v>1291</v>
      </c>
      <c r="J942" s="4" t="s">
        <v>1292</v>
      </c>
      <c r="K942" s="4" t="s">
        <v>23</v>
      </c>
      <c r="L942" s="4" t="s">
        <v>3743</v>
      </c>
      <c r="M942" s="4" t="s">
        <v>3748</v>
      </c>
      <c r="N942" s="4" t="s">
        <v>3752</v>
      </c>
      <c r="O942" s="17">
        <f>INDEX('список ID из СУЭ с должностями'!$A:$F,MATCH(E942,'список ID из СУЭ с должностями'!$B:$B,0),5)</f>
        <v>0</v>
      </c>
    </row>
    <row r="943" spans="1:15" ht="105">
      <c r="A943" s="3" t="s">
        <v>10</v>
      </c>
      <c r="B943" s="3" t="s">
        <v>11</v>
      </c>
      <c r="C943" s="4">
        <v>2026</v>
      </c>
      <c r="D943" s="5" t="s">
        <v>12</v>
      </c>
      <c r="E943" s="4">
        <v>132</v>
      </c>
      <c r="F943" s="4" t="s">
        <v>1290</v>
      </c>
      <c r="G943" s="4" t="s">
        <v>1203</v>
      </c>
      <c r="H943" s="4" t="s">
        <v>15</v>
      </c>
      <c r="I943" s="4" t="s">
        <v>358</v>
      </c>
      <c r="J943" s="4" t="s">
        <v>825</v>
      </c>
      <c r="K943" s="4" t="s">
        <v>66</v>
      </c>
      <c r="L943" s="4" t="s">
        <v>3743</v>
      </c>
      <c r="M943" s="4" t="s">
        <v>3746</v>
      </c>
      <c r="N943" s="4" t="s">
        <v>3747</v>
      </c>
      <c r="O943" s="17">
        <f>INDEX('список ID из СУЭ с должностями'!$A:$F,MATCH(E943,'список ID из СУЭ с должностями'!$B:$B,0),5)</f>
        <v>0</v>
      </c>
    </row>
    <row r="944" spans="1:15" ht="135">
      <c r="A944" s="3" t="s">
        <v>10</v>
      </c>
      <c r="B944" s="3" t="s">
        <v>11</v>
      </c>
      <c r="C944" s="4">
        <v>2026</v>
      </c>
      <c r="D944" s="5" t="s">
        <v>12</v>
      </c>
      <c r="E944" s="4">
        <v>132</v>
      </c>
      <c r="F944" s="4" t="s">
        <v>1290</v>
      </c>
      <c r="G944" s="4" t="s">
        <v>1203</v>
      </c>
      <c r="H944" s="4" t="s">
        <v>15</v>
      </c>
      <c r="I944" s="4" t="s">
        <v>318</v>
      </c>
      <c r="J944" s="4" t="s">
        <v>1293</v>
      </c>
      <c r="K944" s="4" t="s">
        <v>188</v>
      </c>
      <c r="L944" s="4" t="s">
        <v>3743</v>
      </c>
      <c r="M944" s="4" t="s">
        <v>3746</v>
      </c>
      <c r="N944" s="4" t="s">
        <v>3747</v>
      </c>
      <c r="O944" s="17">
        <f>INDEX('список ID из СУЭ с должностями'!$A:$F,MATCH(E944,'список ID из СУЭ с должностями'!$B:$B,0),5)</f>
        <v>0</v>
      </c>
    </row>
    <row r="945" spans="1:15" ht="315">
      <c r="A945" s="3" t="s">
        <v>10</v>
      </c>
      <c r="B945" s="3" t="s">
        <v>11</v>
      </c>
      <c r="C945" s="4">
        <v>2026</v>
      </c>
      <c r="D945" s="5" t="s">
        <v>12</v>
      </c>
      <c r="E945" s="4">
        <v>132</v>
      </c>
      <c r="F945" s="4" t="s">
        <v>1290</v>
      </c>
      <c r="G945" s="4" t="s">
        <v>1203</v>
      </c>
      <c r="H945" s="4" t="s">
        <v>41</v>
      </c>
      <c r="I945" s="4" t="s">
        <v>352</v>
      </c>
      <c r="J945" s="4" t="s">
        <v>1294</v>
      </c>
      <c r="K945" s="4" t="s">
        <v>25</v>
      </c>
      <c r="L945" s="4" t="s">
        <v>3743</v>
      </c>
      <c r="M945" s="4" t="s">
        <v>3746</v>
      </c>
      <c r="N945" s="4" t="s">
        <v>3747</v>
      </c>
      <c r="O945" s="17">
        <f>INDEX('список ID из СУЭ с должностями'!$A:$F,MATCH(E945,'список ID из СУЭ с должностями'!$B:$B,0),5)</f>
        <v>0</v>
      </c>
    </row>
    <row r="946" spans="1:15" ht="225">
      <c r="A946" s="3" t="s">
        <v>10</v>
      </c>
      <c r="B946" s="3" t="s">
        <v>11</v>
      </c>
      <c r="C946" s="4">
        <v>2026</v>
      </c>
      <c r="D946" s="5" t="s">
        <v>12</v>
      </c>
      <c r="E946" s="4">
        <v>132</v>
      </c>
      <c r="F946" s="4" t="s">
        <v>1290</v>
      </c>
      <c r="G946" s="4" t="s">
        <v>1203</v>
      </c>
      <c r="H946" s="4" t="s">
        <v>15</v>
      </c>
      <c r="I946" s="4" t="s">
        <v>323</v>
      </c>
      <c r="J946" s="4" t="s">
        <v>1295</v>
      </c>
      <c r="K946" s="4" t="s">
        <v>66</v>
      </c>
      <c r="L946" s="4" t="s">
        <v>3743</v>
      </c>
      <c r="M946" s="4" t="s">
        <v>3746</v>
      </c>
      <c r="N946" s="4" t="s">
        <v>3747</v>
      </c>
      <c r="O946" s="17">
        <f>INDEX('список ID из СУЭ с должностями'!$A:$F,MATCH(E946,'список ID из СУЭ с должностями'!$B:$B,0),5)</f>
        <v>0</v>
      </c>
    </row>
    <row r="947" spans="1:15" ht="285">
      <c r="A947" s="3" t="s">
        <v>10</v>
      </c>
      <c r="B947" s="3" t="s">
        <v>11</v>
      </c>
      <c r="C947" s="4">
        <v>2026</v>
      </c>
      <c r="D947" s="5" t="s">
        <v>12</v>
      </c>
      <c r="E947" s="4">
        <v>132</v>
      </c>
      <c r="F947" s="4" t="s">
        <v>1290</v>
      </c>
      <c r="G947" s="4" t="s">
        <v>1203</v>
      </c>
      <c r="H947" s="4" t="s">
        <v>15</v>
      </c>
      <c r="I947" s="4" t="s">
        <v>325</v>
      </c>
      <c r="J947" s="4" t="s">
        <v>1296</v>
      </c>
      <c r="K947" s="4" t="s">
        <v>35</v>
      </c>
      <c r="L947" s="4" t="s">
        <v>3743</v>
      </c>
      <c r="M947" s="4" t="s">
        <v>3746</v>
      </c>
      <c r="N947" s="4" t="s">
        <v>3747</v>
      </c>
      <c r="O947" s="17">
        <f>INDEX('список ID из СУЭ с должностями'!$A:$F,MATCH(E947,'список ID из СУЭ с должностями'!$B:$B,0),5)</f>
        <v>0</v>
      </c>
    </row>
    <row r="948" spans="1:15" ht="409.5">
      <c r="A948" s="3" t="s">
        <v>10</v>
      </c>
      <c r="B948" s="3" t="s">
        <v>11</v>
      </c>
      <c r="C948" s="4">
        <v>2026</v>
      </c>
      <c r="D948" s="5" t="s">
        <v>12</v>
      </c>
      <c r="E948" s="4">
        <v>133</v>
      </c>
      <c r="F948" s="4" t="s">
        <v>1297</v>
      </c>
      <c r="G948" s="4" t="s">
        <v>436</v>
      </c>
      <c r="H948" s="4" t="s">
        <v>15</v>
      </c>
      <c r="I948" s="4" t="s">
        <v>907</v>
      </c>
      <c r="J948" s="4" t="s">
        <v>1298</v>
      </c>
      <c r="K948" s="4" t="s">
        <v>30</v>
      </c>
      <c r="L948" s="4" t="s">
        <v>3743</v>
      </c>
      <c r="M948" s="4" t="s">
        <v>3746</v>
      </c>
      <c r="N948" s="4" t="s">
        <v>3747</v>
      </c>
      <c r="O948" s="17">
        <f>INDEX('список ID из СУЭ с должностями'!$A:$F,MATCH(E948,'список ID из СУЭ с должностями'!$B:$B,0),5)</f>
        <v>0</v>
      </c>
    </row>
    <row r="949" spans="1:15" ht="75">
      <c r="A949" s="3" t="s">
        <v>10</v>
      </c>
      <c r="B949" s="3" t="s">
        <v>11</v>
      </c>
      <c r="C949" s="4">
        <v>2026</v>
      </c>
      <c r="D949" s="5" t="s">
        <v>12</v>
      </c>
      <c r="E949" s="4">
        <v>133</v>
      </c>
      <c r="F949" s="4" t="s">
        <v>1297</v>
      </c>
      <c r="G949" s="4" t="s">
        <v>436</v>
      </c>
      <c r="H949" s="4" t="s">
        <v>15</v>
      </c>
      <c r="I949" s="4" t="s">
        <v>462</v>
      </c>
      <c r="J949" s="4" t="s">
        <v>463</v>
      </c>
      <c r="K949" s="4" t="s">
        <v>35</v>
      </c>
      <c r="L949" s="4" t="s">
        <v>3742</v>
      </c>
      <c r="M949" s="4" t="s">
        <v>3746</v>
      </c>
      <c r="N949" s="4" t="s">
        <v>3747</v>
      </c>
      <c r="O949" s="17">
        <f>INDEX('список ID из СУЭ с должностями'!$A:$F,MATCH(E949,'список ID из СУЭ с должностями'!$B:$B,0),5)</f>
        <v>0</v>
      </c>
    </row>
    <row r="950" spans="1:15" ht="195">
      <c r="A950" s="3" t="s">
        <v>10</v>
      </c>
      <c r="B950" s="3" t="s">
        <v>11</v>
      </c>
      <c r="C950" s="4">
        <v>2026</v>
      </c>
      <c r="D950" s="5" t="s">
        <v>12</v>
      </c>
      <c r="E950" s="4">
        <v>133</v>
      </c>
      <c r="F950" s="4" t="s">
        <v>1297</v>
      </c>
      <c r="G950" s="4" t="s">
        <v>436</v>
      </c>
      <c r="H950" s="4" t="s">
        <v>15</v>
      </c>
      <c r="I950" s="4" t="s">
        <v>469</v>
      </c>
      <c r="J950" s="4" t="s">
        <v>1299</v>
      </c>
      <c r="K950" s="4" t="s">
        <v>30</v>
      </c>
      <c r="L950" s="4" t="s">
        <v>3743</v>
      </c>
      <c r="M950" s="4" t="s">
        <v>3746</v>
      </c>
      <c r="N950" s="4" t="s">
        <v>3747</v>
      </c>
      <c r="O950" s="17">
        <f>INDEX('список ID из СУЭ с должностями'!$A:$F,MATCH(E950,'список ID из СУЭ с должностями'!$B:$B,0),5)</f>
        <v>0</v>
      </c>
    </row>
    <row r="951" spans="1:15" ht="60">
      <c r="A951" s="3" t="s">
        <v>10</v>
      </c>
      <c r="B951" s="3" t="s">
        <v>11</v>
      </c>
      <c r="C951" s="4">
        <v>2026</v>
      </c>
      <c r="D951" s="5" t="s">
        <v>12</v>
      </c>
      <c r="E951" s="4">
        <v>134</v>
      </c>
      <c r="F951" s="4" t="s">
        <v>280</v>
      </c>
      <c r="G951" s="4" t="s">
        <v>951</v>
      </c>
      <c r="H951" s="4" t="s">
        <v>21</v>
      </c>
      <c r="I951" s="4" t="s">
        <v>954</v>
      </c>
      <c r="J951" s="4" t="s">
        <v>1289</v>
      </c>
      <c r="K951" s="4" t="s">
        <v>954</v>
      </c>
      <c r="L951" s="4" t="s">
        <v>3743</v>
      </c>
      <c r="M951" s="4" t="s">
        <v>3750</v>
      </c>
      <c r="N951" s="4" t="s">
        <v>3761</v>
      </c>
      <c r="O951" s="17">
        <f>INDEX('список ID из СУЭ с должностями'!$A:$F,MATCH(E951,'список ID из СУЭ с должностями'!$B:$B,0),5)</f>
        <v>0</v>
      </c>
    </row>
    <row r="952" spans="1:15" ht="60">
      <c r="A952" s="3" t="s">
        <v>10</v>
      </c>
      <c r="B952" s="3" t="s">
        <v>11</v>
      </c>
      <c r="C952" s="4">
        <v>2026</v>
      </c>
      <c r="D952" s="5" t="s">
        <v>12</v>
      </c>
      <c r="E952" s="4">
        <v>134</v>
      </c>
      <c r="F952" s="4" t="s">
        <v>280</v>
      </c>
      <c r="G952" s="4" t="s">
        <v>951</v>
      </c>
      <c r="H952" s="4" t="s">
        <v>15</v>
      </c>
      <c r="I952" s="4" t="s">
        <v>1300</v>
      </c>
      <c r="J952" s="4" t="s">
        <v>1301</v>
      </c>
      <c r="K952" s="4" t="s">
        <v>23</v>
      </c>
      <c r="L952" s="4" t="s">
        <v>3742</v>
      </c>
      <c r="M952" s="4" t="s">
        <v>3748</v>
      </c>
      <c r="N952" s="4" t="s">
        <v>3752</v>
      </c>
      <c r="O952" s="17">
        <f>INDEX('список ID из СУЭ с должностями'!$A:$F,MATCH(E952,'список ID из СУЭ с должностями'!$B:$B,0),5)</f>
        <v>0</v>
      </c>
    </row>
    <row r="953" spans="1:15" ht="60">
      <c r="A953" s="3" t="s">
        <v>10</v>
      </c>
      <c r="B953" s="3" t="s">
        <v>11</v>
      </c>
      <c r="C953" s="4">
        <v>2026</v>
      </c>
      <c r="D953" s="5" t="s">
        <v>12</v>
      </c>
      <c r="E953" s="4">
        <v>134</v>
      </c>
      <c r="F953" s="4" t="s">
        <v>280</v>
      </c>
      <c r="G953" s="4" t="s">
        <v>951</v>
      </c>
      <c r="H953" s="4" t="s">
        <v>21</v>
      </c>
      <c r="I953" s="4" t="s">
        <v>1302</v>
      </c>
      <c r="J953" s="4" t="s">
        <v>1303</v>
      </c>
      <c r="K953" s="4" t="s">
        <v>55</v>
      </c>
      <c r="L953" s="4" t="s">
        <v>3742</v>
      </c>
      <c r="M953" s="4" t="s">
        <v>3746</v>
      </c>
      <c r="N953" s="4" t="s">
        <v>3747</v>
      </c>
      <c r="O953" s="17">
        <f>INDEX('список ID из СУЭ с должностями'!$A:$F,MATCH(E953,'список ID из СУЭ с должностями'!$B:$B,0),5)</f>
        <v>0</v>
      </c>
    </row>
    <row r="954" spans="1:15" ht="60">
      <c r="A954" s="3" t="s">
        <v>10</v>
      </c>
      <c r="B954" s="3" t="s">
        <v>11</v>
      </c>
      <c r="C954" s="4">
        <v>2026</v>
      </c>
      <c r="D954" s="5" t="s">
        <v>12</v>
      </c>
      <c r="E954" s="4">
        <v>134</v>
      </c>
      <c r="F954" s="4" t="s">
        <v>280</v>
      </c>
      <c r="G954" s="4" t="s">
        <v>951</v>
      </c>
      <c r="H954" s="4" t="s">
        <v>21</v>
      </c>
      <c r="I954" s="4" t="s">
        <v>1304</v>
      </c>
      <c r="J954" s="4" t="s">
        <v>1305</v>
      </c>
      <c r="K954" s="4" t="s">
        <v>25</v>
      </c>
      <c r="L954" s="4" t="s">
        <v>3742</v>
      </c>
      <c r="M954" s="4" t="s">
        <v>3746</v>
      </c>
      <c r="N954" s="4" t="s">
        <v>3747</v>
      </c>
      <c r="O954" s="17">
        <f>INDEX('список ID из СУЭ с должностями'!$A:$F,MATCH(E954,'список ID из СУЭ с должностями'!$B:$B,0),5)</f>
        <v>0</v>
      </c>
    </row>
    <row r="955" spans="1:15" ht="60">
      <c r="A955" s="3" t="s">
        <v>10</v>
      </c>
      <c r="B955" s="3" t="s">
        <v>11</v>
      </c>
      <c r="C955" s="4">
        <v>2026</v>
      </c>
      <c r="D955" s="5" t="s">
        <v>12</v>
      </c>
      <c r="E955" s="4">
        <v>134</v>
      </c>
      <c r="F955" s="4" t="s">
        <v>280</v>
      </c>
      <c r="G955" s="4" t="s">
        <v>951</v>
      </c>
      <c r="H955" s="4" t="s">
        <v>41</v>
      </c>
      <c r="I955" s="4" t="s">
        <v>1306</v>
      </c>
      <c r="J955" s="4" t="s">
        <v>1307</v>
      </c>
      <c r="K955" s="4" t="s">
        <v>30</v>
      </c>
      <c r="L955" s="4" t="s">
        <v>3743</v>
      </c>
      <c r="M955" s="4" t="s">
        <v>3746</v>
      </c>
      <c r="N955" s="4" t="s">
        <v>3747</v>
      </c>
      <c r="O955" s="17">
        <f>INDEX('список ID из СУЭ с должностями'!$A:$F,MATCH(E955,'список ID из СУЭ с должностями'!$B:$B,0),5)</f>
        <v>0</v>
      </c>
    </row>
    <row r="956" spans="1:15" ht="60">
      <c r="A956" s="3" t="s">
        <v>10</v>
      </c>
      <c r="B956" s="3" t="s">
        <v>11</v>
      </c>
      <c r="C956" s="4">
        <v>2026</v>
      </c>
      <c r="D956" s="5" t="s">
        <v>12</v>
      </c>
      <c r="E956" s="4">
        <v>134</v>
      </c>
      <c r="F956" s="4" t="s">
        <v>280</v>
      </c>
      <c r="G956" s="4" t="s">
        <v>951</v>
      </c>
      <c r="H956" s="4" t="s">
        <v>21</v>
      </c>
      <c r="I956" s="4" t="s">
        <v>958</v>
      </c>
      <c r="J956" s="4" t="s">
        <v>972</v>
      </c>
      <c r="K956" s="4" t="s">
        <v>25</v>
      </c>
      <c r="L956" s="4" t="s">
        <v>3743</v>
      </c>
      <c r="M956" s="4" t="s">
        <v>3746</v>
      </c>
      <c r="N956" s="4" t="s">
        <v>3747</v>
      </c>
      <c r="O956" s="17">
        <f>INDEX('список ID из СУЭ с должностями'!$A:$F,MATCH(E956,'список ID из СУЭ с должностями'!$B:$B,0),5)</f>
        <v>0</v>
      </c>
    </row>
    <row r="957" spans="1:15" ht="45">
      <c r="A957" s="3" t="s">
        <v>10</v>
      </c>
      <c r="B957" s="3" t="s">
        <v>11</v>
      </c>
      <c r="C957" s="4">
        <v>2026</v>
      </c>
      <c r="D957" s="5" t="s">
        <v>12</v>
      </c>
      <c r="E957" s="4">
        <v>135</v>
      </c>
      <c r="F957" s="4" t="s">
        <v>67</v>
      </c>
      <c r="G957" s="4" t="s">
        <v>511</v>
      </c>
      <c r="H957" s="4" t="s">
        <v>1308</v>
      </c>
      <c r="I957" s="4" t="s">
        <v>1309</v>
      </c>
      <c r="J957" s="4" t="s">
        <v>1310</v>
      </c>
      <c r="K957" s="4"/>
      <c r="L957" s="4" t="s">
        <v>3743</v>
      </c>
      <c r="M957" s="4"/>
      <c r="N957" s="4"/>
      <c r="O957" s="17">
        <f>INDEX('список ID из СУЭ с должностями'!$A:$F,MATCH(E957,'список ID из СУЭ с должностями'!$B:$B,0),5)</f>
        <v>0</v>
      </c>
    </row>
    <row r="958" spans="1:15" ht="135">
      <c r="A958" s="3" t="s">
        <v>10</v>
      </c>
      <c r="B958" s="3" t="s">
        <v>11</v>
      </c>
      <c r="C958" s="4">
        <v>2026</v>
      </c>
      <c r="D958" s="5" t="s">
        <v>12</v>
      </c>
      <c r="E958" s="4">
        <v>135</v>
      </c>
      <c r="F958" s="4" t="s">
        <v>67</v>
      </c>
      <c r="G958" s="4" t="s">
        <v>511</v>
      </c>
      <c r="H958" s="4" t="s">
        <v>15</v>
      </c>
      <c r="I958" s="4" t="s">
        <v>744</v>
      </c>
      <c r="J958" s="4" t="s">
        <v>1311</v>
      </c>
      <c r="K958" s="4" t="s">
        <v>25</v>
      </c>
      <c r="L958" s="4" t="s">
        <v>3743</v>
      </c>
      <c r="M958" s="4" t="s">
        <v>3746</v>
      </c>
      <c r="N958" s="4" t="s">
        <v>3747</v>
      </c>
      <c r="O958" s="17">
        <f>INDEX('список ID из СУЭ с должностями'!$A:$F,MATCH(E958,'список ID из СУЭ с должностями'!$B:$B,0),5)</f>
        <v>0</v>
      </c>
    </row>
    <row r="959" spans="1:15" ht="195">
      <c r="A959" s="3" t="s">
        <v>10</v>
      </c>
      <c r="B959" s="3" t="s">
        <v>11</v>
      </c>
      <c r="C959" s="4">
        <v>2026</v>
      </c>
      <c r="D959" s="5" t="s">
        <v>12</v>
      </c>
      <c r="E959" s="4">
        <v>135</v>
      </c>
      <c r="F959" s="4" t="s">
        <v>67</v>
      </c>
      <c r="G959" s="4" t="s">
        <v>511</v>
      </c>
      <c r="H959" s="4" t="s">
        <v>15</v>
      </c>
      <c r="I959" s="4" t="s">
        <v>1312</v>
      </c>
      <c r="J959" s="4" t="s">
        <v>1313</v>
      </c>
      <c r="K959" s="4" t="s">
        <v>35</v>
      </c>
      <c r="L959" s="4" t="s">
        <v>3743</v>
      </c>
      <c r="M959" s="4" t="s">
        <v>3746</v>
      </c>
      <c r="N959" s="4" t="s">
        <v>3747</v>
      </c>
      <c r="O959" s="17">
        <f>INDEX('список ID из СУЭ с должностями'!$A:$F,MATCH(E959,'список ID из СУЭ с должностями'!$B:$B,0),5)</f>
        <v>0</v>
      </c>
    </row>
    <row r="960" spans="1:15" ht="60">
      <c r="A960" s="3" t="s">
        <v>10</v>
      </c>
      <c r="B960" s="3" t="s">
        <v>11</v>
      </c>
      <c r="C960" s="4">
        <v>2026</v>
      </c>
      <c r="D960" s="5" t="s">
        <v>12</v>
      </c>
      <c r="E960" s="4">
        <v>135</v>
      </c>
      <c r="F960" s="4" t="s">
        <v>67</v>
      </c>
      <c r="G960" s="4" t="s">
        <v>511</v>
      </c>
      <c r="H960" s="4" t="s">
        <v>15</v>
      </c>
      <c r="I960" s="4" t="s">
        <v>1314</v>
      </c>
      <c r="J960" s="4" t="s">
        <v>1315</v>
      </c>
      <c r="K960" s="4" t="s">
        <v>524</v>
      </c>
      <c r="L960" s="4" t="s">
        <v>3743</v>
      </c>
      <c r="M960" s="4" t="s">
        <v>3746</v>
      </c>
      <c r="N960" s="4" t="s">
        <v>3757</v>
      </c>
      <c r="O960" s="17">
        <f>INDEX('список ID из СУЭ с должностями'!$A:$F,MATCH(E960,'список ID из СУЭ с должностями'!$B:$B,0),5)</f>
        <v>0</v>
      </c>
    </row>
    <row r="961" spans="1:15" ht="105">
      <c r="A961" s="3" t="s">
        <v>10</v>
      </c>
      <c r="B961" s="3" t="s">
        <v>11</v>
      </c>
      <c r="C961" s="4">
        <v>2026</v>
      </c>
      <c r="D961" s="5" t="s">
        <v>12</v>
      </c>
      <c r="E961" s="4">
        <v>135</v>
      </c>
      <c r="F961" s="4" t="s">
        <v>67</v>
      </c>
      <c r="G961" s="4" t="s">
        <v>511</v>
      </c>
      <c r="H961" s="4" t="s">
        <v>15</v>
      </c>
      <c r="I961" s="4" t="s">
        <v>1316</v>
      </c>
      <c r="J961" s="4" t="s">
        <v>1317</v>
      </c>
      <c r="K961" s="4" t="s">
        <v>1318</v>
      </c>
      <c r="L961" s="4" t="s">
        <v>3743</v>
      </c>
      <c r="M961" s="4" t="s">
        <v>3753</v>
      </c>
      <c r="N961" s="4" t="s">
        <v>3757</v>
      </c>
      <c r="O961" s="17">
        <f>INDEX('список ID из СУЭ с должностями'!$A:$F,MATCH(E961,'список ID из СУЭ с должностями'!$B:$B,0),5)</f>
        <v>0</v>
      </c>
    </row>
    <row r="962" spans="1:15" ht="75">
      <c r="A962" s="3" t="s">
        <v>10</v>
      </c>
      <c r="B962" s="3" t="s">
        <v>11</v>
      </c>
      <c r="C962" s="4">
        <v>2026</v>
      </c>
      <c r="D962" s="5" t="s">
        <v>12</v>
      </c>
      <c r="E962" s="4">
        <v>135</v>
      </c>
      <c r="F962" s="4" t="s">
        <v>67</v>
      </c>
      <c r="G962" s="4" t="s">
        <v>511</v>
      </c>
      <c r="H962" s="4" t="s">
        <v>15</v>
      </c>
      <c r="I962" s="4" t="s">
        <v>1319</v>
      </c>
      <c r="J962" s="4" t="s">
        <v>1320</v>
      </c>
      <c r="K962" s="4" t="s">
        <v>52</v>
      </c>
      <c r="L962" s="4" t="s">
        <v>3743</v>
      </c>
      <c r="M962" s="4" t="s">
        <v>3746</v>
      </c>
      <c r="N962" s="4" t="s">
        <v>3747</v>
      </c>
      <c r="O962" s="17">
        <f>INDEX('список ID из СУЭ с должностями'!$A:$F,MATCH(E962,'список ID из СУЭ с должностями'!$B:$B,0),5)</f>
        <v>0</v>
      </c>
    </row>
    <row r="963" spans="1:15" ht="120">
      <c r="A963" s="3" t="s">
        <v>10</v>
      </c>
      <c r="B963" s="3" t="s">
        <v>11</v>
      </c>
      <c r="C963" s="4">
        <v>2026</v>
      </c>
      <c r="D963" s="5" t="s">
        <v>12</v>
      </c>
      <c r="E963" s="4">
        <v>135</v>
      </c>
      <c r="F963" s="4" t="s">
        <v>67</v>
      </c>
      <c r="G963" s="4" t="s">
        <v>511</v>
      </c>
      <c r="H963" s="4" t="s">
        <v>21</v>
      </c>
      <c r="I963" s="4" t="s">
        <v>1321</v>
      </c>
      <c r="J963" s="4" t="s">
        <v>1322</v>
      </c>
      <c r="K963" s="4" t="s">
        <v>25</v>
      </c>
      <c r="L963" s="4" t="s">
        <v>3743</v>
      </c>
      <c r="M963" s="4" t="s">
        <v>3746</v>
      </c>
      <c r="N963" s="4" t="s">
        <v>3747</v>
      </c>
      <c r="O963" s="17">
        <f>INDEX('список ID из СУЭ с должностями'!$A:$F,MATCH(E963,'список ID из СУЭ с должностями'!$B:$B,0),5)</f>
        <v>0</v>
      </c>
    </row>
    <row r="964" spans="1:15" ht="255">
      <c r="A964" s="3" t="s">
        <v>10</v>
      </c>
      <c r="B964" s="3" t="s">
        <v>11</v>
      </c>
      <c r="C964" s="4">
        <v>2026</v>
      </c>
      <c r="D964" s="5" t="s">
        <v>12</v>
      </c>
      <c r="E964" s="4">
        <v>135</v>
      </c>
      <c r="F964" s="4" t="s">
        <v>67</v>
      </c>
      <c r="G964" s="4" t="s">
        <v>511</v>
      </c>
      <c r="H964" s="4" t="s">
        <v>15</v>
      </c>
      <c r="I964" s="4" t="s">
        <v>1323</v>
      </c>
      <c r="J964" s="4" t="s">
        <v>1324</v>
      </c>
      <c r="K964" s="4" t="s">
        <v>35</v>
      </c>
      <c r="L964" s="4" t="s">
        <v>3743</v>
      </c>
      <c r="M964" s="4" t="s">
        <v>3746</v>
      </c>
      <c r="N964" s="4" t="s">
        <v>3747</v>
      </c>
      <c r="O964" s="17">
        <f>INDEX('список ID из СУЭ с должностями'!$A:$F,MATCH(E964,'список ID из СУЭ с должностями'!$B:$B,0),5)</f>
        <v>0</v>
      </c>
    </row>
    <row r="965" spans="1:15" ht="60">
      <c r="A965" s="3" t="s">
        <v>10</v>
      </c>
      <c r="B965" s="3" t="s">
        <v>11</v>
      </c>
      <c r="C965" s="4">
        <v>2026</v>
      </c>
      <c r="D965" s="5" t="s">
        <v>12</v>
      </c>
      <c r="E965" s="4">
        <v>135</v>
      </c>
      <c r="F965" s="4" t="s">
        <v>67</v>
      </c>
      <c r="G965" s="4" t="s">
        <v>511</v>
      </c>
      <c r="H965" s="4" t="s">
        <v>15</v>
      </c>
      <c r="I965" s="4" t="s">
        <v>201</v>
      </c>
      <c r="J965" s="4" t="s">
        <v>1325</v>
      </c>
      <c r="K965" s="4" t="s">
        <v>188</v>
      </c>
      <c r="L965" s="4" t="s">
        <v>3743</v>
      </c>
      <c r="M965" s="4" t="s">
        <v>3746</v>
      </c>
      <c r="N965" s="4" t="s">
        <v>3747</v>
      </c>
      <c r="O965" s="17">
        <f>INDEX('список ID из СУЭ с должностями'!$A:$F,MATCH(E965,'список ID из СУЭ с должностями'!$B:$B,0),5)</f>
        <v>0</v>
      </c>
    </row>
    <row r="966" spans="1:15" ht="180">
      <c r="A966" s="3" t="s">
        <v>10</v>
      </c>
      <c r="B966" s="3" t="s">
        <v>11</v>
      </c>
      <c r="C966" s="4">
        <v>2026</v>
      </c>
      <c r="D966" s="5" t="s">
        <v>12</v>
      </c>
      <c r="E966" s="4">
        <v>135</v>
      </c>
      <c r="F966" s="4" t="s">
        <v>67</v>
      </c>
      <c r="G966" s="4" t="s">
        <v>511</v>
      </c>
      <c r="H966" s="4" t="s">
        <v>15</v>
      </c>
      <c r="I966" s="4" t="s">
        <v>1326</v>
      </c>
      <c r="J966" s="4" t="s">
        <v>1327</v>
      </c>
      <c r="K966" s="4" t="s">
        <v>23</v>
      </c>
      <c r="L966" s="4" t="s">
        <v>3743</v>
      </c>
      <c r="M966" s="4" t="s">
        <v>3748</v>
      </c>
      <c r="N966" s="4" t="s">
        <v>3749</v>
      </c>
      <c r="O966" s="17">
        <f>INDEX('список ID из СУЭ с должностями'!$A:$F,MATCH(E966,'список ID из СУЭ с должностями'!$B:$B,0),5)</f>
        <v>0</v>
      </c>
    </row>
    <row r="967" spans="1:15" ht="409.5">
      <c r="A967" s="3" t="s">
        <v>10</v>
      </c>
      <c r="B967" s="3" t="s">
        <v>11</v>
      </c>
      <c r="C967" s="4">
        <v>2026</v>
      </c>
      <c r="D967" s="5" t="s">
        <v>12</v>
      </c>
      <c r="E967" s="4">
        <v>136</v>
      </c>
      <c r="F967" s="4" t="s">
        <v>307</v>
      </c>
      <c r="G967" s="4" t="s">
        <v>1328</v>
      </c>
      <c r="H967" s="4" t="s">
        <v>41</v>
      </c>
      <c r="I967" s="4" t="s">
        <v>1329</v>
      </c>
      <c r="J967" s="4" t="s">
        <v>1330</v>
      </c>
      <c r="K967" s="4" t="s">
        <v>1333</v>
      </c>
      <c r="L967" s="4" t="s">
        <v>3743</v>
      </c>
      <c r="M967" s="4" t="s">
        <v>3746</v>
      </c>
      <c r="N967" s="4" t="s">
        <v>3754</v>
      </c>
      <c r="O967" s="17">
        <f>INDEX('список ID из СУЭ с должностями'!$A:$F,MATCH(E967,'список ID из СУЭ с должностями'!$B:$B,0),5)</f>
        <v>0</v>
      </c>
    </row>
    <row r="968" spans="1:15" ht="75">
      <c r="A968" s="3" t="s">
        <v>10</v>
      </c>
      <c r="B968" s="3" t="s">
        <v>11</v>
      </c>
      <c r="C968" s="4">
        <v>2026</v>
      </c>
      <c r="D968" s="5" t="s">
        <v>12</v>
      </c>
      <c r="E968" s="4">
        <v>137</v>
      </c>
      <c r="F968" s="4" t="s">
        <v>84</v>
      </c>
      <c r="G968" s="4" t="s">
        <v>117</v>
      </c>
      <c r="H968" s="4" t="s">
        <v>15</v>
      </c>
      <c r="I968" s="4" t="s">
        <v>1334</v>
      </c>
      <c r="J968" s="4" t="s">
        <v>1335</v>
      </c>
      <c r="K968" s="4" t="s">
        <v>151</v>
      </c>
      <c r="L968" s="4" t="s">
        <v>3742</v>
      </c>
      <c r="M968" s="4" t="s">
        <v>3746</v>
      </c>
      <c r="N968" s="4" t="s">
        <v>3747</v>
      </c>
      <c r="O968" s="17">
        <f>INDEX('список ID из СУЭ с должностями'!$A:$F,MATCH(E968,'список ID из СУЭ с должностями'!$B:$B,0),5)</f>
        <v>0</v>
      </c>
    </row>
    <row r="969" spans="1:15" ht="75">
      <c r="A969" s="3" t="s">
        <v>10</v>
      </c>
      <c r="B969" s="3" t="s">
        <v>11</v>
      </c>
      <c r="C969" s="4">
        <v>2026</v>
      </c>
      <c r="D969" s="5" t="s">
        <v>12</v>
      </c>
      <c r="E969" s="4">
        <v>137</v>
      </c>
      <c r="F969" s="4" t="s">
        <v>84</v>
      </c>
      <c r="G969" s="4" t="s">
        <v>117</v>
      </c>
      <c r="H969" s="4" t="s">
        <v>41</v>
      </c>
      <c r="I969" s="4" t="s">
        <v>1336</v>
      </c>
      <c r="J969" s="4" t="s">
        <v>132</v>
      </c>
      <c r="K969" s="4" t="s">
        <v>30</v>
      </c>
      <c r="L969" s="4" t="s">
        <v>3742</v>
      </c>
      <c r="M969" s="4" t="s">
        <v>3746</v>
      </c>
      <c r="N969" s="4" t="s">
        <v>3747</v>
      </c>
      <c r="O969" s="17">
        <f>INDEX('список ID из СУЭ с должностями'!$A:$F,MATCH(E969,'список ID из СУЭ с должностями'!$B:$B,0),5)</f>
        <v>0</v>
      </c>
    </row>
    <row r="970" spans="1:15" ht="75">
      <c r="A970" s="3" t="s">
        <v>10</v>
      </c>
      <c r="B970" s="3" t="s">
        <v>11</v>
      </c>
      <c r="C970" s="4">
        <v>2026</v>
      </c>
      <c r="D970" s="5" t="s">
        <v>12</v>
      </c>
      <c r="E970" s="4">
        <v>137</v>
      </c>
      <c r="F970" s="4" t="s">
        <v>84</v>
      </c>
      <c r="G970" s="4" t="s">
        <v>117</v>
      </c>
      <c r="H970" s="4" t="s">
        <v>41</v>
      </c>
      <c r="I970" s="4" t="s">
        <v>1337</v>
      </c>
      <c r="J970" s="4" t="s">
        <v>206</v>
      </c>
      <c r="K970" s="4" t="s">
        <v>38</v>
      </c>
      <c r="L970" s="4" t="s">
        <v>3742</v>
      </c>
      <c r="M970" s="4" t="s">
        <v>3746</v>
      </c>
      <c r="N970" s="4" t="s">
        <v>3747</v>
      </c>
      <c r="O970" s="17">
        <f>INDEX('список ID из СУЭ с должностями'!$A:$F,MATCH(E970,'список ID из СУЭ с должностями'!$B:$B,0),5)</f>
        <v>0</v>
      </c>
    </row>
    <row r="971" spans="1:15" ht="75">
      <c r="A971" s="3" t="s">
        <v>10</v>
      </c>
      <c r="B971" s="3" t="s">
        <v>11</v>
      </c>
      <c r="C971" s="4">
        <v>2026</v>
      </c>
      <c r="D971" s="5" t="s">
        <v>12</v>
      </c>
      <c r="E971" s="4">
        <v>137</v>
      </c>
      <c r="F971" s="4" t="s">
        <v>84</v>
      </c>
      <c r="G971" s="4" t="s">
        <v>117</v>
      </c>
      <c r="H971" s="4" t="s">
        <v>15</v>
      </c>
      <c r="I971" s="4" t="s">
        <v>1338</v>
      </c>
      <c r="J971" s="4" t="s">
        <v>1339</v>
      </c>
      <c r="K971" s="4" t="s">
        <v>35</v>
      </c>
      <c r="L971" s="4" t="s">
        <v>3742</v>
      </c>
      <c r="M971" s="4" t="s">
        <v>3746</v>
      </c>
      <c r="N971" s="4" t="s">
        <v>3747</v>
      </c>
      <c r="O971" s="17">
        <f>INDEX('список ID из СУЭ с должностями'!$A:$F,MATCH(E971,'список ID из СУЭ с должностями'!$B:$B,0),5)</f>
        <v>0</v>
      </c>
    </row>
    <row r="972" spans="1:15" ht="75">
      <c r="A972" s="3" t="s">
        <v>10</v>
      </c>
      <c r="B972" s="3" t="s">
        <v>11</v>
      </c>
      <c r="C972" s="4">
        <v>2026</v>
      </c>
      <c r="D972" s="5" t="s">
        <v>12</v>
      </c>
      <c r="E972" s="4">
        <v>137</v>
      </c>
      <c r="F972" s="4" t="s">
        <v>84</v>
      </c>
      <c r="G972" s="4" t="s">
        <v>117</v>
      </c>
      <c r="H972" s="4" t="s">
        <v>15</v>
      </c>
      <c r="I972" s="4" t="s">
        <v>1340</v>
      </c>
      <c r="J972" s="4" t="s">
        <v>1341</v>
      </c>
      <c r="K972" s="4" t="s">
        <v>30</v>
      </c>
      <c r="L972" s="4" t="s">
        <v>3742</v>
      </c>
      <c r="M972" s="4" t="s">
        <v>3746</v>
      </c>
      <c r="N972" s="4" t="s">
        <v>3747</v>
      </c>
      <c r="O972" s="17">
        <f>INDEX('список ID из СУЭ с должностями'!$A:$F,MATCH(E972,'список ID из СУЭ с должностями'!$B:$B,0),5)</f>
        <v>0</v>
      </c>
    </row>
    <row r="973" spans="1:15" ht="75">
      <c r="A973" s="3" t="s">
        <v>10</v>
      </c>
      <c r="B973" s="3" t="s">
        <v>11</v>
      </c>
      <c r="C973" s="4">
        <v>2026</v>
      </c>
      <c r="D973" s="5" t="s">
        <v>12</v>
      </c>
      <c r="E973" s="4">
        <v>137</v>
      </c>
      <c r="F973" s="4" t="s">
        <v>84</v>
      </c>
      <c r="G973" s="4" t="s">
        <v>117</v>
      </c>
      <c r="H973" s="4" t="s">
        <v>15</v>
      </c>
      <c r="I973" s="4" t="s">
        <v>1342</v>
      </c>
      <c r="J973" s="4" t="s">
        <v>1343</v>
      </c>
      <c r="K973" s="4" t="s">
        <v>52</v>
      </c>
      <c r="L973" s="4" t="s">
        <v>3742</v>
      </c>
      <c r="M973" s="4" t="s">
        <v>3746</v>
      </c>
      <c r="N973" s="4" t="s">
        <v>3747</v>
      </c>
      <c r="O973" s="17">
        <f>INDEX('список ID из СУЭ с должностями'!$A:$F,MATCH(E973,'список ID из СУЭ с должностями'!$B:$B,0),5)</f>
        <v>0</v>
      </c>
    </row>
    <row r="974" spans="1:15" ht="75">
      <c r="A974" s="3" t="s">
        <v>10</v>
      </c>
      <c r="B974" s="3" t="s">
        <v>11</v>
      </c>
      <c r="C974" s="4">
        <v>2026</v>
      </c>
      <c r="D974" s="5" t="s">
        <v>12</v>
      </c>
      <c r="E974" s="4">
        <v>137</v>
      </c>
      <c r="F974" s="4" t="s">
        <v>84</v>
      </c>
      <c r="G974" s="4" t="s">
        <v>117</v>
      </c>
      <c r="H974" s="4" t="s">
        <v>15</v>
      </c>
      <c r="I974" s="4" t="s">
        <v>1344</v>
      </c>
      <c r="J974" s="4" t="s">
        <v>1345</v>
      </c>
      <c r="K974" s="4" t="s">
        <v>1346</v>
      </c>
      <c r="L974" s="4" t="s">
        <v>3743</v>
      </c>
      <c r="M974" s="4" t="s">
        <v>3746</v>
      </c>
      <c r="N974" s="4" t="s">
        <v>3755</v>
      </c>
      <c r="O974" s="17">
        <f>INDEX('список ID из СУЭ с должностями'!$A:$F,MATCH(E974,'список ID из СУЭ с должностями'!$B:$B,0),5)</f>
        <v>0</v>
      </c>
    </row>
    <row r="975" spans="1:15" ht="75">
      <c r="A975" s="3" t="s">
        <v>10</v>
      </c>
      <c r="B975" s="3" t="s">
        <v>11</v>
      </c>
      <c r="C975" s="4">
        <v>2026</v>
      </c>
      <c r="D975" s="5" t="s">
        <v>12</v>
      </c>
      <c r="E975" s="4">
        <v>138</v>
      </c>
      <c r="F975" s="4" t="s">
        <v>67</v>
      </c>
      <c r="G975" s="4" t="s">
        <v>1347</v>
      </c>
      <c r="H975" s="4" t="s">
        <v>41</v>
      </c>
      <c r="I975" s="4" t="s">
        <v>1348</v>
      </c>
      <c r="J975" s="4" t="s">
        <v>1349</v>
      </c>
      <c r="K975" s="4" t="s">
        <v>38</v>
      </c>
      <c r="L975" s="4" t="s">
        <v>3743</v>
      </c>
      <c r="M975" s="4" t="s">
        <v>3746</v>
      </c>
      <c r="N975" s="4" t="s">
        <v>3747</v>
      </c>
      <c r="O975" s="17">
        <f>INDEX('список ID из СУЭ с должностями'!$A:$F,MATCH(E975,'список ID из СУЭ с должностями'!$B:$B,0),5)</f>
        <v>0</v>
      </c>
    </row>
    <row r="976" spans="1:15" ht="210">
      <c r="A976" s="3" t="s">
        <v>10</v>
      </c>
      <c r="B976" s="3" t="s">
        <v>11</v>
      </c>
      <c r="C976" s="4">
        <v>2026</v>
      </c>
      <c r="D976" s="5" t="s">
        <v>12</v>
      </c>
      <c r="E976" s="4">
        <v>138</v>
      </c>
      <c r="F976" s="4" t="s">
        <v>67</v>
      </c>
      <c r="G976" s="4" t="s">
        <v>1347</v>
      </c>
      <c r="H976" s="4" t="s">
        <v>15</v>
      </c>
      <c r="I976" s="4" t="s">
        <v>1350</v>
      </c>
      <c r="J976" s="4" t="s">
        <v>1351</v>
      </c>
      <c r="K976" s="4" t="s">
        <v>35</v>
      </c>
      <c r="L976" s="4" t="s">
        <v>3743</v>
      </c>
      <c r="M976" s="4" t="s">
        <v>3746</v>
      </c>
      <c r="N976" s="4" t="s">
        <v>3747</v>
      </c>
      <c r="O976" s="17">
        <f>INDEX('список ID из СУЭ с должностями'!$A:$F,MATCH(E976,'список ID из СУЭ с должностями'!$B:$B,0),5)</f>
        <v>0</v>
      </c>
    </row>
    <row r="977" spans="1:15" ht="120">
      <c r="A977" s="3" t="s">
        <v>10</v>
      </c>
      <c r="B977" s="3" t="s">
        <v>11</v>
      </c>
      <c r="C977" s="4">
        <v>2026</v>
      </c>
      <c r="D977" s="5" t="s">
        <v>12</v>
      </c>
      <c r="E977" s="4">
        <v>138</v>
      </c>
      <c r="F977" s="4" t="s">
        <v>67</v>
      </c>
      <c r="G977" s="4" t="s">
        <v>1347</v>
      </c>
      <c r="H977" s="4" t="s">
        <v>15</v>
      </c>
      <c r="I977" s="4" t="s">
        <v>1352</v>
      </c>
      <c r="J977" s="4" t="s">
        <v>1353</v>
      </c>
      <c r="K977" s="4" t="s">
        <v>20</v>
      </c>
      <c r="L977" s="4" t="s">
        <v>3743</v>
      </c>
      <c r="M977" s="4" t="s">
        <v>3746</v>
      </c>
      <c r="N977" s="4" t="s">
        <v>3747</v>
      </c>
      <c r="O977" s="17">
        <f>INDEX('список ID из СУЭ с должностями'!$A:$F,MATCH(E977,'список ID из СУЭ с должностями'!$B:$B,0),5)</f>
        <v>0</v>
      </c>
    </row>
    <row r="978" spans="1:15" ht="330">
      <c r="A978" s="3" t="s">
        <v>10</v>
      </c>
      <c r="B978" s="3" t="s">
        <v>11</v>
      </c>
      <c r="C978" s="4">
        <v>2026</v>
      </c>
      <c r="D978" s="5" t="s">
        <v>12</v>
      </c>
      <c r="E978" s="4">
        <v>138</v>
      </c>
      <c r="F978" s="4" t="s">
        <v>67</v>
      </c>
      <c r="G978" s="4" t="s">
        <v>1347</v>
      </c>
      <c r="H978" s="4" t="s">
        <v>15</v>
      </c>
      <c r="I978" s="4" t="s">
        <v>1354</v>
      </c>
      <c r="J978" s="4" t="s">
        <v>1355</v>
      </c>
      <c r="K978" s="4" t="s">
        <v>35</v>
      </c>
      <c r="L978" s="4" t="s">
        <v>3743</v>
      </c>
      <c r="M978" s="4" t="s">
        <v>3746</v>
      </c>
      <c r="N978" s="4" t="s">
        <v>3747</v>
      </c>
      <c r="O978" s="17">
        <f>INDEX('список ID из СУЭ с должностями'!$A:$F,MATCH(E978,'список ID из СУЭ с должностями'!$B:$B,0),5)</f>
        <v>0</v>
      </c>
    </row>
    <row r="979" spans="1:15" ht="75">
      <c r="A979" s="3" t="s">
        <v>10</v>
      </c>
      <c r="B979" s="3" t="s">
        <v>11</v>
      </c>
      <c r="C979" s="4">
        <v>2026</v>
      </c>
      <c r="D979" s="5" t="s">
        <v>12</v>
      </c>
      <c r="E979" s="4">
        <v>138</v>
      </c>
      <c r="F979" s="4" t="s">
        <v>67</v>
      </c>
      <c r="G979" s="4" t="s">
        <v>1347</v>
      </c>
      <c r="H979" s="4" t="s">
        <v>21</v>
      </c>
      <c r="I979" s="4" t="s">
        <v>1356</v>
      </c>
      <c r="J979" s="4" t="s">
        <v>1357</v>
      </c>
      <c r="K979" s="4" t="s">
        <v>20</v>
      </c>
      <c r="L979" s="4" t="s">
        <v>3743</v>
      </c>
      <c r="M979" s="4" t="s">
        <v>3746</v>
      </c>
      <c r="N979" s="4" t="s">
        <v>3747</v>
      </c>
      <c r="O979" s="17">
        <f>INDEX('список ID из СУЭ с должностями'!$A:$F,MATCH(E979,'список ID из СУЭ с должностями'!$B:$B,0),5)</f>
        <v>0</v>
      </c>
    </row>
    <row r="980" spans="1:15" ht="270">
      <c r="A980" s="3" t="s">
        <v>10</v>
      </c>
      <c r="B980" s="3" t="s">
        <v>11</v>
      </c>
      <c r="C980" s="4">
        <v>2026</v>
      </c>
      <c r="D980" s="5" t="s">
        <v>12</v>
      </c>
      <c r="E980" s="4">
        <v>138</v>
      </c>
      <c r="F980" s="4" t="s">
        <v>67</v>
      </c>
      <c r="G980" s="4" t="s">
        <v>1347</v>
      </c>
      <c r="H980" s="4" t="s">
        <v>21</v>
      </c>
      <c r="I980" s="4" t="s">
        <v>1358</v>
      </c>
      <c r="J980" s="4" t="s">
        <v>1359</v>
      </c>
      <c r="K980" s="4" t="s">
        <v>52</v>
      </c>
      <c r="L980" s="4" t="s">
        <v>3743</v>
      </c>
      <c r="M980" s="4" t="s">
        <v>3746</v>
      </c>
      <c r="N980" s="4" t="s">
        <v>3747</v>
      </c>
      <c r="O980" s="17">
        <f>INDEX('список ID из СУЭ с должностями'!$A:$F,MATCH(E980,'список ID из СУЭ с должностями'!$B:$B,0),5)</f>
        <v>0</v>
      </c>
    </row>
    <row r="981" spans="1:15" ht="90">
      <c r="A981" s="3" t="s">
        <v>10</v>
      </c>
      <c r="B981" s="3" t="s">
        <v>11</v>
      </c>
      <c r="C981" s="4">
        <v>2026</v>
      </c>
      <c r="D981" s="5" t="s">
        <v>12</v>
      </c>
      <c r="E981" s="4">
        <v>138</v>
      </c>
      <c r="F981" s="4" t="s">
        <v>67</v>
      </c>
      <c r="G981" s="4" t="s">
        <v>1347</v>
      </c>
      <c r="H981" s="4" t="s">
        <v>15</v>
      </c>
      <c r="I981" s="4" t="s">
        <v>1360</v>
      </c>
      <c r="J981" s="4" t="s">
        <v>1361</v>
      </c>
      <c r="K981" s="4" t="s">
        <v>30</v>
      </c>
      <c r="L981" s="4" t="s">
        <v>3743</v>
      </c>
      <c r="M981" s="4" t="s">
        <v>3746</v>
      </c>
      <c r="N981" s="4" t="s">
        <v>3747</v>
      </c>
      <c r="O981" s="17">
        <f>INDEX('список ID из СУЭ с должностями'!$A:$F,MATCH(E981,'список ID из СУЭ с должностями'!$B:$B,0),5)</f>
        <v>0</v>
      </c>
    </row>
    <row r="982" spans="1:15" ht="75">
      <c r="A982" s="3" t="s">
        <v>10</v>
      </c>
      <c r="B982" s="3" t="s">
        <v>11</v>
      </c>
      <c r="C982" s="4">
        <v>2026</v>
      </c>
      <c r="D982" s="5" t="s">
        <v>12</v>
      </c>
      <c r="E982" s="4">
        <v>139</v>
      </c>
      <c r="F982" s="4" t="s">
        <v>385</v>
      </c>
      <c r="G982" s="4" t="s">
        <v>1362</v>
      </c>
      <c r="H982" s="4" t="s">
        <v>15</v>
      </c>
      <c r="I982" s="4" t="s">
        <v>1363</v>
      </c>
      <c r="J982" s="4" t="s">
        <v>1364</v>
      </c>
      <c r="K982" s="4" t="s">
        <v>1365</v>
      </c>
      <c r="L982" s="4" t="s">
        <v>3743</v>
      </c>
      <c r="M982" s="4" t="s">
        <v>3750</v>
      </c>
      <c r="N982" s="4" t="s">
        <v>3765</v>
      </c>
      <c r="O982" s="17">
        <f>INDEX('список ID из СУЭ с должностями'!$A:$F,MATCH(E982,'список ID из СУЭ с должностями'!$B:$B,0),5)</f>
        <v>0</v>
      </c>
    </row>
    <row r="983" spans="1:15" ht="60">
      <c r="A983" s="3" t="s">
        <v>10</v>
      </c>
      <c r="B983" s="3" t="s">
        <v>11</v>
      </c>
      <c r="C983" s="4">
        <v>2026</v>
      </c>
      <c r="D983" s="5" t="s">
        <v>12</v>
      </c>
      <c r="E983" s="4">
        <v>139</v>
      </c>
      <c r="F983" s="4" t="s">
        <v>385</v>
      </c>
      <c r="G983" s="4" t="s">
        <v>1362</v>
      </c>
      <c r="H983" s="4" t="s">
        <v>21</v>
      </c>
      <c r="I983" s="4" t="s">
        <v>1366</v>
      </c>
      <c r="J983" s="4" t="s">
        <v>1367</v>
      </c>
      <c r="K983" s="4" t="s">
        <v>30</v>
      </c>
      <c r="L983" s="4" t="s">
        <v>3743</v>
      </c>
      <c r="M983" s="4" t="s">
        <v>3746</v>
      </c>
      <c r="N983" s="4" t="s">
        <v>3747</v>
      </c>
      <c r="O983" s="17">
        <f>INDEX('список ID из СУЭ с должностями'!$A:$F,MATCH(E983,'список ID из СУЭ с должностями'!$B:$B,0),5)</f>
        <v>0</v>
      </c>
    </row>
    <row r="984" spans="1:15" ht="345">
      <c r="A984" s="3" t="s">
        <v>10</v>
      </c>
      <c r="B984" s="3" t="s">
        <v>11</v>
      </c>
      <c r="C984" s="4">
        <v>2026</v>
      </c>
      <c r="D984" s="5" t="s">
        <v>12</v>
      </c>
      <c r="E984" s="4">
        <v>139</v>
      </c>
      <c r="F984" s="4" t="s">
        <v>385</v>
      </c>
      <c r="G984" s="4" t="s">
        <v>1362</v>
      </c>
      <c r="H984" s="4" t="s">
        <v>15</v>
      </c>
      <c r="I984" s="4" t="s">
        <v>1368</v>
      </c>
      <c r="J984" s="4" t="s">
        <v>1369</v>
      </c>
      <c r="K984" s="4" t="s">
        <v>35</v>
      </c>
      <c r="L984" s="4" t="s">
        <v>3743</v>
      </c>
      <c r="M984" s="4" t="s">
        <v>3746</v>
      </c>
      <c r="N984" s="4" t="s">
        <v>3747</v>
      </c>
      <c r="O984" s="17">
        <f>INDEX('список ID из СУЭ с должностями'!$A:$F,MATCH(E984,'список ID из СУЭ с должностями'!$B:$B,0),5)</f>
        <v>0</v>
      </c>
    </row>
    <row r="985" spans="1:15" ht="255">
      <c r="A985" s="3" t="s">
        <v>10</v>
      </c>
      <c r="B985" s="3" t="s">
        <v>11</v>
      </c>
      <c r="C985" s="4">
        <v>2026</v>
      </c>
      <c r="D985" s="5" t="s">
        <v>12</v>
      </c>
      <c r="E985" s="4">
        <v>139</v>
      </c>
      <c r="F985" s="4" t="s">
        <v>385</v>
      </c>
      <c r="G985" s="4" t="s">
        <v>1362</v>
      </c>
      <c r="H985" s="4" t="s">
        <v>15</v>
      </c>
      <c r="I985" s="4" t="s">
        <v>1370</v>
      </c>
      <c r="J985" s="4" t="s">
        <v>1371</v>
      </c>
      <c r="K985" s="4" t="s">
        <v>30</v>
      </c>
      <c r="L985" s="4" t="s">
        <v>3743</v>
      </c>
      <c r="M985" s="4" t="s">
        <v>3746</v>
      </c>
      <c r="N985" s="4" t="s">
        <v>3747</v>
      </c>
      <c r="O985" s="17">
        <f>INDEX('список ID из СУЭ с должностями'!$A:$F,MATCH(E985,'список ID из СУЭ с должностями'!$B:$B,0),5)</f>
        <v>0</v>
      </c>
    </row>
    <row r="986" spans="1:15" ht="150">
      <c r="A986" s="3" t="s">
        <v>10</v>
      </c>
      <c r="B986" s="3" t="s">
        <v>11</v>
      </c>
      <c r="C986" s="4">
        <v>2026</v>
      </c>
      <c r="D986" s="5" t="s">
        <v>12</v>
      </c>
      <c r="E986" s="4">
        <v>139</v>
      </c>
      <c r="F986" s="4" t="s">
        <v>385</v>
      </c>
      <c r="G986" s="4" t="s">
        <v>1362</v>
      </c>
      <c r="H986" s="4" t="s">
        <v>15</v>
      </c>
      <c r="I986" s="4" t="s">
        <v>1372</v>
      </c>
      <c r="J986" s="4" t="s">
        <v>1373</v>
      </c>
      <c r="K986" s="4" t="s">
        <v>1374</v>
      </c>
      <c r="L986" s="4" t="s">
        <v>3743</v>
      </c>
      <c r="M986" s="4" t="s">
        <v>3750</v>
      </c>
      <c r="N986" s="4" t="s">
        <v>3765</v>
      </c>
      <c r="O986" s="17">
        <f>INDEX('список ID из СУЭ с должностями'!$A:$F,MATCH(E986,'список ID из СУЭ с должностями'!$B:$B,0),5)</f>
        <v>0</v>
      </c>
    </row>
    <row r="987" spans="1:15" ht="60">
      <c r="A987" s="3" t="s">
        <v>10</v>
      </c>
      <c r="B987" s="3" t="s">
        <v>11</v>
      </c>
      <c r="C987" s="4">
        <v>2026</v>
      </c>
      <c r="D987" s="5" t="s">
        <v>12</v>
      </c>
      <c r="E987" s="4">
        <v>139</v>
      </c>
      <c r="F987" s="4" t="s">
        <v>385</v>
      </c>
      <c r="G987" s="4" t="s">
        <v>1362</v>
      </c>
      <c r="H987" s="4" t="s">
        <v>15</v>
      </c>
      <c r="I987" s="4" t="s">
        <v>1375</v>
      </c>
      <c r="J987" s="4" t="s">
        <v>1376</v>
      </c>
      <c r="K987" s="4" t="s">
        <v>30</v>
      </c>
      <c r="L987" s="4" t="s">
        <v>3743</v>
      </c>
      <c r="M987" s="4" t="s">
        <v>3746</v>
      </c>
      <c r="N987" s="4" t="s">
        <v>3747</v>
      </c>
      <c r="O987" s="17">
        <f>INDEX('список ID из СУЭ с должностями'!$A:$F,MATCH(E987,'список ID из СУЭ с должностями'!$B:$B,0),5)</f>
        <v>0</v>
      </c>
    </row>
    <row r="988" spans="1:15" ht="105">
      <c r="A988" s="3" t="s">
        <v>10</v>
      </c>
      <c r="B988" s="3" t="s">
        <v>11</v>
      </c>
      <c r="C988" s="4">
        <v>2026</v>
      </c>
      <c r="D988" s="5" t="s">
        <v>12</v>
      </c>
      <c r="E988" s="4">
        <v>140</v>
      </c>
      <c r="F988" s="4" t="s">
        <v>1377</v>
      </c>
      <c r="G988" s="4" t="s">
        <v>143</v>
      </c>
      <c r="H988" s="4" t="s">
        <v>15</v>
      </c>
      <c r="I988" s="4" t="s">
        <v>144</v>
      </c>
      <c r="J988" s="4" t="s">
        <v>1378</v>
      </c>
      <c r="K988" s="4" t="s">
        <v>52</v>
      </c>
      <c r="L988" s="4" t="s">
        <v>3743</v>
      </c>
      <c r="M988" s="4" t="s">
        <v>3746</v>
      </c>
      <c r="N988" s="4" t="s">
        <v>3747</v>
      </c>
      <c r="O988" s="17">
        <f>INDEX('список ID из СУЭ с должностями'!$A:$F,MATCH(E988,'список ID из СУЭ с должностями'!$B:$B,0),5)</f>
        <v>0</v>
      </c>
    </row>
    <row r="989" spans="1:15" ht="105">
      <c r="A989" s="3" t="s">
        <v>10</v>
      </c>
      <c r="B989" s="3" t="s">
        <v>11</v>
      </c>
      <c r="C989" s="4">
        <v>2026</v>
      </c>
      <c r="D989" s="5" t="s">
        <v>12</v>
      </c>
      <c r="E989" s="4">
        <v>140</v>
      </c>
      <c r="F989" s="4" t="s">
        <v>1377</v>
      </c>
      <c r="G989" s="4" t="s">
        <v>143</v>
      </c>
      <c r="H989" s="4" t="s">
        <v>15</v>
      </c>
      <c r="I989" s="4" t="s">
        <v>147</v>
      </c>
      <c r="J989" s="4" t="s">
        <v>1379</v>
      </c>
      <c r="K989" s="4" t="s">
        <v>35</v>
      </c>
      <c r="L989" s="4" t="s">
        <v>3743</v>
      </c>
      <c r="M989" s="4" t="s">
        <v>3746</v>
      </c>
      <c r="N989" s="4" t="s">
        <v>3747</v>
      </c>
      <c r="O989" s="17">
        <f>INDEX('список ID из СУЭ с должностями'!$A:$F,MATCH(E989,'список ID из СУЭ с должностями'!$B:$B,0),5)</f>
        <v>0</v>
      </c>
    </row>
    <row r="990" spans="1:15" ht="135">
      <c r="A990" s="3" t="s">
        <v>10</v>
      </c>
      <c r="B990" s="3" t="s">
        <v>11</v>
      </c>
      <c r="C990" s="4">
        <v>2026</v>
      </c>
      <c r="D990" s="5" t="s">
        <v>12</v>
      </c>
      <c r="E990" s="4">
        <v>140</v>
      </c>
      <c r="F990" s="4" t="s">
        <v>1377</v>
      </c>
      <c r="G990" s="4" t="s">
        <v>143</v>
      </c>
      <c r="H990" s="4" t="s">
        <v>15</v>
      </c>
      <c r="I990" s="4" t="s">
        <v>149</v>
      </c>
      <c r="J990" s="4" t="s">
        <v>1380</v>
      </c>
      <c r="K990" s="4" t="s">
        <v>151</v>
      </c>
      <c r="L990" s="4" t="s">
        <v>3743</v>
      </c>
      <c r="M990" s="4" t="s">
        <v>3746</v>
      </c>
      <c r="N990" s="4" t="s">
        <v>3747</v>
      </c>
      <c r="O990" s="17">
        <f>INDEX('список ID из СУЭ с должностями'!$A:$F,MATCH(E990,'список ID из СУЭ с должностями'!$B:$B,0),5)</f>
        <v>0</v>
      </c>
    </row>
    <row r="991" spans="1:15" ht="150">
      <c r="A991" s="3" t="s">
        <v>10</v>
      </c>
      <c r="B991" s="3" t="s">
        <v>11</v>
      </c>
      <c r="C991" s="4">
        <v>2026</v>
      </c>
      <c r="D991" s="5" t="s">
        <v>12</v>
      </c>
      <c r="E991" s="4">
        <v>141</v>
      </c>
      <c r="F991" s="4" t="s">
        <v>67</v>
      </c>
      <c r="G991" s="4" t="s">
        <v>1381</v>
      </c>
      <c r="H991" s="4" t="s">
        <v>15</v>
      </c>
      <c r="I991" s="4" t="s">
        <v>1382</v>
      </c>
      <c r="J991" s="4" t="s">
        <v>1383</v>
      </c>
      <c r="K991" s="4" t="s">
        <v>1386</v>
      </c>
      <c r="L991" s="4" t="s">
        <v>3743</v>
      </c>
      <c r="M991" s="4" t="s">
        <v>3746</v>
      </c>
      <c r="N991" s="4" t="s">
        <v>3766</v>
      </c>
      <c r="O991" s="17">
        <f>INDEX('список ID из СУЭ с должностями'!$A:$F,MATCH(E991,'список ID из СУЭ с должностями'!$B:$B,0),5)</f>
        <v>0</v>
      </c>
    </row>
    <row r="992" spans="1:15" ht="75">
      <c r="A992" s="3" t="s">
        <v>10</v>
      </c>
      <c r="B992" s="3" t="s">
        <v>11</v>
      </c>
      <c r="C992" s="4">
        <v>2026</v>
      </c>
      <c r="D992" s="5" t="s">
        <v>12</v>
      </c>
      <c r="E992" s="4">
        <v>141</v>
      </c>
      <c r="F992" s="4" t="s">
        <v>67</v>
      </c>
      <c r="G992" s="4" t="s">
        <v>1381</v>
      </c>
      <c r="H992" s="4" t="s">
        <v>15</v>
      </c>
      <c r="I992" s="4" t="s">
        <v>1387</v>
      </c>
      <c r="J992" s="4" t="s">
        <v>1388</v>
      </c>
      <c r="K992" s="4" t="s">
        <v>1389</v>
      </c>
      <c r="L992" s="4" t="s">
        <v>3743</v>
      </c>
      <c r="M992" s="4" t="s">
        <v>3746</v>
      </c>
      <c r="N992" s="4" t="s">
        <v>3766</v>
      </c>
      <c r="O992" s="17">
        <f>INDEX('список ID из СУЭ с должностями'!$A:$F,MATCH(E992,'список ID из СУЭ с должностями'!$B:$B,0),5)</f>
        <v>0</v>
      </c>
    </row>
    <row r="993" spans="1:15" ht="285">
      <c r="A993" s="3" t="s">
        <v>10</v>
      </c>
      <c r="B993" s="3" t="s">
        <v>11</v>
      </c>
      <c r="C993" s="4">
        <v>2026</v>
      </c>
      <c r="D993" s="5" t="s">
        <v>12</v>
      </c>
      <c r="E993" s="4">
        <v>141</v>
      </c>
      <c r="F993" s="4" t="s">
        <v>67</v>
      </c>
      <c r="G993" s="4" t="s">
        <v>1381</v>
      </c>
      <c r="H993" s="4" t="s">
        <v>15</v>
      </c>
      <c r="I993" s="4" t="s">
        <v>1390</v>
      </c>
      <c r="J993" s="4" t="s">
        <v>1391</v>
      </c>
      <c r="K993" s="4" t="s">
        <v>1386</v>
      </c>
      <c r="L993" s="4" t="s">
        <v>3743</v>
      </c>
      <c r="M993" s="4" t="s">
        <v>3746</v>
      </c>
      <c r="N993" s="4" t="s">
        <v>3766</v>
      </c>
      <c r="O993" s="17">
        <f>INDEX('список ID из СУЭ с должностями'!$A:$F,MATCH(E993,'список ID из СУЭ с должностями'!$B:$B,0),5)</f>
        <v>0</v>
      </c>
    </row>
    <row r="994" spans="1:15" ht="165">
      <c r="A994" s="3" t="s">
        <v>10</v>
      </c>
      <c r="B994" s="3" t="s">
        <v>11</v>
      </c>
      <c r="C994" s="4">
        <v>2026</v>
      </c>
      <c r="D994" s="5" t="s">
        <v>12</v>
      </c>
      <c r="E994" s="4">
        <v>141</v>
      </c>
      <c r="F994" s="4" t="s">
        <v>67</v>
      </c>
      <c r="G994" s="4" t="s">
        <v>1381</v>
      </c>
      <c r="H994" s="4" t="s">
        <v>15</v>
      </c>
      <c r="I994" s="4" t="s">
        <v>1392</v>
      </c>
      <c r="J994" s="4" t="s">
        <v>1393</v>
      </c>
      <c r="K994" s="4" t="s">
        <v>1386</v>
      </c>
      <c r="L994" s="4" t="s">
        <v>3743</v>
      </c>
      <c r="M994" s="4" t="s">
        <v>3746</v>
      </c>
      <c r="N994" s="4" t="s">
        <v>3766</v>
      </c>
      <c r="O994" s="17">
        <f>INDEX('список ID из СУЭ с должностями'!$A:$F,MATCH(E994,'список ID из СУЭ с должностями'!$B:$B,0),5)</f>
        <v>0</v>
      </c>
    </row>
    <row r="995" spans="1:15" ht="180">
      <c r="A995" s="3" t="s">
        <v>10</v>
      </c>
      <c r="B995" s="3" t="s">
        <v>11</v>
      </c>
      <c r="C995" s="4">
        <v>2026</v>
      </c>
      <c r="D995" s="5" t="s">
        <v>12</v>
      </c>
      <c r="E995" s="4">
        <v>141</v>
      </c>
      <c r="F995" s="4" t="s">
        <v>67</v>
      </c>
      <c r="G995" s="4" t="s">
        <v>1381</v>
      </c>
      <c r="H995" s="4" t="s">
        <v>15</v>
      </c>
      <c r="I995" s="4" t="s">
        <v>1394</v>
      </c>
      <c r="J995" s="4" t="s">
        <v>1395</v>
      </c>
      <c r="K995" s="4" t="s">
        <v>1386</v>
      </c>
      <c r="L995" s="4" t="s">
        <v>3743</v>
      </c>
      <c r="M995" s="4" t="s">
        <v>3746</v>
      </c>
      <c r="N995" s="4" t="s">
        <v>3766</v>
      </c>
      <c r="O995" s="17">
        <f>INDEX('список ID из СУЭ с должностями'!$A:$F,MATCH(E995,'список ID из СУЭ с должностями'!$B:$B,0),5)</f>
        <v>0</v>
      </c>
    </row>
    <row r="996" spans="1:15" ht="180">
      <c r="A996" s="3" t="s">
        <v>10</v>
      </c>
      <c r="B996" s="3" t="s">
        <v>11</v>
      </c>
      <c r="C996" s="4">
        <v>2026</v>
      </c>
      <c r="D996" s="5" t="s">
        <v>12</v>
      </c>
      <c r="E996" s="4">
        <v>141</v>
      </c>
      <c r="F996" s="4" t="s">
        <v>67</v>
      </c>
      <c r="G996" s="4" t="s">
        <v>1381</v>
      </c>
      <c r="H996" s="4" t="s">
        <v>21</v>
      </c>
      <c r="I996" s="4" t="s">
        <v>999</v>
      </c>
      <c r="J996" s="4" t="s">
        <v>1396</v>
      </c>
      <c r="K996" s="4" t="s">
        <v>23</v>
      </c>
      <c r="L996" s="4" t="s">
        <v>3743</v>
      </c>
      <c r="M996" s="4" t="s">
        <v>3748</v>
      </c>
      <c r="N996" s="4" t="s">
        <v>3752</v>
      </c>
      <c r="O996" s="17">
        <f>INDEX('список ID из СУЭ с должностями'!$A:$F,MATCH(E996,'список ID из СУЭ с должностями'!$B:$B,0),5)</f>
        <v>0</v>
      </c>
    </row>
    <row r="997" spans="1:15" ht="150">
      <c r="A997" s="3" t="s">
        <v>10</v>
      </c>
      <c r="B997" s="3" t="s">
        <v>11</v>
      </c>
      <c r="C997" s="4">
        <v>2026</v>
      </c>
      <c r="D997" s="5" t="s">
        <v>12</v>
      </c>
      <c r="E997" s="4">
        <v>142</v>
      </c>
      <c r="F997" s="4" t="s">
        <v>239</v>
      </c>
      <c r="G997" s="4" t="s">
        <v>1397</v>
      </c>
      <c r="H997" s="4" t="s">
        <v>41</v>
      </c>
      <c r="I997" s="4" t="s">
        <v>42</v>
      </c>
      <c r="J997" s="4" t="s">
        <v>43</v>
      </c>
      <c r="K997" s="4" t="s">
        <v>25</v>
      </c>
      <c r="L997" s="4" t="s">
        <v>3743</v>
      </c>
      <c r="M997" s="4" t="s">
        <v>3746</v>
      </c>
      <c r="N997" s="4" t="s">
        <v>3747</v>
      </c>
      <c r="O997" s="17" t="str">
        <f>INDEX('список ID из СУЭ с должностями'!$A:$F,MATCH(E997,'список ID из СУЭ с должностями'!$B:$B,0),5)</f>
        <v>ИПП</v>
      </c>
    </row>
    <row r="998" spans="1:15" ht="90">
      <c r="A998" s="3" t="s">
        <v>10</v>
      </c>
      <c r="B998" s="3" t="s">
        <v>11</v>
      </c>
      <c r="C998" s="4">
        <v>2026</v>
      </c>
      <c r="D998" s="5" t="s">
        <v>12</v>
      </c>
      <c r="E998" s="4">
        <v>142</v>
      </c>
      <c r="F998" s="4" t="s">
        <v>239</v>
      </c>
      <c r="G998" s="4" t="s">
        <v>1397</v>
      </c>
      <c r="H998" s="4" t="s">
        <v>15</v>
      </c>
      <c r="I998" s="4" t="s">
        <v>1398</v>
      </c>
      <c r="J998" s="4" t="s">
        <v>1399</v>
      </c>
      <c r="K998" s="4" t="s">
        <v>188</v>
      </c>
      <c r="L998" s="4" t="s">
        <v>3743</v>
      </c>
      <c r="M998" s="4" t="s">
        <v>3746</v>
      </c>
      <c r="N998" s="4" t="s">
        <v>3747</v>
      </c>
      <c r="O998" s="17" t="str">
        <f>INDEX('список ID из СУЭ с должностями'!$A:$F,MATCH(E998,'список ID из СУЭ с должностями'!$B:$B,0),5)</f>
        <v>ИПП</v>
      </c>
    </row>
    <row r="999" spans="1:15" ht="90">
      <c r="A999" s="3" t="s">
        <v>10</v>
      </c>
      <c r="B999" s="3" t="s">
        <v>11</v>
      </c>
      <c r="C999" s="4">
        <v>2026</v>
      </c>
      <c r="D999" s="5" t="s">
        <v>12</v>
      </c>
      <c r="E999" s="4">
        <v>142</v>
      </c>
      <c r="F999" s="4" t="s">
        <v>239</v>
      </c>
      <c r="G999" s="4" t="s">
        <v>1397</v>
      </c>
      <c r="H999" s="4" t="s">
        <v>15</v>
      </c>
      <c r="I999" s="4" t="s">
        <v>1400</v>
      </c>
      <c r="J999" s="4" t="s">
        <v>1401</v>
      </c>
      <c r="K999" s="4" t="s">
        <v>66</v>
      </c>
      <c r="L999" s="4" t="s">
        <v>3742</v>
      </c>
      <c r="M999" s="4" t="s">
        <v>3746</v>
      </c>
      <c r="N999" s="4" t="s">
        <v>3747</v>
      </c>
      <c r="O999" s="17" t="str">
        <f>INDEX('список ID из СУЭ с должностями'!$A:$F,MATCH(E999,'список ID из СУЭ с должностями'!$B:$B,0),5)</f>
        <v>ИПП</v>
      </c>
    </row>
    <row r="1000" spans="1:15" ht="90">
      <c r="A1000" s="3" t="s">
        <v>10</v>
      </c>
      <c r="B1000" s="3" t="s">
        <v>11</v>
      </c>
      <c r="C1000" s="4">
        <v>2026</v>
      </c>
      <c r="D1000" s="5" t="s">
        <v>12</v>
      </c>
      <c r="E1000" s="4">
        <v>142</v>
      </c>
      <c r="F1000" s="4" t="s">
        <v>239</v>
      </c>
      <c r="G1000" s="4" t="s">
        <v>1397</v>
      </c>
      <c r="H1000" s="4" t="s">
        <v>15</v>
      </c>
      <c r="I1000" s="4" t="s">
        <v>1402</v>
      </c>
      <c r="J1000" s="4" t="s">
        <v>1403</v>
      </c>
      <c r="K1000" s="4" t="s">
        <v>35</v>
      </c>
      <c r="L1000" s="4" t="s">
        <v>3743</v>
      </c>
      <c r="M1000" s="4" t="s">
        <v>3746</v>
      </c>
      <c r="N1000" s="4" t="s">
        <v>3747</v>
      </c>
      <c r="O1000" s="17" t="str">
        <f>INDEX('список ID из СУЭ с должностями'!$A:$F,MATCH(E1000,'список ID из СУЭ с должностями'!$B:$B,0),5)</f>
        <v>ИПП</v>
      </c>
    </row>
    <row r="1001" spans="1:15" ht="90">
      <c r="A1001" s="3" t="s">
        <v>10</v>
      </c>
      <c r="B1001" s="3" t="s">
        <v>11</v>
      </c>
      <c r="C1001" s="4">
        <v>2026</v>
      </c>
      <c r="D1001" s="5" t="s">
        <v>12</v>
      </c>
      <c r="E1001" s="4">
        <v>142</v>
      </c>
      <c r="F1001" s="4" t="s">
        <v>239</v>
      </c>
      <c r="G1001" s="4" t="s">
        <v>1397</v>
      </c>
      <c r="H1001" s="4" t="s">
        <v>21</v>
      </c>
      <c r="I1001" s="4" t="s">
        <v>1404</v>
      </c>
      <c r="J1001" s="4" t="s">
        <v>1405</v>
      </c>
      <c r="K1001" s="4" t="s">
        <v>38</v>
      </c>
      <c r="L1001" s="4" t="s">
        <v>3743</v>
      </c>
      <c r="M1001" s="4" t="s">
        <v>3746</v>
      </c>
      <c r="N1001" s="4" t="s">
        <v>3747</v>
      </c>
      <c r="O1001" s="17" t="str">
        <f>INDEX('список ID из СУЭ с должностями'!$A:$F,MATCH(E1001,'список ID из СУЭ с должностями'!$B:$B,0),5)</f>
        <v>ИПП</v>
      </c>
    </row>
    <row r="1002" spans="1:15" ht="90">
      <c r="A1002" s="3" t="s">
        <v>10</v>
      </c>
      <c r="B1002" s="3" t="s">
        <v>11</v>
      </c>
      <c r="C1002" s="4">
        <v>2026</v>
      </c>
      <c r="D1002" s="5" t="s">
        <v>12</v>
      </c>
      <c r="E1002" s="4">
        <v>142</v>
      </c>
      <c r="F1002" s="4" t="s">
        <v>239</v>
      </c>
      <c r="G1002" s="4" t="s">
        <v>1397</v>
      </c>
      <c r="H1002" s="4" t="s">
        <v>15</v>
      </c>
      <c r="I1002" s="4" t="s">
        <v>1406</v>
      </c>
      <c r="J1002" s="4" t="s">
        <v>196</v>
      </c>
      <c r="K1002" s="4" t="s">
        <v>188</v>
      </c>
      <c r="L1002" s="4" t="s">
        <v>3742</v>
      </c>
      <c r="M1002" s="4" t="s">
        <v>3746</v>
      </c>
      <c r="N1002" s="4" t="s">
        <v>3747</v>
      </c>
      <c r="O1002" s="17" t="str">
        <f>INDEX('список ID из СУЭ с должностями'!$A:$F,MATCH(E1002,'список ID из СУЭ с должностями'!$B:$B,0),5)</f>
        <v>ИПП</v>
      </c>
    </row>
    <row r="1003" spans="1:15" ht="90">
      <c r="A1003" s="3" t="s">
        <v>10</v>
      </c>
      <c r="B1003" s="3" t="s">
        <v>11</v>
      </c>
      <c r="C1003" s="4">
        <v>2026</v>
      </c>
      <c r="D1003" s="5" t="s">
        <v>12</v>
      </c>
      <c r="E1003" s="4">
        <v>142</v>
      </c>
      <c r="F1003" s="4" t="s">
        <v>239</v>
      </c>
      <c r="G1003" s="4" t="s">
        <v>1397</v>
      </c>
      <c r="H1003" s="4" t="s">
        <v>15</v>
      </c>
      <c r="I1003" s="4" t="s">
        <v>1407</v>
      </c>
      <c r="J1003" s="4" t="s">
        <v>182</v>
      </c>
      <c r="K1003" s="4" t="s">
        <v>38</v>
      </c>
      <c r="L1003" s="4" t="s">
        <v>3742</v>
      </c>
      <c r="M1003" s="4" t="s">
        <v>3746</v>
      </c>
      <c r="N1003" s="4" t="s">
        <v>3747</v>
      </c>
      <c r="O1003" s="17" t="str">
        <f>INDEX('список ID из СУЭ с должностями'!$A:$F,MATCH(E1003,'список ID из СУЭ с должностями'!$B:$B,0),5)</f>
        <v>ИПП</v>
      </c>
    </row>
    <row r="1004" spans="1:15" ht="90">
      <c r="A1004" s="3" t="s">
        <v>10</v>
      </c>
      <c r="B1004" s="3" t="s">
        <v>11</v>
      </c>
      <c r="C1004" s="4">
        <v>2026</v>
      </c>
      <c r="D1004" s="5" t="s">
        <v>12</v>
      </c>
      <c r="E1004" s="4">
        <v>142</v>
      </c>
      <c r="F1004" s="4" t="s">
        <v>239</v>
      </c>
      <c r="G1004" s="4" t="s">
        <v>1397</v>
      </c>
      <c r="H1004" s="4" t="s">
        <v>15</v>
      </c>
      <c r="I1004" s="4" t="s">
        <v>1408</v>
      </c>
      <c r="J1004" s="4" t="s">
        <v>182</v>
      </c>
      <c r="K1004" s="4" t="s">
        <v>55</v>
      </c>
      <c r="L1004" s="4" t="s">
        <v>3742</v>
      </c>
      <c r="M1004" s="4" t="s">
        <v>3746</v>
      </c>
      <c r="N1004" s="4" t="s">
        <v>3747</v>
      </c>
      <c r="O1004" s="17" t="str">
        <f>INDEX('список ID из СУЭ с должностями'!$A:$F,MATCH(E1004,'список ID из СУЭ с должностями'!$B:$B,0),5)</f>
        <v>ИПП</v>
      </c>
    </row>
    <row r="1005" spans="1:15" ht="150">
      <c r="A1005" s="3" t="s">
        <v>10</v>
      </c>
      <c r="B1005" s="3" t="s">
        <v>11</v>
      </c>
      <c r="C1005" s="4">
        <v>2026</v>
      </c>
      <c r="D1005" s="5" t="s">
        <v>12</v>
      </c>
      <c r="E1005" s="4">
        <v>142</v>
      </c>
      <c r="F1005" s="4" t="s">
        <v>239</v>
      </c>
      <c r="G1005" s="4" t="s">
        <v>1397</v>
      </c>
      <c r="H1005" s="4" t="s">
        <v>21</v>
      </c>
      <c r="I1005" s="4" t="s">
        <v>829</v>
      </c>
      <c r="J1005" s="4" t="s">
        <v>1409</v>
      </c>
      <c r="K1005" s="4" t="s">
        <v>20</v>
      </c>
      <c r="L1005" s="4" t="s">
        <v>3743</v>
      </c>
      <c r="M1005" s="4" t="s">
        <v>3746</v>
      </c>
      <c r="N1005" s="4" t="s">
        <v>3747</v>
      </c>
      <c r="O1005" s="17" t="str">
        <f>INDEX('список ID из СУЭ с должностями'!$A:$F,MATCH(E1005,'список ID из СУЭ с должностями'!$B:$B,0),5)</f>
        <v>ИПП</v>
      </c>
    </row>
    <row r="1006" spans="1:15" ht="225">
      <c r="A1006" s="3" t="s">
        <v>10</v>
      </c>
      <c r="B1006" s="3" t="s">
        <v>11</v>
      </c>
      <c r="C1006" s="4">
        <v>2026</v>
      </c>
      <c r="D1006" s="5" t="s">
        <v>12</v>
      </c>
      <c r="E1006" s="4">
        <v>142</v>
      </c>
      <c r="F1006" s="4" t="s">
        <v>239</v>
      </c>
      <c r="G1006" s="4" t="s">
        <v>1397</v>
      </c>
      <c r="H1006" s="4" t="s">
        <v>15</v>
      </c>
      <c r="I1006" s="4" t="s">
        <v>48</v>
      </c>
      <c r="J1006" s="4" t="s">
        <v>1410</v>
      </c>
      <c r="K1006" s="4" t="s">
        <v>35</v>
      </c>
      <c r="L1006" s="4" t="s">
        <v>3743</v>
      </c>
      <c r="M1006" s="4" t="s">
        <v>3746</v>
      </c>
      <c r="N1006" s="4" t="s">
        <v>3747</v>
      </c>
      <c r="O1006" s="17" t="str">
        <f>INDEX('список ID из СУЭ с должностями'!$A:$F,MATCH(E1006,'список ID из СУЭ с должностями'!$B:$B,0),5)</f>
        <v>ИПП</v>
      </c>
    </row>
    <row r="1007" spans="1:15" ht="90">
      <c r="A1007" s="3" t="s">
        <v>10</v>
      </c>
      <c r="B1007" s="3" t="s">
        <v>11</v>
      </c>
      <c r="C1007" s="4">
        <v>2026</v>
      </c>
      <c r="D1007" s="5" t="s">
        <v>12</v>
      </c>
      <c r="E1007" s="4">
        <v>143</v>
      </c>
      <c r="F1007" s="4" t="s">
        <v>247</v>
      </c>
      <c r="G1007" s="4" t="s">
        <v>158</v>
      </c>
      <c r="H1007" s="4" t="s">
        <v>15</v>
      </c>
      <c r="I1007" s="4" t="s">
        <v>532</v>
      </c>
      <c r="J1007" s="4" t="s">
        <v>1411</v>
      </c>
      <c r="K1007" s="4" t="s">
        <v>151</v>
      </c>
      <c r="L1007" s="4" t="s">
        <v>3743</v>
      </c>
      <c r="M1007" s="4" t="s">
        <v>3746</v>
      </c>
      <c r="N1007" s="4" t="s">
        <v>3747</v>
      </c>
      <c r="O1007" s="17">
        <f>INDEX('список ID из СУЭ с должностями'!$A:$F,MATCH(E1007,'список ID из СУЭ с должностями'!$B:$B,0),5)</f>
        <v>0</v>
      </c>
    </row>
    <row r="1008" spans="1:15" ht="180">
      <c r="A1008" s="3" t="s">
        <v>10</v>
      </c>
      <c r="B1008" s="3" t="s">
        <v>11</v>
      </c>
      <c r="C1008" s="4">
        <v>2026</v>
      </c>
      <c r="D1008" s="5" t="s">
        <v>12</v>
      </c>
      <c r="E1008" s="4">
        <v>143</v>
      </c>
      <c r="F1008" s="4" t="s">
        <v>247</v>
      </c>
      <c r="G1008" s="4" t="s">
        <v>158</v>
      </c>
      <c r="H1008" s="4" t="s">
        <v>15</v>
      </c>
      <c r="I1008" s="4" t="s">
        <v>1412</v>
      </c>
      <c r="J1008" s="4" t="s">
        <v>1413</v>
      </c>
      <c r="K1008" s="4" t="s">
        <v>30</v>
      </c>
      <c r="L1008" s="4" t="s">
        <v>3743</v>
      </c>
      <c r="M1008" s="4" t="s">
        <v>3746</v>
      </c>
      <c r="N1008" s="4" t="s">
        <v>3747</v>
      </c>
      <c r="O1008" s="17">
        <f>INDEX('список ID из СУЭ с должностями'!$A:$F,MATCH(E1008,'список ID из СУЭ с должностями'!$B:$B,0),5)</f>
        <v>0</v>
      </c>
    </row>
    <row r="1009" spans="1:15" ht="90">
      <c r="A1009" s="3" t="s">
        <v>10</v>
      </c>
      <c r="B1009" s="3" t="s">
        <v>11</v>
      </c>
      <c r="C1009" s="4">
        <v>2026</v>
      </c>
      <c r="D1009" s="5" t="s">
        <v>12</v>
      </c>
      <c r="E1009" s="4">
        <v>143</v>
      </c>
      <c r="F1009" s="4" t="s">
        <v>247</v>
      </c>
      <c r="G1009" s="4" t="s">
        <v>158</v>
      </c>
      <c r="H1009" s="4" t="s">
        <v>21</v>
      </c>
      <c r="I1009" s="4" t="s">
        <v>1414</v>
      </c>
      <c r="J1009" s="4" t="s">
        <v>1415</v>
      </c>
      <c r="K1009" s="4" t="s">
        <v>30</v>
      </c>
      <c r="L1009" s="4" t="s">
        <v>3743</v>
      </c>
      <c r="M1009" s="4" t="s">
        <v>3746</v>
      </c>
      <c r="N1009" s="4" t="s">
        <v>3747</v>
      </c>
      <c r="O1009" s="17">
        <f>INDEX('список ID из СУЭ с должностями'!$A:$F,MATCH(E1009,'список ID из СУЭ с должностями'!$B:$B,0),5)</f>
        <v>0</v>
      </c>
    </row>
    <row r="1010" spans="1:15" ht="105">
      <c r="A1010" s="3" t="s">
        <v>10</v>
      </c>
      <c r="B1010" s="3" t="s">
        <v>11</v>
      </c>
      <c r="C1010" s="4">
        <v>2026</v>
      </c>
      <c r="D1010" s="5" t="s">
        <v>12</v>
      </c>
      <c r="E1010" s="4">
        <v>143</v>
      </c>
      <c r="F1010" s="4" t="s">
        <v>247</v>
      </c>
      <c r="G1010" s="4" t="s">
        <v>158</v>
      </c>
      <c r="H1010" s="4" t="s">
        <v>15</v>
      </c>
      <c r="I1010" s="4" t="s">
        <v>231</v>
      </c>
      <c r="J1010" s="4" t="s">
        <v>1416</v>
      </c>
      <c r="K1010" s="4" t="s">
        <v>38</v>
      </c>
      <c r="L1010" s="4" t="s">
        <v>3743</v>
      </c>
      <c r="M1010" s="4" t="s">
        <v>3746</v>
      </c>
      <c r="N1010" s="4" t="s">
        <v>3747</v>
      </c>
      <c r="O1010" s="17">
        <f>INDEX('список ID из СУЭ с должностями'!$A:$F,MATCH(E1010,'список ID из СУЭ с должностями'!$B:$B,0),5)</f>
        <v>0</v>
      </c>
    </row>
    <row r="1011" spans="1:15" ht="90">
      <c r="A1011" s="3" t="s">
        <v>10</v>
      </c>
      <c r="B1011" s="3" t="s">
        <v>11</v>
      </c>
      <c r="C1011" s="4">
        <v>2026</v>
      </c>
      <c r="D1011" s="5" t="s">
        <v>12</v>
      </c>
      <c r="E1011" s="4">
        <v>143</v>
      </c>
      <c r="F1011" s="4" t="s">
        <v>247</v>
      </c>
      <c r="G1011" s="4" t="s">
        <v>158</v>
      </c>
      <c r="H1011" s="4" t="s">
        <v>21</v>
      </c>
      <c r="I1011" s="4" t="s">
        <v>1417</v>
      </c>
      <c r="J1011" s="4" t="s">
        <v>1418</v>
      </c>
      <c r="K1011" s="4" t="s">
        <v>20</v>
      </c>
      <c r="L1011" s="4" t="s">
        <v>3743</v>
      </c>
      <c r="M1011" s="4" t="s">
        <v>3746</v>
      </c>
      <c r="N1011" s="4" t="s">
        <v>3747</v>
      </c>
      <c r="O1011" s="17">
        <f>INDEX('список ID из СУЭ с должностями'!$A:$F,MATCH(E1011,'список ID из СУЭ с должностями'!$B:$B,0),5)</f>
        <v>0</v>
      </c>
    </row>
    <row r="1012" spans="1:15" ht="60">
      <c r="A1012" s="3" t="s">
        <v>10</v>
      </c>
      <c r="B1012" s="3" t="s">
        <v>11</v>
      </c>
      <c r="C1012" s="4">
        <v>2026</v>
      </c>
      <c r="D1012" s="5" t="s">
        <v>12</v>
      </c>
      <c r="E1012" s="4">
        <v>143</v>
      </c>
      <c r="F1012" s="4" t="s">
        <v>247</v>
      </c>
      <c r="G1012" s="4" t="s">
        <v>158</v>
      </c>
      <c r="H1012" s="4" t="s">
        <v>15</v>
      </c>
      <c r="I1012" s="4" t="s">
        <v>678</v>
      </c>
      <c r="J1012" s="4" t="s">
        <v>1419</v>
      </c>
      <c r="K1012" s="4" t="s">
        <v>151</v>
      </c>
      <c r="L1012" s="4" t="s">
        <v>3743</v>
      </c>
      <c r="M1012" s="4" t="s">
        <v>3746</v>
      </c>
      <c r="N1012" s="4" t="s">
        <v>3747</v>
      </c>
      <c r="O1012" s="17">
        <f>INDEX('список ID из СУЭ с должностями'!$A:$F,MATCH(E1012,'список ID из СУЭ с должностями'!$B:$B,0),5)</f>
        <v>0</v>
      </c>
    </row>
    <row r="1013" spans="1:15" ht="45">
      <c r="A1013" s="3" t="s">
        <v>10</v>
      </c>
      <c r="B1013" s="3" t="s">
        <v>11</v>
      </c>
      <c r="C1013" s="4">
        <v>2026</v>
      </c>
      <c r="D1013" s="5" t="s">
        <v>12</v>
      </c>
      <c r="E1013" s="4">
        <v>143</v>
      </c>
      <c r="F1013" s="4" t="s">
        <v>247</v>
      </c>
      <c r="G1013" s="4" t="s">
        <v>158</v>
      </c>
      <c r="H1013" s="4" t="s">
        <v>15</v>
      </c>
      <c r="I1013" s="4" t="s">
        <v>1420</v>
      </c>
      <c r="J1013" s="4" t="s">
        <v>1421</v>
      </c>
      <c r="K1013" s="4" t="s">
        <v>35</v>
      </c>
      <c r="L1013" s="4" t="s">
        <v>3743</v>
      </c>
      <c r="M1013" s="4" t="s">
        <v>3746</v>
      </c>
      <c r="N1013" s="4" t="s">
        <v>3747</v>
      </c>
      <c r="O1013" s="17">
        <f>INDEX('список ID из СУЭ с должностями'!$A:$F,MATCH(E1013,'список ID из СУЭ с должностями'!$B:$B,0),5)</f>
        <v>0</v>
      </c>
    </row>
    <row r="1014" spans="1:15" ht="60">
      <c r="A1014" s="3" t="s">
        <v>10</v>
      </c>
      <c r="B1014" s="3" t="s">
        <v>11</v>
      </c>
      <c r="C1014" s="4">
        <v>2026</v>
      </c>
      <c r="D1014" s="5" t="s">
        <v>12</v>
      </c>
      <c r="E1014" s="4">
        <v>143</v>
      </c>
      <c r="F1014" s="4" t="s">
        <v>247</v>
      </c>
      <c r="G1014" s="4" t="s">
        <v>158</v>
      </c>
      <c r="H1014" s="4" t="s">
        <v>15</v>
      </c>
      <c r="I1014" s="4" t="s">
        <v>1422</v>
      </c>
      <c r="J1014" s="4" t="s">
        <v>1423</v>
      </c>
      <c r="K1014" s="4" t="s">
        <v>30</v>
      </c>
      <c r="L1014" s="4" t="s">
        <v>3743</v>
      </c>
      <c r="M1014" s="4" t="s">
        <v>3746</v>
      </c>
      <c r="N1014" s="4" t="s">
        <v>3747</v>
      </c>
      <c r="O1014" s="17">
        <f>INDEX('список ID из СУЭ с должностями'!$A:$F,MATCH(E1014,'список ID из СУЭ с должностями'!$B:$B,0),5)</f>
        <v>0</v>
      </c>
    </row>
    <row r="1015" spans="1:15" ht="135">
      <c r="A1015" s="3" t="s">
        <v>10</v>
      </c>
      <c r="B1015" s="3" t="s">
        <v>11</v>
      </c>
      <c r="C1015" s="4">
        <v>2026</v>
      </c>
      <c r="D1015" s="5" t="s">
        <v>12</v>
      </c>
      <c r="E1015" s="4">
        <v>143</v>
      </c>
      <c r="F1015" s="4" t="s">
        <v>247</v>
      </c>
      <c r="G1015" s="4" t="s">
        <v>158</v>
      </c>
      <c r="H1015" s="4" t="s">
        <v>21</v>
      </c>
      <c r="I1015" s="4" t="s">
        <v>1424</v>
      </c>
      <c r="J1015" s="4" t="s">
        <v>1425</v>
      </c>
      <c r="K1015" s="4" t="s">
        <v>20</v>
      </c>
      <c r="L1015" s="4" t="s">
        <v>3743</v>
      </c>
      <c r="M1015" s="4" t="s">
        <v>3746</v>
      </c>
      <c r="N1015" s="4" t="s">
        <v>3747</v>
      </c>
      <c r="O1015" s="17">
        <f>INDEX('список ID из СУЭ с должностями'!$A:$F,MATCH(E1015,'список ID из СУЭ с должностями'!$B:$B,0),5)</f>
        <v>0</v>
      </c>
    </row>
    <row r="1016" spans="1:15" ht="225">
      <c r="A1016" s="3" t="s">
        <v>10</v>
      </c>
      <c r="B1016" s="3" t="s">
        <v>11</v>
      </c>
      <c r="C1016" s="4">
        <v>2026</v>
      </c>
      <c r="D1016" s="5" t="s">
        <v>12</v>
      </c>
      <c r="E1016" s="4">
        <v>144</v>
      </c>
      <c r="F1016" s="4" t="s">
        <v>514</v>
      </c>
      <c r="G1016" s="4" t="s">
        <v>614</v>
      </c>
      <c r="H1016" s="4" t="s">
        <v>15</v>
      </c>
      <c r="I1016" s="4" t="s">
        <v>1426</v>
      </c>
      <c r="J1016" s="4" t="s">
        <v>1427</v>
      </c>
      <c r="K1016" s="4" t="s">
        <v>55</v>
      </c>
      <c r="L1016" s="4" t="s">
        <v>3743</v>
      </c>
      <c r="M1016" s="4" t="s">
        <v>3746</v>
      </c>
      <c r="N1016" s="4" t="s">
        <v>3747</v>
      </c>
      <c r="O1016" s="17">
        <f>INDEX('список ID из СУЭ с должностями'!$A:$F,MATCH(E1016,'список ID из СУЭ с должностями'!$B:$B,0),5)</f>
        <v>0</v>
      </c>
    </row>
    <row r="1017" spans="1:15" ht="75">
      <c r="A1017" s="3" t="s">
        <v>10</v>
      </c>
      <c r="B1017" s="3" t="s">
        <v>11</v>
      </c>
      <c r="C1017" s="4">
        <v>2026</v>
      </c>
      <c r="D1017" s="5" t="s">
        <v>12</v>
      </c>
      <c r="E1017" s="4">
        <v>144</v>
      </c>
      <c r="F1017" s="4" t="s">
        <v>514</v>
      </c>
      <c r="G1017" s="4" t="s">
        <v>614</v>
      </c>
      <c r="H1017" s="4" t="s">
        <v>15</v>
      </c>
      <c r="I1017" s="4" t="s">
        <v>1428</v>
      </c>
      <c r="J1017" s="4" t="s">
        <v>718</v>
      </c>
      <c r="K1017" s="4" t="s">
        <v>35</v>
      </c>
      <c r="L1017" s="4" t="s">
        <v>3743</v>
      </c>
      <c r="M1017" s="4" t="s">
        <v>3746</v>
      </c>
      <c r="N1017" s="4" t="s">
        <v>3747</v>
      </c>
      <c r="O1017" s="17">
        <f>INDEX('список ID из СУЭ с должностями'!$A:$F,MATCH(E1017,'список ID из СУЭ с должностями'!$B:$B,0),5)</f>
        <v>0</v>
      </c>
    </row>
    <row r="1018" spans="1:15" ht="165">
      <c r="A1018" s="3" t="s">
        <v>10</v>
      </c>
      <c r="B1018" s="3" t="s">
        <v>11</v>
      </c>
      <c r="C1018" s="4">
        <v>2026</v>
      </c>
      <c r="D1018" s="5" t="s">
        <v>12</v>
      </c>
      <c r="E1018" s="4">
        <v>144</v>
      </c>
      <c r="F1018" s="4" t="s">
        <v>514</v>
      </c>
      <c r="G1018" s="4" t="s">
        <v>614</v>
      </c>
      <c r="H1018" s="4" t="s">
        <v>15</v>
      </c>
      <c r="I1018" s="4" t="s">
        <v>720</v>
      </c>
      <c r="J1018" s="4" t="s">
        <v>848</v>
      </c>
      <c r="K1018" s="4" t="s">
        <v>55</v>
      </c>
      <c r="L1018" s="4" t="s">
        <v>3743</v>
      </c>
      <c r="M1018" s="4" t="s">
        <v>3746</v>
      </c>
      <c r="N1018" s="4" t="s">
        <v>3747</v>
      </c>
      <c r="O1018" s="17">
        <f>INDEX('список ID из СУЭ с должностями'!$A:$F,MATCH(E1018,'список ID из СУЭ с должностями'!$B:$B,0),5)</f>
        <v>0</v>
      </c>
    </row>
    <row r="1019" spans="1:15" ht="60">
      <c r="A1019" s="3" t="s">
        <v>10</v>
      </c>
      <c r="B1019" s="3" t="s">
        <v>11</v>
      </c>
      <c r="C1019" s="4">
        <v>2026</v>
      </c>
      <c r="D1019" s="5" t="s">
        <v>12</v>
      </c>
      <c r="E1019" s="4">
        <v>144</v>
      </c>
      <c r="F1019" s="4" t="s">
        <v>514</v>
      </c>
      <c r="G1019" s="4" t="s">
        <v>614</v>
      </c>
      <c r="H1019" s="4" t="s">
        <v>15</v>
      </c>
      <c r="I1019" s="4" t="s">
        <v>624</v>
      </c>
      <c r="J1019" s="4" t="s">
        <v>1429</v>
      </c>
      <c r="K1019" s="4" t="s">
        <v>151</v>
      </c>
      <c r="L1019" s="4" t="s">
        <v>3743</v>
      </c>
      <c r="M1019" s="4" t="s">
        <v>3746</v>
      </c>
      <c r="N1019" s="4" t="s">
        <v>3747</v>
      </c>
      <c r="O1019" s="17">
        <f>INDEX('список ID из СУЭ с должностями'!$A:$F,MATCH(E1019,'список ID из СУЭ с должностями'!$B:$B,0),5)</f>
        <v>0</v>
      </c>
    </row>
    <row r="1020" spans="1:15" ht="135">
      <c r="A1020" s="3" t="s">
        <v>10</v>
      </c>
      <c r="B1020" s="3" t="s">
        <v>11</v>
      </c>
      <c r="C1020" s="4">
        <v>2026</v>
      </c>
      <c r="D1020" s="5" t="s">
        <v>12</v>
      </c>
      <c r="E1020" s="4">
        <v>144</v>
      </c>
      <c r="F1020" s="4" t="s">
        <v>514</v>
      </c>
      <c r="G1020" s="4" t="s">
        <v>614</v>
      </c>
      <c r="H1020" s="4" t="s">
        <v>15</v>
      </c>
      <c r="I1020" s="4" t="s">
        <v>638</v>
      </c>
      <c r="J1020" s="4" t="s">
        <v>723</v>
      </c>
      <c r="K1020" s="4" t="s">
        <v>635</v>
      </c>
      <c r="L1020" s="4" t="s">
        <v>3743</v>
      </c>
      <c r="M1020" s="4" t="s">
        <v>3746</v>
      </c>
      <c r="N1020" s="4" t="s">
        <v>3758</v>
      </c>
      <c r="O1020" s="17">
        <f>INDEX('список ID из СУЭ с должностями'!$A:$F,MATCH(E1020,'список ID из СУЭ с должностями'!$B:$B,0),5)</f>
        <v>0</v>
      </c>
    </row>
    <row r="1021" spans="1:15" ht="315">
      <c r="A1021" s="3" t="s">
        <v>10</v>
      </c>
      <c r="B1021" s="3" t="s">
        <v>11</v>
      </c>
      <c r="C1021" s="4">
        <v>2026</v>
      </c>
      <c r="D1021" s="5" t="s">
        <v>12</v>
      </c>
      <c r="E1021" s="4">
        <v>144</v>
      </c>
      <c r="F1021" s="4" t="s">
        <v>514</v>
      </c>
      <c r="G1021" s="4" t="s">
        <v>614</v>
      </c>
      <c r="H1021" s="4" t="s">
        <v>15</v>
      </c>
      <c r="I1021" s="4" t="s">
        <v>617</v>
      </c>
      <c r="J1021" s="4" t="s">
        <v>1430</v>
      </c>
      <c r="K1021" s="4" t="s">
        <v>619</v>
      </c>
      <c r="L1021" s="4" t="s">
        <v>3743</v>
      </c>
      <c r="M1021" s="4" t="s">
        <v>3746</v>
      </c>
      <c r="N1021" s="4" t="s">
        <v>3758</v>
      </c>
      <c r="O1021" s="17">
        <f>INDEX('список ID из СУЭ с должностями'!$A:$F,MATCH(E1021,'список ID из СУЭ с должностями'!$B:$B,0),5)</f>
        <v>0</v>
      </c>
    </row>
    <row r="1022" spans="1:15" ht="195">
      <c r="A1022" s="3" t="s">
        <v>10</v>
      </c>
      <c r="B1022" s="3" t="s">
        <v>11</v>
      </c>
      <c r="C1022" s="4">
        <v>2026</v>
      </c>
      <c r="D1022" s="5" t="s">
        <v>12</v>
      </c>
      <c r="E1022" s="4">
        <v>144</v>
      </c>
      <c r="F1022" s="4" t="s">
        <v>514</v>
      </c>
      <c r="G1022" s="4" t="s">
        <v>614</v>
      </c>
      <c r="H1022" s="4" t="s">
        <v>15</v>
      </c>
      <c r="I1022" s="4" t="s">
        <v>714</v>
      </c>
      <c r="J1022" s="4" t="s">
        <v>1431</v>
      </c>
      <c r="K1022" s="4" t="s">
        <v>716</v>
      </c>
      <c r="L1022" s="4" t="s">
        <v>3743</v>
      </c>
      <c r="M1022" s="4" t="s">
        <v>3746</v>
      </c>
      <c r="N1022" s="4" t="s">
        <v>3758</v>
      </c>
      <c r="O1022" s="17">
        <f>INDEX('список ID из СУЭ с должностями'!$A:$F,MATCH(E1022,'список ID из СУЭ с должностями'!$B:$B,0),5)</f>
        <v>0</v>
      </c>
    </row>
    <row r="1023" spans="1:15" ht="120">
      <c r="A1023" s="3" t="s">
        <v>10</v>
      </c>
      <c r="B1023" s="3" t="s">
        <v>11</v>
      </c>
      <c r="C1023" s="4">
        <v>2026</v>
      </c>
      <c r="D1023" s="5" t="s">
        <v>12</v>
      </c>
      <c r="E1023" s="4">
        <v>145</v>
      </c>
      <c r="F1023" s="4" t="s">
        <v>454</v>
      </c>
      <c r="G1023" s="4" t="s">
        <v>455</v>
      </c>
      <c r="H1023" s="4" t="s">
        <v>15</v>
      </c>
      <c r="I1023" s="4" t="s">
        <v>456</v>
      </c>
      <c r="J1023" s="4" t="s">
        <v>457</v>
      </c>
      <c r="K1023" s="4" t="s">
        <v>23</v>
      </c>
      <c r="L1023" s="4" t="s">
        <v>3743</v>
      </c>
      <c r="M1023" s="4" t="s">
        <v>3748</v>
      </c>
      <c r="N1023" s="4" t="s">
        <v>3752</v>
      </c>
      <c r="O1023" s="17">
        <f>INDEX('список ID из СУЭ с должностями'!$A:$F,MATCH(E1023,'список ID из СУЭ с должностями'!$B:$B,0),5)</f>
        <v>0</v>
      </c>
    </row>
    <row r="1024" spans="1:15" ht="375">
      <c r="A1024" s="3" t="s">
        <v>10</v>
      </c>
      <c r="B1024" s="3" t="s">
        <v>11</v>
      </c>
      <c r="C1024" s="4">
        <v>2026</v>
      </c>
      <c r="D1024" s="5" t="s">
        <v>12</v>
      </c>
      <c r="E1024" s="4">
        <v>145</v>
      </c>
      <c r="F1024" s="4" t="s">
        <v>454</v>
      </c>
      <c r="G1024" s="4" t="s">
        <v>455</v>
      </c>
      <c r="H1024" s="4" t="s">
        <v>15</v>
      </c>
      <c r="I1024" s="4" t="s">
        <v>460</v>
      </c>
      <c r="J1024" s="4" t="s">
        <v>461</v>
      </c>
      <c r="K1024" s="4" t="s">
        <v>38</v>
      </c>
      <c r="L1024" s="4" t="s">
        <v>3743</v>
      </c>
      <c r="M1024" s="4" t="s">
        <v>3746</v>
      </c>
      <c r="N1024" s="4" t="s">
        <v>3747</v>
      </c>
      <c r="O1024" s="17">
        <f>INDEX('список ID из СУЭ с должностями'!$A:$F,MATCH(E1024,'список ID из СУЭ с должностями'!$B:$B,0),5)</f>
        <v>0</v>
      </c>
    </row>
    <row r="1025" spans="1:15" ht="120">
      <c r="A1025" s="3" t="s">
        <v>10</v>
      </c>
      <c r="B1025" s="3" t="s">
        <v>11</v>
      </c>
      <c r="C1025" s="4">
        <v>2026</v>
      </c>
      <c r="D1025" s="5" t="s">
        <v>12</v>
      </c>
      <c r="E1025" s="4">
        <v>145</v>
      </c>
      <c r="F1025" s="4" t="s">
        <v>454</v>
      </c>
      <c r="G1025" s="4" t="s">
        <v>455</v>
      </c>
      <c r="H1025" s="4" t="s">
        <v>15</v>
      </c>
      <c r="I1025" s="4" t="s">
        <v>462</v>
      </c>
      <c r="J1025" s="4" t="s">
        <v>463</v>
      </c>
      <c r="K1025" s="4" t="s">
        <v>35</v>
      </c>
      <c r="L1025" s="4" t="s">
        <v>3742</v>
      </c>
      <c r="M1025" s="4" t="s">
        <v>3746</v>
      </c>
      <c r="N1025" s="4" t="s">
        <v>3747</v>
      </c>
      <c r="O1025" s="17">
        <f>INDEX('список ID из СУЭ с должностями'!$A:$F,MATCH(E1025,'список ID из СУЭ с должностями'!$B:$B,0),5)</f>
        <v>0</v>
      </c>
    </row>
    <row r="1026" spans="1:15" ht="409.5">
      <c r="A1026" s="3" t="s">
        <v>10</v>
      </c>
      <c r="B1026" s="3" t="s">
        <v>11</v>
      </c>
      <c r="C1026" s="4">
        <v>2026</v>
      </c>
      <c r="D1026" s="5" t="s">
        <v>12</v>
      </c>
      <c r="E1026" s="4">
        <v>145</v>
      </c>
      <c r="F1026" s="4" t="s">
        <v>454</v>
      </c>
      <c r="G1026" s="4" t="s">
        <v>455</v>
      </c>
      <c r="H1026" s="4" t="s">
        <v>15</v>
      </c>
      <c r="I1026" s="4" t="s">
        <v>464</v>
      </c>
      <c r="J1026" s="4" t="s">
        <v>465</v>
      </c>
      <c r="K1026" s="4" t="s">
        <v>66</v>
      </c>
      <c r="L1026" s="4" t="s">
        <v>3743</v>
      </c>
      <c r="M1026" s="4" t="s">
        <v>3746</v>
      </c>
      <c r="N1026" s="4" t="s">
        <v>3747</v>
      </c>
      <c r="O1026" s="17">
        <f>INDEX('список ID из СУЭ с должностями'!$A:$F,MATCH(E1026,'список ID из СУЭ с должностями'!$B:$B,0),5)</f>
        <v>0</v>
      </c>
    </row>
    <row r="1027" spans="1:15" ht="120">
      <c r="A1027" s="3" t="s">
        <v>10</v>
      </c>
      <c r="B1027" s="3" t="s">
        <v>11</v>
      </c>
      <c r="C1027" s="4">
        <v>2026</v>
      </c>
      <c r="D1027" s="5" t="s">
        <v>12</v>
      </c>
      <c r="E1027" s="4">
        <v>145</v>
      </c>
      <c r="F1027" s="4" t="s">
        <v>454</v>
      </c>
      <c r="G1027" s="4" t="s">
        <v>455</v>
      </c>
      <c r="H1027" s="4" t="s">
        <v>15</v>
      </c>
      <c r="I1027" s="4" t="s">
        <v>466</v>
      </c>
      <c r="J1027" s="4" t="s">
        <v>467</v>
      </c>
      <c r="K1027" s="4" t="s">
        <v>30</v>
      </c>
      <c r="L1027" s="4" t="s">
        <v>3742</v>
      </c>
      <c r="M1027" s="4" t="s">
        <v>3746</v>
      </c>
      <c r="N1027" s="4" t="s">
        <v>3747</v>
      </c>
      <c r="O1027" s="17">
        <f>INDEX('список ID из СУЭ с должностями'!$A:$F,MATCH(E1027,'список ID из СУЭ с должностями'!$B:$B,0),5)</f>
        <v>0</v>
      </c>
    </row>
    <row r="1028" spans="1:15" ht="120">
      <c r="A1028" s="3" t="s">
        <v>10</v>
      </c>
      <c r="B1028" s="3" t="s">
        <v>11</v>
      </c>
      <c r="C1028" s="4">
        <v>2026</v>
      </c>
      <c r="D1028" s="5" t="s">
        <v>12</v>
      </c>
      <c r="E1028" s="4">
        <v>145</v>
      </c>
      <c r="F1028" s="4" t="s">
        <v>454</v>
      </c>
      <c r="G1028" s="4" t="s">
        <v>455</v>
      </c>
      <c r="H1028" s="4" t="s">
        <v>15</v>
      </c>
      <c r="I1028" s="4" t="s">
        <v>468</v>
      </c>
      <c r="J1028" s="4" t="s">
        <v>79</v>
      </c>
      <c r="K1028" s="4" t="s">
        <v>30</v>
      </c>
      <c r="L1028" s="4" t="s">
        <v>3742</v>
      </c>
      <c r="M1028" s="4" t="s">
        <v>3746</v>
      </c>
      <c r="N1028" s="4" t="s">
        <v>3747</v>
      </c>
      <c r="O1028" s="17">
        <f>INDEX('список ID из СУЭ с должностями'!$A:$F,MATCH(E1028,'список ID из СУЭ с должностями'!$B:$B,0),5)</f>
        <v>0</v>
      </c>
    </row>
    <row r="1029" spans="1:15" ht="210">
      <c r="A1029" s="3" t="s">
        <v>10</v>
      </c>
      <c r="B1029" s="3" t="s">
        <v>11</v>
      </c>
      <c r="C1029" s="4">
        <v>2026</v>
      </c>
      <c r="D1029" s="5" t="s">
        <v>12</v>
      </c>
      <c r="E1029" s="4">
        <v>145</v>
      </c>
      <c r="F1029" s="4" t="s">
        <v>454</v>
      </c>
      <c r="G1029" s="4" t="s">
        <v>455</v>
      </c>
      <c r="H1029" s="4" t="s">
        <v>15</v>
      </c>
      <c r="I1029" s="4" t="s">
        <v>469</v>
      </c>
      <c r="J1029" s="4" t="s">
        <v>470</v>
      </c>
      <c r="K1029" s="4" t="s">
        <v>30</v>
      </c>
      <c r="L1029" s="4" t="s">
        <v>3743</v>
      </c>
      <c r="M1029" s="4" t="s">
        <v>3746</v>
      </c>
      <c r="N1029" s="4" t="s">
        <v>3747</v>
      </c>
      <c r="O1029" s="17">
        <f>INDEX('список ID из СУЭ с должностями'!$A:$F,MATCH(E1029,'список ID из СУЭ с должностями'!$B:$B,0),5)</f>
        <v>0</v>
      </c>
    </row>
    <row r="1030" spans="1:15" ht="120">
      <c r="A1030" s="3" t="s">
        <v>10</v>
      </c>
      <c r="B1030" s="3" t="s">
        <v>11</v>
      </c>
      <c r="C1030" s="4">
        <v>2026</v>
      </c>
      <c r="D1030" s="5" t="s">
        <v>12</v>
      </c>
      <c r="E1030" s="4">
        <v>145</v>
      </c>
      <c r="F1030" s="4" t="s">
        <v>454</v>
      </c>
      <c r="G1030" s="4" t="s">
        <v>455</v>
      </c>
      <c r="H1030" s="4" t="s">
        <v>15</v>
      </c>
      <c r="I1030" s="4" t="s">
        <v>471</v>
      </c>
      <c r="J1030" s="4" t="s">
        <v>463</v>
      </c>
      <c r="K1030" s="4" t="s">
        <v>188</v>
      </c>
      <c r="L1030" s="4" t="s">
        <v>3742</v>
      </c>
      <c r="M1030" s="4" t="s">
        <v>3746</v>
      </c>
      <c r="N1030" s="4" t="s">
        <v>3747</v>
      </c>
      <c r="O1030" s="17">
        <f>INDEX('список ID из СУЭ с должностями'!$A:$F,MATCH(E1030,'список ID из СУЭ с должностями'!$B:$B,0),5)</f>
        <v>0</v>
      </c>
    </row>
    <row r="1031" spans="1:15" ht="409.5">
      <c r="A1031" s="3" t="s">
        <v>10</v>
      </c>
      <c r="B1031" s="3" t="s">
        <v>11</v>
      </c>
      <c r="C1031" s="4">
        <v>2026</v>
      </c>
      <c r="D1031" s="5" t="s">
        <v>12</v>
      </c>
      <c r="E1031" s="4">
        <v>145</v>
      </c>
      <c r="F1031" s="4" t="s">
        <v>454</v>
      </c>
      <c r="G1031" s="4" t="s">
        <v>455</v>
      </c>
      <c r="H1031" s="4" t="s">
        <v>15</v>
      </c>
      <c r="I1031" s="4" t="s">
        <v>472</v>
      </c>
      <c r="J1031" s="4" t="s">
        <v>473</v>
      </c>
      <c r="K1031" s="4" t="s">
        <v>25</v>
      </c>
      <c r="L1031" s="4" t="s">
        <v>3743</v>
      </c>
      <c r="M1031" s="4" t="s">
        <v>3746</v>
      </c>
      <c r="N1031" s="4" t="s">
        <v>3747</v>
      </c>
      <c r="O1031" s="17">
        <f>INDEX('список ID из СУЭ с должностями'!$A:$F,MATCH(E1031,'список ID из СУЭ с должностями'!$B:$B,0),5)</f>
        <v>0</v>
      </c>
    </row>
    <row r="1032" spans="1:15" ht="75">
      <c r="A1032" s="3" t="s">
        <v>10</v>
      </c>
      <c r="B1032" s="3" t="s">
        <v>11</v>
      </c>
      <c r="C1032" s="4">
        <v>2026</v>
      </c>
      <c r="D1032" s="5" t="s">
        <v>12</v>
      </c>
      <c r="E1032" s="4">
        <v>146</v>
      </c>
      <c r="F1032" s="4" t="s">
        <v>407</v>
      </c>
      <c r="G1032" s="4" t="s">
        <v>404</v>
      </c>
      <c r="H1032" s="4" t="s">
        <v>21</v>
      </c>
      <c r="I1032" s="4" t="s">
        <v>901</v>
      </c>
      <c r="J1032" s="4" t="s">
        <v>1432</v>
      </c>
      <c r="K1032" s="4" t="s">
        <v>220</v>
      </c>
      <c r="L1032" s="4" t="s">
        <v>3743</v>
      </c>
      <c r="M1032" s="4" t="s">
        <v>3753</v>
      </c>
      <c r="N1032" s="4" t="s">
        <v>3747</v>
      </c>
      <c r="O1032" s="17">
        <f>INDEX('список ID из СУЭ с должностями'!$A:$F,MATCH(E1032,'список ID из СУЭ с должностями'!$B:$B,0),5)</f>
        <v>0</v>
      </c>
    </row>
    <row r="1033" spans="1:15" ht="300">
      <c r="A1033" s="3" t="s">
        <v>10</v>
      </c>
      <c r="B1033" s="3" t="s">
        <v>11</v>
      </c>
      <c r="C1033" s="4">
        <v>2026</v>
      </c>
      <c r="D1033" s="5" t="s">
        <v>12</v>
      </c>
      <c r="E1033" s="4">
        <v>146</v>
      </c>
      <c r="F1033" s="4" t="s">
        <v>407</v>
      </c>
      <c r="G1033" s="4" t="s">
        <v>404</v>
      </c>
      <c r="H1033" s="4" t="s">
        <v>15</v>
      </c>
      <c r="I1033" s="4" t="s">
        <v>405</v>
      </c>
      <c r="J1033" s="4" t="s">
        <v>1433</v>
      </c>
      <c r="K1033" s="4" t="s">
        <v>52</v>
      </c>
      <c r="L1033" s="4" t="s">
        <v>3743</v>
      </c>
      <c r="M1033" s="4" t="s">
        <v>3746</v>
      </c>
      <c r="N1033" s="4" t="s">
        <v>3747</v>
      </c>
      <c r="O1033" s="17">
        <f>INDEX('список ID из СУЭ с должностями'!$A:$F,MATCH(E1033,'список ID из СУЭ с должностями'!$B:$B,0),5)</f>
        <v>0</v>
      </c>
    </row>
    <row r="1034" spans="1:15" ht="105">
      <c r="A1034" s="3" t="s">
        <v>10</v>
      </c>
      <c r="B1034" s="3" t="s">
        <v>11</v>
      </c>
      <c r="C1034" s="4">
        <v>2026</v>
      </c>
      <c r="D1034" s="5" t="s">
        <v>12</v>
      </c>
      <c r="E1034" s="4">
        <v>146</v>
      </c>
      <c r="F1034" s="4" t="s">
        <v>407</v>
      </c>
      <c r="G1034" s="4" t="s">
        <v>404</v>
      </c>
      <c r="H1034" s="4" t="s">
        <v>15</v>
      </c>
      <c r="I1034" s="4" t="s">
        <v>904</v>
      </c>
      <c r="J1034" s="4" t="s">
        <v>1434</v>
      </c>
      <c r="K1034" s="4" t="s">
        <v>52</v>
      </c>
      <c r="L1034" s="4" t="s">
        <v>3743</v>
      </c>
      <c r="M1034" s="4" t="s">
        <v>3746</v>
      </c>
      <c r="N1034" s="4" t="s">
        <v>3747</v>
      </c>
      <c r="O1034" s="17">
        <f>INDEX('список ID из СУЭ с должностями'!$A:$F,MATCH(E1034,'список ID из СУЭ с должностями'!$B:$B,0),5)</f>
        <v>0</v>
      </c>
    </row>
    <row r="1035" spans="1:15" ht="210">
      <c r="A1035" s="3" t="s">
        <v>10</v>
      </c>
      <c r="B1035" s="3" t="s">
        <v>11</v>
      </c>
      <c r="C1035" s="4">
        <v>2026</v>
      </c>
      <c r="D1035" s="5" t="s">
        <v>12</v>
      </c>
      <c r="E1035" s="4">
        <v>146</v>
      </c>
      <c r="F1035" s="4" t="s">
        <v>407</v>
      </c>
      <c r="G1035" s="4" t="s">
        <v>404</v>
      </c>
      <c r="H1035" s="4" t="s">
        <v>15</v>
      </c>
      <c r="I1035" s="4" t="s">
        <v>408</v>
      </c>
      <c r="J1035" s="4" t="s">
        <v>1435</v>
      </c>
      <c r="K1035" s="4" t="s">
        <v>35</v>
      </c>
      <c r="L1035" s="4" t="s">
        <v>3743</v>
      </c>
      <c r="M1035" s="4" t="s">
        <v>3746</v>
      </c>
      <c r="N1035" s="4" t="s">
        <v>3747</v>
      </c>
      <c r="O1035" s="17">
        <f>INDEX('список ID из СУЭ с должностями'!$A:$F,MATCH(E1035,'список ID из СУЭ с должностями'!$B:$B,0),5)</f>
        <v>0</v>
      </c>
    </row>
    <row r="1036" spans="1:15" ht="409.5">
      <c r="A1036" s="3" t="s">
        <v>10</v>
      </c>
      <c r="B1036" s="3" t="s">
        <v>11</v>
      </c>
      <c r="C1036" s="4">
        <v>2026</v>
      </c>
      <c r="D1036" s="5" t="s">
        <v>12</v>
      </c>
      <c r="E1036" s="4">
        <v>146</v>
      </c>
      <c r="F1036" s="4" t="s">
        <v>407</v>
      </c>
      <c r="G1036" s="4" t="s">
        <v>404</v>
      </c>
      <c r="H1036" s="4" t="s">
        <v>21</v>
      </c>
      <c r="I1036" s="4" t="s">
        <v>1436</v>
      </c>
      <c r="J1036" s="4" t="s">
        <v>1437</v>
      </c>
      <c r="K1036" s="4" t="s">
        <v>38</v>
      </c>
      <c r="L1036" s="4" t="s">
        <v>3743</v>
      </c>
      <c r="M1036" s="4" t="s">
        <v>3746</v>
      </c>
      <c r="N1036" s="4" t="s">
        <v>3747</v>
      </c>
      <c r="O1036" s="17">
        <f>INDEX('список ID из СУЭ с должностями'!$A:$F,MATCH(E1036,'список ID из СУЭ с должностями'!$B:$B,0),5)</f>
        <v>0</v>
      </c>
    </row>
    <row r="1037" spans="1:15" ht="409.5">
      <c r="A1037" s="3" t="s">
        <v>10</v>
      </c>
      <c r="B1037" s="3" t="s">
        <v>11</v>
      </c>
      <c r="C1037" s="4">
        <v>2026</v>
      </c>
      <c r="D1037" s="5" t="s">
        <v>12</v>
      </c>
      <c r="E1037" s="4">
        <v>146</v>
      </c>
      <c r="F1037" s="4" t="s">
        <v>407</v>
      </c>
      <c r="G1037" s="4" t="s">
        <v>404</v>
      </c>
      <c r="H1037" s="4" t="s">
        <v>21</v>
      </c>
      <c r="I1037" s="4" t="s">
        <v>1438</v>
      </c>
      <c r="J1037" s="4" t="s">
        <v>1439</v>
      </c>
      <c r="K1037" s="4" t="s">
        <v>66</v>
      </c>
      <c r="L1037" s="4" t="s">
        <v>3743</v>
      </c>
      <c r="M1037" s="4" t="s">
        <v>3746</v>
      </c>
      <c r="N1037" s="4" t="s">
        <v>3747</v>
      </c>
      <c r="O1037" s="17">
        <f>INDEX('список ID из СУЭ с должностями'!$A:$F,MATCH(E1037,'список ID из СУЭ с должностями'!$B:$B,0),5)</f>
        <v>0</v>
      </c>
    </row>
    <row r="1038" spans="1:15" ht="409.5">
      <c r="A1038" s="3" t="s">
        <v>10</v>
      </c>
      <c r="B1038" s="3" t="s">
        <v>11</v>
      </c>
      <c r="C1038" s="4">
        <v>2026</v>
      </c>
      <c r="D1038" s="5" t="s">
        <v>12</v>
      </c>
      <c r="E1038" s="4">
        <v>146</v>
      </c>
      <c r="F1038" s="4" t="s">
        <v>407</v>
      </c>
      <c r="G1038" s="4" t="s">
        <v>404</v>
      </c>
      <c r="H1038" s="4" t="s">
        <v>21</v>
      </c>
      <c r="I1038" s="4" t="s">
        <v>899</v>
      </c>
      <c r="J1038" s="4" t="s">
        <v>1440</v>
      </c>
      <c r="K1038" s="4" t="s">
        <v>55</v>
      </c>
      <c r="L1038" s="4" t="s">
        <v>3743</v>
      </c>
      <c r="M1038" s="4" t="s">
        <v>3746</v>
      </c>
      <c r="N1038" s="4" t="s">
        <v>3747</v>
      </c>
      <c r="O1038" s="17">
        <f>INDEX('список ID из СУЭ с должностями'!$A:$F,MATCH(E1038,'список ID из СУЭ с должностями'!$B:$B,0),5)</f>
        <v>0</v>
      </c>
    </row>
    <row r="1039" spans="1:15" ht="409.5">
      <c r="A1039" s="3" t="s">
        <v>10</v>
      </c>
      <c r="B1039" s="3" t="s">
        <v>11</v>
      </c>
      <c r="C1039" s="4">
        <v>2026</v>
      </c>
      <c r="D1039" s="5" t="s">
        <v>12</v>
      </c>
      <c r="E1039" s="4">
        <v>146</v>
      </c>
      <c r="F1039" s="4" t="s">
        <v>407</v>
      </c>
      <c r="G1039" s="4" t="s">
        <v>404</v>
      </c>
      <c r="H1039" s="4" t="s">
        <v>21</v>
      </c>
      <c r="I1039" s="4" t="s">
        <v>897</v>
      </c>
      <c r="J1039" s="4" t="s">
        <v>1441</v>
      </c>
      <c r="K1039" s="4" t="s">
        <v>52</v>
      </c>
      <c r="L1039" s="4" t="s">
        <v>3743</v>
      </c>
      <c r="M1039" s="4" t="s">
        <v>3746</v>
      </c>
      <c r="N1039" s="4" t="s">
        <v>3747</v>
      </c>
      <c r="O1039" s="17">
        <f>INDEX('список ID из СУЭ с должностями'!$A:$F,MATCH(E1039,'список ID из СУЭ с должностями'!$B:$B,0),5)</f>
        <v>0</v>
      </c>
    </row>
    <row r="1040" spans="1:15" ht="60">
      <c r="A1040" s="3" t="s">
        <v>10</v>
      </c>
      <c r="B1040" s="3" t="s">
        <v>11</v>
      </c>
      <c r="C1040" s="4">
        <v>2026</v>
      </c>
      <c r="D1040" s="5" t="s">
        <v>12</v>
      </c>
      <c r="E1040" s="4">
        <v>147</v>
      </c>
      <c r="F1040" s="4" t="s">
        <v>193</v>
      </c>
      <c r="G1040" s="4" t="s">
        <v>1442</v>
      </c>
      <c r="H1040" s="4" t="s">
        <v>15</v>
      </c>
      <c r="I1040" s="4" t="s">
        <v>48</v>
      </c>
      <c r="J1040" s="4" t="s">
        <v>1443</v>
      </c>
      <c r="K1040" s="4" t="s">
        <v>35</v>
      </c>
      <c r="L1040" s="4" t="s">
        <v>3743</v>
      </c>
      <c r="M1040" s="4" t="s">
        <v>3746</v>
      </c>
      <c r="N1040" s="4" t="s">
        <v>3747</v>
      </c>
      <c r="O1040" s="17" t="str">
        <f>INDEX('список ID из СУЭ с должностями'!$A:$F,MATCH(E1040,'список ID из СУЭ с должностями'!$B:$B,0),5)</f>
        <v>Инж смены</v>
      </c>
    </row>
    <row r="1041" spans="1:15" ht="60">
      <c r="A1041" s="3" t="s">
        <v>10</v>
      </c>
      <c r="B1041" s="3" t="s">
        <v>11</v>
      </c>
      <c r="C1041" s="4">
        <v>2026</v>
      </c>
      <c r="D1041" s="5" t="s">
        <v>12</v>
      </c>
      <c r="E1041" s="4">
        <v>147</v>
      </c>
      <c r="F1041" s="4" t="s">
        <v>193</v>
      </c>
      <c r="G1041" s="4" t="s">
        <v>1442</v>
      </c>
      <c r="H1041" s="4" t="s">
        <v>15</v>
      </c>
      <c r="I1041" s="4" t="s">
        <v>1444</v>
      </c>
      <c r="J1041" s="4" t="s">
        <v>1445</v>
      </c>
      <c r="K1041" s="4" t="s">
        <v>66</v>
      </c>
      <c r="L1041" s="4" t="s">
        <v>3743</v>
      </c>
      <c r="M1041" s="4" t="s">
        <v>3746</v>
      </c>
      <c r="N1041" s="4" t="s">
        <v>3747</v>
      </c>
      <c r="O1041" s="17" t="str">
        <f>INDEX('список ID из СУЭ с должностями'!$A:$F,MATCH(E1041,'список ID из СУЭ с должностями'!$B:$B,0),5)</f>
        <v>Инж смены</v>
      </c>
    </row>
    <row r="1042" spans="1:15" ht="60">
      <c r="A1042" s="3" t="s">
        <v>10</v>
      </c>
      <c r="B1042" s="3" t="s">
        <v>11</v>
      </c>
      <c r="C1042" s="4">
        <v>2026</v>
      </c>
      <c r="D1042" s="5" t="s">
        <v>12</v>
      </c>
      <c r="E1042" s="4">
        <v>147</v>
      </c>
      <c r="F1042" s="4" t="s">
        <v>193</v>
      </c>
      <c r="G1042" s="4" t="s">
        <v>1442</v>
      </c>
      <c r="H1042" s="4" t="s">
        <v>15</v>
      </c>
      <c r="I1042" s="4" t="s">
        <v>1446</v>
      </c>
      <c r="J1042" s="4" t="s">
        <v>1447</v>
      </c>
      <c r="K1042" s="4" t="s">
        <v>66</v>
      </c>
      <c r="L1042" s="4" t="s">
        <v>3742</v>
      </c>
      <c r="M1042" s="4" t="s">
        <v>3746</v>
      </c>
      <c r="N1042" s="4" t="s">
        <v>3747</v>
      </c>
      <c r="O1042" s="17" t="str">
        <f>INDEX('список ID из СУЭ с должностями'!$A:$F,MATCH(E1042,'список ID из СУЭ с должностями'!$B:$B,0),5)</f>
        <v>Инж смены</v>
      </c>
    </row>
    <row r="1043" spans="1:15" ht="60">
      <c r="A1043" s="3" t="s">
        <v>10</v>
      </c>
      <c r="B1043" s="3" t="s">
        <v>11</v>
      </c>
      <c r="C1043" s="4">
        <v>2026</v>
      </c>
      <c r="D1043" s="5" t="s">
        <v>12</v>
      </c>
      <c r="E1043" s="4">
        <v>147</v>
      </c>
      <c r="F1043" s="4" t="s">
        <v>193</v>
      </c>
      <c r="G1043" s="4" t="s">
        <v>1442</v>
      </c>
      <c r="H1043" s="4" t="s">
        <v>15</v>
      </c>
      <c r="I1043" s="4" t="s">
        <v>1108</v>
      </c>
      <c r="J1043" s="4" t="s">
        <v>196</v>
      </c>
      <c r="K1043" s="4" t="s">
        <v>35</v>
      </c>
      <c r="L1043" s="4" t="s">
        <v>3742</v>
      </c>
      <c r="M1043" s="4" t="s">
        <v>3746</v>
      </c>
      <c r="N1043" s="4" t="s">
        <v>3747</v>
      </c>
      <c r="O1043" s="17" t="str">
        <f>INDEX('список ID из СУЭ с должностями'!$A:$F,MATCH(E1043,'список ID из СУЭ с должностями'!$B:$B,0),5)</f>
        <v>Инж смены</v>
      </c>
    </row>
    <row r="1044" spans="1:15" ht="75">
      <c r="A1044" s="3" t="s">
        <v>10</v>
      </c>
      <c r="B1044" s="3" t="s">
        <v>11</v>
      </c>
      <c r="C1044" s="4">
        <v>2026</v>
      </c>
      <c r="D1044" s="5" t="s">
        <v>12</v>
      </c>
      <c r="E1044" s="4">
        <v>147</v>
      </c>
      <c r="F1044" s="4" t="s">
        <v>193</v>
      </c>
      <c r="G1044" s="4" t="s">
        <v>1442</v>
      </c>
      <c r="H1044" s="4" t="s">
        <v>15</v>
      </c>
      <c r="I1044" s="4" t="s">
        <v>1448</v>
      </c>
      <c r="J1044" s="4" t="s">
        <v>1449</v>
      </c>
      <c r="K1044" s="4" t="s">
        <v>20</v>
      </c>
      <c r="L1044" s="4" t="s">
        <v>3743</v>
      </c>
      <c r="M1044" s="4" t="s">
        <v>3746</v>
      </c>
      <c r="N1044" s="4" t="s">
        <v>3747</v>
      </c>
      <c r="O1044" s="17" t="str">
        <f>INDEX('список ID из СУЭ с должностями'!$A:$F,MATCH(E1044,'список ID из СУЭ с должностями'!$B:$B,0),5)</f>
        <v>Инж смены</v>
      </c>
    </row>
    <row r="1045" spans="1:15" ht="150">
      <c r="A1045" s="3" t="s">
        <v>10</v>
      </c>
      <c r="B1045" s="3" t="s">
        <v>11</v>
      </c>
      <c r="C1045" s="4">
        <v>2026</v>
      </c>
      <c r="D1045" s="5" t="s">
        <v>12</v>
      </c>
      <c r="E1045" s="4">
        <v>148</v>
      </c>
      <c r="F1045" s="4" t="s">
        <v>193</v>
      </c>
      <c r="G1045" s="4" t="s">
        <v>1450</v>
      </c>
      <c r="H1045" s="4" t="s">
        <v>41</v>
      </c>
      <c r="I1045" s="4" t="s">
        <v>42</v>
      </c>
      <c r="J1045" s="4" t="s">
        <v>43</v>
      </c>
      <c r="K1045" s="4" t="s">
        <v>25</v>
      </c>
      <c r="L1045" s="4" t="s">
        <v>3743</v>
      </c>
      <c r="M1045" s="4" t="s">
        <v>3746</v>
      </c>
      <c r="N1045" s="4" t="s">
        <v>3747</v>
      </c>
      <c r="O1045" s="17" t="str">
        <f>INDEX('список ID из СУЭ с должностями'!$A:$F,MATCH(E1045,'список ID из СУЭ с должностями'!$B:$B,0),5)</f>
        <v>Инж смены</v>
      </c>
    </row>
    <row r="1046" spans="1:15" ht="45">
      <c r="A1046" s="3" t="s">
        <v>10</v>
      </c>
      <c r="B1046" s="3" t="s">
        <v>11</v>
      </c>
      <c r="C1046" s="4">
        <v>2026</v>
      </c>
      <c r="D1046" s="5" t="s">
        <v>12</v>
      </c>
      <c r="E1046" s="4">
        <v>148</v>
      </c>
      <c r="F1046" s="4" t="s">
        <v>193</v>
      </c>
      <c r="G1046" s="4" t="s">
        <v>1450</v>
      </c>
      <c r="H1046" s="4" t="s">
        <v>15</v>
      </c>
      <c r="I1046" s="4" t="s">
        <v>48</v>
      </c>
      <c r="J1046" s="4" t="s">
        <v>187</v>
      </c>
      <c r="K1046" s="4" t="s">
        <v>35</v>
      </c>
      <c r="L1046" s="4" t="s">
        <v>3743</v>
      </c>
      <c r="M1046" s="4" t="s">
        <v>3746</v>
      </c>
      <c r="N1046" s="4" t="s">
        <v>3747</v>
      </c>
      <c r="O1046" s="17" t="str">
        <f>INDEX('список ID из СУЭ с должностями'!$A:$F,MATCH(E1046,'список ID из СУЭ с должностями'!$B:$B,0),5)</f>
        <v>Инж смены</v>
      </c>
    </row>
    <row r="1047" spans="1:15" ht="150">
      <c r="A1047" s="3" t="s">
        <v>10</v>
      </c>
      <c r="B1047" s="3" t="s">
        <v>11</v>
      </c>
      <c r="C1047" s="4">
        <v>2026</v>
      </c>
      <c r="D1047" s="5" t="s">
        <v>12</v>
      </c>
      <c r="E1047" s="4">
        <v>148</v>
      </c>
      <c r="F1047" s="4" t="s">
        <v>193</v>
      </c>
      <c r="G1047" s="4" t="s">
        <v>1450</v>
      </c>
      <c r="H1047" s="4" t="s">
        <v>21</v>
      </c>
      <c r="I1047" s="4" t="s">
        <v>829</v>
      </c>
      <c r="J1047" s="4" t="s">
        <v>830</v>
      </c>
      <c r="K1047" s="4" t="s">
        <v>20</v>
      </c>
      <c r="L1047" s="4" t="s">
        <v>3743</v>
      </c>
      <c r="M1047" s="4" t="s">
        <v>3746</v>
      </c>
      <c r="N1047" s="4" t="s">
        <v>3747</v>
      </c>
      <c r="O1047" s="17" t="str">
        <f>INDEX('список ID из СУЭ с должностями'!$A:$F,MATCH(E1047,'список ID из СУЭ с должностями'!$B:$B,0),5)</f>
        <v>Инж смены</v>
      </c>
    </row>
    <row r="1048" spans="1:15" ht="45">
      <c r="A1048" s="3" t="s">
        <v>10</v>
      </c>
      <c r="B1048" s="3" t="s">
        <v>11</v>
      </c>
      <c r="C1048" s="4">
        <v>2026</v>
      </c>
      <c r="D1048" s="5" t="s">
        <v>12</v>
      </c>
      <c r="E1048" s="4">
        <v>148</v>
      </c>
      <c r="F1048" s="4" t="s">
        <v>193</v>
      </c>
      <c r="G1048" s="4" t="s">
        <v>1450</v>
      </c>
      <c r="H1048" s="4" t="s">
        <v>15</v>
      </c>
      <c r="I1048" s="4" t="s">
        <v>831</v>
      </c>
      <c r="J1048" s="4" t="s">
        <v>832</v>
      </c>
      <c r="K1048" s="4" t="s">
        <v>66</v>
      </c>
      <c r="L1048" s="4" t="s">
        <v>3742</v>
      </c>
      <c r="M1048" s="4" t="s">
        <v>3746</v>
      </c>
      <c r="N1048" s="4" t="s">
        <v>3747</v>
      </c>
      <c r="O1048" s="17" t="str">
        <f>INDEX('список ID из СУЭ с должностями'!$A:$F,MATCH(E1048,'список ID из СУЭ с должностями'!$B:$B,0),5)</f>
        <v>Инж смены</v>
      </c>
    </row>
    <row r="1049" spans="1:15" ht="45">
      <c r="A1049" s="3" t="s">
        <v>10</v>
      </c>
      <c r="B1049" s="3" t="s">
        <v>11</v>
      </c>
      <c r="C1049" s="4">
        <v>2026</v>
      </c>
      <c r="D1049" s="5" t="s">
        <v>12</v>
      </c>
      <c r="E1049" s="4">
        <v>148</v>
      </c>
      <c r="F1049" s="4" t="s">
        <v>193</v>
      </c>
      <c r="G1049" s="4" t="s">
        <v>1450</v>
      </c>
      <c r="H1049" s="4" t="s">
        <v>15</v>
      </c>
      <c r="I1049" s="4" t="s">
        <v>62</v>
      </c>
      <c r="J1049" s="4" t="s">
        <v>833</v>
      </c>
      <c r="K1049" s="4" t="s">
        <v>52</v>
      </c>
      <c r="L1049" s="4" t="s">
        <v>3743</v>
      </c>
      <c r="M1049" s="4" t="s">
        <v>3746</v>
      </c>
      <c r="N1049" s="4" t="s">
        <v>3747</v>
      </c>
      <c r="O1049" s="17" t="str">
        <f>INDEX('список ID из СУЭ с должностями'!$A:$F,MATCH(E1049,'список ID из СУЭ с должностями'!$B:$B,0),5)</f>
        <v>Инж смены</v>
      </c>
    </row>
    <row r="1050" spans="1:15" ht="45">
      <c r="A1050" s="3" t="s">
        <v>10</v>
      </c>
      <c r="B1050" s="3" t="s">
        <v>11</v>
      </c>
      <c r="C1050" s="4">
        <v>2026</v>
      </c>
      <c r="D1050" s="5" t="s">
        <v>12</v>
      </c>
      <c r="E1050" s="4">
        <v>148</v>
      </c>
      <c r="F1050" s="4" t="s">
        <v>193</v>
      </c>
      <c r="G1050" s="4" t="s">
        <v>1450</v>
      </c>
      <c r="H1050" s="4" t="s">
        <v>41</v>
      </c>
      <c r="I1050" s="4" t="s">
        <v>834</v>
      </c>
      <c r="J1050" s="4" t="s">
        <v>835</v>
      </c>
      <c r="K1050" s="4" t="s">
        <v>52</v>
      </c>
      <c r="L1050" s="4" t="s">
        <v>3743</v>
      </c>
      <c r="M1050" s="4" t="s">
        <v>3746</v>
      </c>
      <c r="N1050" s="4" t="s">
        <v>3747</v>
      </c>
      <c r="O1050" s="17" t="str">
        <f>INDEX('список ID из СУЭ с должностями'!$A:$F,MATCH(E1050,'список ID из СУЭ с должностями'!$B:$B,0),5)</f>
        <v>Инж смены</v>
      </c>
    </row>
    <row r="1051" spans="1:15" ht="180">
      <c r="A1051" s="3" t="s">
        <v>10</v>
      </c>
      <c r="B1051" s="3" t="s">
        <v>11</v>
      </c>
      <c r="C1051" s="4">
        <v>2026</v>
      </c>
      <c r="D1051" s="5" t="s">
        <v>12</v>
      </c>
      <c r="E1051" s="4">
        <v>149</v>
      </c>
      <c r="F1051" s="4" t="s">
        <v>514</v>
      </c>
      <c r="G1051" s="4" t="s">
        <v>1451</v>
      </c>
      <c r="H1051" s="4" t="s">
        <v>15</v>
      </c>
      <c r="I1051" s="4" t="s">
        <v>1452</v>
      </c>
      <c r="J1051" s="4" t="s">
        <v>1453</v>
      </c>
      <c r="K1051" s="4" t="s">
        <v>1452</v>
      </c>
      <c r="L1051" s="4" t="s">
        <v>3743</v>
      </c>
      <c r="M1051" s="4" t="s">
        <v>3746</v>
      </c>
      <c r="N1051" s="4" t="s">
        <v>3767</v>
      </c>
      <c r="O1051" s="17">
        <f>INDEX('список ID из СУЭ с должностями'!$A:$F,MATCH(E1051,'список ID из СУЭ с должностями'!$B:$B,0),5)</f>
        <v>0</v>
      </c>
    </row>
    <row r="1052" spans="1:15" ht="75">
      <c r="A1052" s="3" t="s">
        <v>10</v>
      </c>
      <c r="B1052" s="3" t="s">
        <v>11</v>
      </c>
      <c r="C1052" s="4">
        <v>2026</v>
      </c>
      <c r="D1052" s="5" t="s">
        <v>12</v>
      </c>
      <c r="E1052" s="4">
        <v>149</v>
      </c>
      <c r="F1052" s="4" t="s">
        <v>514</v>
      </c>
      <c r="G1052" s="4" t="s">
        <v>1451</v>
      </c>
      <c r="H1052" s="4" t="s">
        <v>41</v>
      </c>
      <c r="I1052" s="4" t="s">
        <v>1454</v>
      </c>
      <c r="J1052" s="4" t="s">
        <v>1455</v>
      </c>
      <c r="K1052" s="4" t="s">
        <v>20</v>
      </c>
      <c r="L1052" s="4" t="s">
        <v>3743</v>
      </c>
      <c r="M1052" s="4" t="s">
        <v>3746</v>
      </c>
      <c r="N1052" s="4" t="s">
        <v>3747</v>
      </c>
      <c r="O1052" s="17">
        <f>INDEX('список ID из СУЭ с должностями'!$A:$F,MATCH(E1052,'список ID из СУЭ с должностями'!$B:$B,0),5)</f>
        <v>0</v>
      </c>
    </row>
    <row r="1053" spans="1:15" ht="120">
      <c r="A1053" s="3" t="s">
        <v>10</v>
      </c>
      <c r="B1053" s="3" t="s">
        <v>11</v>
      </c>
      <c r="C1053" s="4">
        <v>2026</v>
      </c>
      <c r="D1053" s="5" t="s">
        <v>12</v>
      </c>
      <c r="E1053" s="4">
        <v>149</v>
      </c>
      <c r="F1053" s="4" t="s">
        <v>514</v>
      </c>
      <c r="G1053" s="4" t="s">
        <v>1451</v>
      </c>
      <c r="H1053" s="4" t="s">
        <v>41</v>
      </c>
      <c r="I1053" s="4" t="s">
        <v>1456</v>
      </c>
      <c r="J1053" s="4" t="s">
        <v>1457</v>
      </c>
      <c r="K1053" s="4" t="s">
        <v>20</v>
      </c>
      <c r="L1053" s="4" t="s">
        <v>3743</v>
      </c>
      <c r="M1053" s="4" t="s">
        <v>3746</v>
      </c>
      <c r="N1053" s="4" t="s">
        <v>3747</v>
      </c>
      <c r="O1053" s="17">
        <f>INDEX('список ID из СУЭ с должностями'!$A:$F,MATCH(E1053,'список ID из СУЭ с должностями'!$B:$B,0),5)</f>
        <v>0</v>
      </c>
    </row>
    <row r="1054" spans="1:15" ht="120">
      <c r="A1054" s="3" t="s">
        <v>10</v>
      </c>
      <c r="B1054" s="3" t="s">
        <v>11</v>
      </c>
      <c r="C1054" s="4">
        <v>2026</v>
      </c>
      <c r="D1054" s="5" t="s">
        <v>12</v>
      </c>
      <c r="E1054" s="4">
        <v>149</v>
      </c>
      <c r="F1054" s="4" t="s">
        <v>514</v>
      </c>
      <c r="G1054" s="4" t="s">
        <v>1451</v>
      </c>
      <c r="H1054" s="4" t="s">
        <v>21</v>
      </c>
      <c r="I1054" s="4" t="s">
        <v>1458</v>
      </c>
      <c r="J1054" s="4" t="s">
        <v>1459</v>
      </c>
      <c r="K1054" s="4" t="s">
        <v>1452</v>
      </c>
      <c r="L1054" s="4" t="s">
        <v>3743</v>
      </c>
      <c r="M1054" s="4" t="s">
        <v>3746</v>
      </c>
      <c r="N1054" s="4" t="s">
        <v>3767</v>
      </c>
      <c r="O1054" s="17">
        <f>INDEX('список ID из СУЭ с должностями'!$A:$F,MATCH(E1054,'список ID из СУЭ с должностями'!$B:$B,0),5)</f>
        <v>0</v>
      </c>
    </row>
    <row r="1055" spans="1:15" ht="150">
      <c r="A1055" s="3" t="s">
        <v>10</v>
      </c>
      <c r="B1055" s="3" t="s">
        <v>11</v>
      </c>
      <c r="C1055" s="4">
        <v>2026</v>
      </c>
      <c r="D1055" s="5" t="s">
        <v>12</v>
      </c>
      <c r="E1055" s="4">
        <v>149</v>
      </c>
      <c r="F1055" s="4" t="s">
        <v>514</v>
      </c>
      <c r="G1055" s="4" t="s">
        <v>1451</v>
      </c>
      <c r="H1055" s="4" t="s">
        <v>41</v>
      </c>
      <c r="I1055" s="4" t="s">
        <v>1460</v>
      </c>
      <c r="J1055" s="4" t="s">
        <v>1461</v>
      </c>
      <c r="K1055" s="4" t="s">
        <v>1462</v>
      </c>
      <c r="L1055" s="4" t="s">
        <v>3743</v>
      </c>
      <c r="M1055" s="4" t="s">
        <v>3746</v>
      </c>
      <c r="N1055" s="4" t="s">
        <v>3767</v>
      </c>
      <c r="O1055" s="17">
        <f>INDEX('список ID из СУЭ с должностями'!$A:$F,MATCH(E1055,'список ID из СУЭ с должностями'!$B:$B,0),5)</f>
        <v>0</v>
      </c>
    </row>
    <row r="1056" spans="1:15" ht="240">
      <c r="A1056" s="3" t="s">
        <v>10</v>
      </c>
      <c r="B1056" s="3" t="s">
        <v>11</v>
      </c>
      <c r="C1056" s="4">
        <v>2026</v>
      </c>
      <c r="D1056" s="5" t="s">
        <v>12</v>
      </c>
      <c r="E1056" s="4">
        <v>149</v>
      </c>
      <c r="F1056" s="4" t="s">
        <v>514</v>
      </c>
      <c r="G1056" s="4" t="s">
        <v>1451</v>
      </c>
      <c r="H1056" s="4" t="s">
        <v>41</v>
      </c>
      <c r="I1056" s="4" t="s">
        <v>1463</v>
      </c>
      <c r="J1056" s="4" t="s">
        <v>1464</v>
      </c>
      <c r="K1056" s="4" t="s">
        <v>25</v>
      </c>
      <c r="L1056" s="4" t="s">
        <v>3743</v>
      </c>
      <c r="M1056" s="4" t="s">
        <v>3746</v>
      </c>
      <c r="N1056" s="4" t="s">
        <v>3747</v>
      </c>
      <c r="O1056" s="17">
        <f>INDEX('список ID из СУЭ с должностями'!$A:$F,MATCH(E1056,'список ID из СУЭ с должностями'!$B:$B,0),5)</f>
        <v>0</v>
      </c>
    </row>
    <row r="1057" spans="1:15" ht="255">
      <c r="A1057" s="3" t="s">
        <v>10</v>
      </c>
      <c r="B1057" s="3" t="s">
        <v>11</v>
      </c>
      <c r="C1057" s="4">
        <v>2026</v>
      </c>
      <c r="D1057" s="5" t="s">
        <v>12</v>
      </c>
      <c r="E1057" s="4">
        <v>149</v>
      </c>
      <c r="F1057" s="4" t="s">
        <v>514</v>
      </c>
      <c r="G1057" s="4" t="s">
        <v>1451</v>
      </c>
      <c r="H1057" s="4" t="s">
        <v>15</v>
      </c>
      <c r="I1057" s="4" t="s">
        <v>1465</v>
      </c>
      <c r="J1057" s="4" t="s">
        <v>1466</v>
      </c>
      <c r="K1057" s="4" t="s">
        <v>1467</v>
      </c>
      <c r="L1057" s="4" t="s">
        <v>3743</v>
      </c>
      <c r="M1057" s="4" t="s">
        <v>3746</v>
      </c>
      <c r="N1057" s="4" t="s">
        <v>3767</v>
      </c>
      <c r="O1057" s="17">
        <f>INDEX('список ID из СУЭ с должностями'!$A:$F,MATCH(E1057,'список ID из СУЭ с должностями'!$B:$B,0),5)</f>
        <v>0</v>
      </c>
    </row>
    <row r="1058" spans="1:15" ht="135">
      <c r="A1058" s="3" t="s">
        <v>10</v>
      </c>
      <c r="B1058" s="3" t="s">
        <v>11</v>
      </c>
      <c r="C1058" s="4">
        <v>2026</v>
      </c>
      <c r="D1058" s="5" t="s">
        <v>12</v>
      </c>
      <c r="E1058" s="4">
        <v>149</v>
      </c>
      <c r="F1058" s="4" t="s">
        <v>514</v>
      </c>
      <c r="G1058" s="4" t="s">
        <v>1451</v>
      </c>
      <c r="H1058" s="4" t="s">
        <v>41</v>
      </c>
      <c r="I1058" s="4" t="s">
        <v>1468</v>
      </c>
      <c r="J1058" s="4" t="s">
        <v>1469</v>
      </c>
      <c r="K1058" s="4" t="s">
        <v>1470</v>
      </c>
      <c r="L1058" s="4" t="s">
        <v>3743</v>
      </c>
      <c r="M1058" s="4" t="s">
        <v>3746</v>
      </c>
      <c r="N1058" s="4" t="s">
        <v>3767</v>
      </c>
      <c r="O1058" s="17">
        <f>INDEX('список ID из СУЭ с должностями'!$A:$F,MATCH(E1058,'список ID из СУЭ с должностями'!$B:$B,0),5)</f>
        <v>0</v>
      </c>
    </row>
    <row r="1059" spans="1:15" ht="210">
      <c r="A1059" s="3" t="s">
        <v>10</v>
      </c>
      <c r="B1059" s="3" t="s">
        <v>11</v>
      </c>
      <c r="C1059" s="4">
        <v>2026</v>
      </c>
      <c r="D1059" s="5" t="s">
        <v>12</v>
      </c>
      <c r="E1059" s="4">
        <v>149</v>
      </c>
      <c r="F1059" s="4" t="s">
        <v>514</v>
      </c>
      <c r="G1059" s="4" t="s">
        <v>1451</v>
      </c>
      <c r="H1059" s="4" t="s">
        <v>15</v>
      </c>
      <c r="I1059" s="4" t="s">
        <v>1471</v>
      </c>
      <c r="J1059" s="4" t="s">
        <v>1472</v>
      </c>
      <c r="K1059" s="4" t="s">
        <v>30</v>
      </c>
      <c r="L1059" s="4" t="s">
        <v>3743</v>
      </c>
      <c r="M1059" s="4" t="s">
        <v>3746</v>
      </c>
      <c r="N1059" s="4" t="s">
        <v>3747</v>
      </c>
      <c r="O1059" s="17">
        <f>INDEX('список ID из СУЭ с должностями'!$A:$F,MATCH(E1059,'список ID из СУЭ с должностями'!$B:$B,0),5)</f>
        <v>0</v>
      </c>
    </row>
    <row r="1060" spans="1:15" ht="165">
      <c r="A1060" s="3" t="s">
        <v>10</v>
      </c>
      <c r="B1060" s="3" t="s">
        <v>11</v>
      </c>
      <c r="C1060" s="4">
        <v>2026</v>
      </c>
      <c r="D1060" s="5" t="s">
        <v>12</v>
      </c>
      <c r="E1060" s="4">
        <v>149</v>
      </c>
      <c r="F1060" s="4" t="s">
        <v>514</v>
      </c>
      <c r="G1060" s="4" t="s">
        <v>1451</v>
      </c>
      <c r="H1060" s="4" t="s">
        <v>15</v>
      </c>
      <c r="I1060" s="4" t="s">
        <v>855</v>
      </c>
      <c r="J1060" s="4" t="s">
        <v>1473</v>
      </c>
      <c r="K1060" s="4" t="s">
        <v>38</v>
      </c>
      <c r="L1060" s="4" t="s">
        <v>3743</v>
      </c>
      <c r="M1060" s="4" t="s">
        <v>3746</v>
      </c>
      <c r="N1060" s="4" t="s">
        <v>3747</v>
      </c>
      <c r="O1060" s="17">
        <f>INDEX('список ID из СУЭ с должностями'!$A:$F,MATCH(E1060,'список ID из СУЭ с должностями'!$B:$B,0),5)</f>
        <v>0</v>
      </c>
    </row>
    <row r="1061" spans="1:15" ht="105">
      <c r="A1061" s="3" t="s">
        <v>10</v>
      </c>
      <c r="B1061" s="3" t="s">
        <v>11</v>
      </c>
      <c r="C1061" s="4">
        <v>2026</v>
      </c>
      <c r="D1061" s="5" t="s">
        <v>12</v>
      </c>
      <c r="E1061" s="4">
        <v>150</v>
      </c>
      <c r="F1061" s="4" t="s">
        <v>84</v>
      </c>
      <c r="G1061" s="4" t="s">
        <v>117</v>
      </c>
      <c r="H1061" s="4" t="s">
        <v>15</v>
      </c>
      <c r="I1061" s="4" t="s">
        <v>1474</v>
      </c>
      <c r="J1061" s="4" t="s">
        <v>1475</v>
      </c>
      <c r="K1061" s="4" t="s">
        <v>310</v>
      </c>
      <c r="L1061" s="4" t="s">
        <v>3743</v>
      </c>
      <c r="M1061" s="4" t="s">
        <v>3746</v>
      </c>
      <c r="N1061" s="4" t="s">
        <v>3755</v>
      </c>
      <c r="O1061" s="17">
        <f>INDEX('список ID из СУЭ с должностями'!$A:$F,MATCH(E1061,'список ID из СУЭ с должностями'!$B:$B,0),5)</f>
        <v>0</v>
      </c>
    </row>
    <row r="1062" spans="1:15" ht="105">
      <c r="A1062" s="3" t="s">
        <v>10</v>
      </c>
      <c r="B1062" s="3" t="s">
        <v>11</v>
      </c>
      <c r="C1062" s="4">
        <v>2026</v>
      </c>
      <c r="D1062" s="5" t="s">
        <v>12</v>
      </c>
      <c r="E1062" s="4">
        <v>150</v>
      </c>
      <c r="F1062" s="4" t="s">
        <v>84</v>
      </c>
      <c r="G1062" s="4" t="s">
        <v>117</v>
      </c>
      <c r="H1062" s="4" t="s">
        <v>15</v>
      </c>
      <c r="I1062" s="4" t="s">
        <v>1476</v>
      </c>
      <c r="J1062" s="4" t="s">
        <v>1477</v>
      </c>
      <c r="K1062" s="4" t="s">
        <v>310</v>
      </c>
      <c r="L1062" s="4" t="s">
        <v>3743</v>
      </c>
      <c r="M1062" s="4" t="s">
        <v>3746</v>
      </c>
      <c r="N1062" s="4" t="s">
        <v>3755</v>
      </c>
      <c r="O1062" s="17">
        <f>INDEX('список ID из СУЭ с должностями'!$A:$F,MATCH(E1062,'список ID из СУЭ с должностями'!$B:$B,0),5)</f>
        <v>0</v>
      </c>
    </row>
    <row r="1063" spans="1:15" ht="75">
      <c r="A1063" s="3" t="s">
        <v>10</v>
      </c>
      <c r="B1063" s="3" t="s">
        <v>11</v>
      </c>
      <c r="C1063" s="4">
        <v>2026</v>
      </c>
      <c r="D1063" s="5" t="s">
        <v>12</v>
      </c>
      <c r="E1063" s="4">
        <v>150</v>
      </c>
      <c r="F1063" s="4" t="s">
        <v>84</v>
      </c>
      <c r="G1063" s="4" t="s">
        <v>117</v>
      </c>
      <c r="H1063" s="4" t="s">
        <v>15</v>
      </c>
      <c r="I1063" s="4" t="s">
        <v>1478</v>
      </c>
      <c r="J1063" s="4" t="s">
        <v>130</v>
      </c>
      <c r="K1063" s="4" t="s">
        <v>310</v>
      </c>
      <c r="L1063" s="4" t="s">
        <v>3742</v>
      </c>
      <c r="M1063" s="4" t="s">
        <v>3746</v>
      </c>
      <c r="N1063" s="4" t="s">
        <v>3755</v>
      </c>
      <c r="O1063" s="17">
        <f>INDEX('список ID из СУЭ с должностями'!$A:$F,MATCH(E1063,'список ID из СУЭ с должностями'!$B:$B,0),5)</f>
        <v>0</v>
      </c>
    </row>
    <row r="1064" spans="1:15" ht="75">
      <c r="A1064" s="3" t="s">
        <v>10</v>
      </c>
      <c r="B1064" s="3" t="s">
        <v>11</v>
      </c>
      <c r="C1064" s="4">
        <v>2026</v>
      </c>
      <c r="D1064" s="5" t="s">
        <v>12</v>
      </c>
      <c r="E1064" s="4">
        <v>150</v>
      </c>
      <c r="F1064" s="4" t="s">
        <v>84</v>
      </c>
      <c r="G1064" s="4" t="s">
        <v>117</v>
      </c>
      <c r="H1064" s="4" t="s">
        <v>15</v>
      </c>
      <c r="I1064" s="4" t="s">
        <v>1479</v>
      </c>
      <c r="J1064" s="4" t="s">
        <v>1480</v>
      </c>
      <c r="K1064" s="4" t="s">
        <v>310</v>
      </c>
      <c r="L1064" s="4" t="s">
        <v>3742</v>
      </c>
      <c r="M1064" s="4" t="s">
        <v>3746</v>
      </c>
      <c r="N1064" s="4" t="s">
        <v>3755</v>
      </c>
      <c r="O1064" s="17">
        <f>INDEX('список ID из СУЭ с должностями'!$A:$F,MATCH(E1064,'список ID из СУЭ с должностями'!$B:$B,0),5)</f>
        <v>0</v>
      </c>
    </row>
    <row r="1065" spans="1:15" ht="75">
      <c r="A1065" s="3" t="s">
        <v>10</v>
      </c>
      <c r="B1065" s="3" t="s">
        <v>11</v>
      </c>
      <c r="C1065" s="4">
        <v>2026</v>
      </c>
      <c r="D1065" s="5" t="s">
        <v>12</v>
      </c>
      <c r="E1065" s="4">
        <v>150</v>
      </c>
      <c r="F1065" s="4" t="s">
        <v>84</v>
      </c>
      <c r="G1065" s="4" t="s">
        <v>117</v>
      </c>
      <c r="H1065" s="4" t="s">
        <v>15</v>
      </c>
      <c r="I1065" s="4" t="s">
        <v>1481</v>
      </c>
      <c r="J1065" s="4" t="s">
        <v>132</v>
      </c>
      <c r="K1065" s="4" t="s">
        <v>30</v>
      </c>
      <c r="L1065" s="4" t="s">
        <v>3742</v>
      </c>
      <c r="M1065" s="4" t="s">
        <v>3746</v>
      </c>
      <c r="N1065" s="4" t="s">
        <v>3747</v>
      </c>
      <c r="O1065" s="17">
        <f>INDEX('список ID из СУЭ с должностями'!$A:$F,MATCH(E1065,'список ID из СУЭ с должностями'!$B:$B,0),5)</f>
        <v>0</v>
      </c>
    </row>
    <row r="1066" spans="1:15" ht="75">
      <c r="A1066" s="3" t="s">
        <v>10</v>
      </c>
      <c r="B1066" s="3" t="s">
        <v>11</v>
      </c>
      <c r="C1066" s="4">
        <v>2026</v>
      </c>
      <c r="D1066" s="5" t="s">
        <v>12</v>
      </c>
      <c r="E1066" s="4">
        <v>150</v>
      </c>
      <c r="F1066" s="4" t="s">
        <v>84</v>
      </c>
      <c r="G1066" s="4" t="s">
        <v>117</v>
      </c>
      <c r="H1066" s="4" t="s">
        <v>15</v>
      </c>
      <c r="I1066" s="4" t="s">
        <v>1482</v>
      </c>
      <c r="J1066" s="4" t="s">
        <v>132</v>
      </c>
      <c r="K1066" s="4" t="s">
        <v>23</v>
      </c>
      <c r="L1066" s="4" t="s">
        <v>3742</v>
      </c>
      <c r="M1066" s="4" t="s">
        <v>3748</v>
      </c>
      <c r="N1066" s="4" t="s">
        <v>3752</v>
      </c>
      <c r="O1066" s="17">
        <f>INDEX('список ID из СУЭ с должностями'!$A:$F,MATCH(E1066,'список ID из СУЭ с должностями'!$B:$B,0),5)</f>
        <v>0</v>
      </c>
    </row>
    <row r="1067" spans="1:15" ht="75">
      <c r="A1067" s="3" t="s">
        <v>10</v>
      </c>
      <c r="B1067" s="3" t="s">
        <v>11</v>
      </c>
      <c r="C1067" s="4">
        <v>2026</v>
      </c>
      <c r="D1067" s="5" t="s">
        <v>12</v>
      </c>
      <c r="E1067" s="4">
        <v>150</v>
      </c>
      <c r="F1067" s="4" t="s">
        <v>84</v>
      </c>
      <c r="G1067" s="4" t="s">
        <v>117</v>
      </c>
      <c r="H1067" s="4" t="s">
        <v>21</v>
      </c>
      <c r="I1067" s="4" t="s">
        <v>1483</v>
      </c>
      <c r="J1067" s="4" t="s">
        <v>1484</v>
      </c>
      <c r="K1067" s="4" t="s">
        <v>310</v>
      </c>
      <c r="L1067" s="4" t="s">
        <v>3743</v>
      </c>
      <c r="M1067" s="4" t="s">
        <v>3746</v>
      </c>
      <c r="N1067" s="4" t="s">
        <v>3755</v>
      </c>
      <c r="O1067" s="17">
        <f>INDEX('список ID из СУЭ с должностями'!$A:$F,MATCH(E1067,'список ID из СУЭ с должностями'!$B:$B,0),5)</f>
        <v>0</v>
      </c>
    </row>
    <row r="1068" spans="1:15" ht="75">
      <c r="A1068" s="3" t="s">
        <v>10</v>
      </c>
      <c r="B1068" s="3" t="s">
        <v>11</v>
      </c>
      <c r="C1068" s="4">
        <v>2026</v>
      </c>
      <c r="D1068" s="5" t="s">
        <v>12</v>
      </c>
      <c r="E1068" s="4">
        <v>150</v>
      </c>
      <c r="F1068" s="4" t="s">
        <v>84</v>
      </c>
      <c r="G1068" s="4" t="s">
        <v>117</v>
      </c>
      <c r="H1068" s="4" t="s">
        <v>15</v>
      </c>
      <c r="I1068" s="4" t="s">
        <v>135</v>
      </c>
      <c r="J1068" s="4" t="s">
        <v>136</v>
      </c>
      <c r="K1068" s="4" t="s">
        <v>310</v>
      </c>
      <c r="L1068" s="4" t="s">
        <v>3742</v>
      </c>
      <c r="M1068" s="4" t="s">
        <v>3746</v>
      </c>
      <c r="N1068" s="4" t="s">
        <v>3755</v>
      </c>
      <c r="O1068" s="17">
        <f>INDEX('список ID из СУЭ с должностями'!$A:$F,MATCH(E1068,'список ID из СУЭ с должностями'!$B:$B,0),5)</f>
        <v>0</v>
      </c>
    </row>
    <row r="1069" spans="1:15" ht="75">
      <c r="A1069" s="3" t="s">
        <v>10</v>
      </c>
      <c r="B1069" s="3" t="s">
        <v>11</v>
      </c>
      <c r="C1069" s="4">
        <v>2026</v>
      </c>
      <c r="D1069" s="5" t="s">
        <v>12</v>
      </c>
      <c r="E1069" s="4">
        <v>150</v>
      </c>
      <c r="F1069" s="4" t="s">
        <v>84</v>
      </c>
      <c r="G1069" s="4" t="s">
        <v>117</v>
      </c>
      <c r="H1069" s="4" t="s">
        <v>15</v>
      </c>
      <c r="I1069" s="4" t="s">
        <v>137</v>
      </c>
      <c r="J1069" s="4" t="s">
        <v>138</v>
      </c>
      <c r="K1069" s="4" t="s">
        <v>139</v>
      </c>
      <c r="L1069" s="4" t="s">
        <v>3742</v>
      </c>
      <c r="M1069" s="4" t="s">
        <v>3750</v>
      </c>
      <c r="N1069" s="4" t="s">
        <v>3751</v>
      </c>
      <c r="O1069" s="17">
        <f>INDEX('список ID из СУЭ с должностями'!$A:$F,MATCH(E1069,'список ID из СУЭ с должностями'!$B:$B,0),5)</f>
        <v>0</v>
      </c>
    </row>
    <row r="1070" spans="1:15" ht="75">
      <c r="A1070" s="3" t="s">
        <v>10</v>
      </c>
      <c r="B1070" s="3" t="s">
        <v>11</v>
      </c>
      <c r="C1070" s="4">
        <v>2026</v>
      </c>
      <c r="D1070" s="5" t="s">
        <v>12</v>
      </c>
      <c r="E1070" s="4">
        <v>150</v>
      </c>
      <c r="F1070" s="4" t="s">
        <v>84</v>
      </c>
      <c r="G1070" s="4" t="s">
        <v>117</v>
      </c>
      <c r="H1070" s="4" t="s">
        <v>15</v>
      </c>
      <c r="I1070" s="4" t="s">
        <v>1485</v>
      </c>
      <c r="J1070" s="4" t="s">
        <v>1486</v>
      </c>
      <c r="K1070" s="4" t="s">
        <v>23</v>
      </c>
      <c r="L1070" s="4" t="s">
        <v>3743</v>
      </c>
      <c r="M1070" s="4" t="s">
        <v>3748</v>
      </c>
      <c r="N1070" s="4" t="s">
        <v>3752</v>
      </c>
      <c r="O1070" s="17">
        <f>INDEX('список ID из СУЭ с должностями'!$A:$F,MATCH(E1070,'список ID из СУЭ с должностями'!$B:$B,0),5)</f>
        <v>0</v>
      </c>
    </row>
    <row r="1071" spans="1:15" ht="105">
      <c r="A1071" s="3" t="s">
        <v>10</v>
      </c>
      <c r="B1071" s="3" t="s">
        <v>11</v>
      </c>
      <c r="C1071" s="4">
        <v>2026</v>
      </c>
      <c r="D1071" s="5" t="s">
        <v>12</v>
      </c>
      <c r="E1071" s="4">
        <v>151</v>
      </c>
      <c r="F1071" s="4" t="s">
        <v>1487</v>
      </c>
      <c r="G1071" s="4" t="s">
        <v>1488</v>
      </c>
      <c r="H1071" s="4" t="s">
        <v>15</v>
      </c>
      <c r="I1071" s="4" t="s">
        <v>1489</v>
      </c>
      <c r="J1071" s="4" t="s">
        <v>1490</v>
      </c>
      <c r="K1071" s="4" t="s">
        <v>35</v>
      </c>
      <c r="L1071" s="4" t="s">
        <v>3743</v>
      </c>
      <c r="M1071" s="4" t="s">
        <v>3746</v>
      </c>
      <c r="N1071" s="4" t="s">
        <v>3747</v>
      </c>
      <c r="O1071" s="17">
        <f>INDEX('список ID из СУЭ с должностями'!$A:$F,MATCH(E1071,'список ID из СУЭ с должностями'!$B:$B,0),5)</f>
        <v>0</v>
      </c>
    </row>
    <row r="1072" spans="1:15" ht="105">
      <c r="A1072" s="3" t="s">
        <v>10</v>
      </c>
      <c r="B1072" s="3" t="s">
        <v>11</v>
      </c>
      <c r="C1072" s="4">
        <v>2026</v>
      </c>
      <c r="D1072" s="5" t="s">
        <v>12</v>
      </c>
      <c r="E1072" s="4">
        <v>151</v>
      </c>
      <c r="F1072" s="4" t="s">
        <v>1487</v>
      </c>
      <c r="G1072" s="4" t="s">
        <v>1488</v>
      </c>
      <c r="H1072" s="4" t="s">
        <v>15</v>
      </c>
      <c r="I1072" s="4" t="s">
        <v>1491</v>
      </c>
      <c r="J1072" s="4" t="s">
        <v>1492</v>
      </c>
      <c r="K1072" s="4" t="s">
        <v>35</v>
      </c>
      <c r="L1072" s="4" t="s">
        <v>3743</v>
      </c>
      <c r="M1072" s="4" t="s">
        <v>3746</v>
      </c>
      <c r="N1072" s="4" t="s">
        <v>3747</v>
      </c>
      <c r="O1072" s="17">
        <f>INDEX('список ID из СУЭ с должностями'!$A:$F,MATCH(E1072,'список ID из СУЭ с должностями'!$B:$B,0),5)</f>
        <v>0</v>
      </c>
    </row>
    <row r="1073" spans="1:15" ht="105">
      <c r="A1073" s="3" t="s">
        <v>10</v>
      </c>
      <c r="B1073" s="3" t="s">
        <v>11</v>
      </c>
      <c r="C1073" s="4">
        <v>2026</v>
      </c>
      <c r="D1073" s="5" t="s">
        <v>12</v>
      </c>
      <c r="E1073" s="4">
        <v>151</v>
      </c>
      <c r="F1073" s="4" t="s">
        <v>1487</v>
      </c>
      <c r="G1073" s="4" t="s">
        <v>1488</v>
      </c>
      <c r="H1073" s="4" t="s">
        <v>15</v>
      </c>
      <c r="I1073" s="4" t="s">
        <v>1493</v>
      </c>
      <c r="J1073" s="4" t="s">
        <v>1494</v>
      </c>
      <c r="K1073" s="4" t="s">
        <v>188</v>
      </c>
      <c r="L1073" s="4" t="s">
        <v>3743</v>
      </c>
      <c r="M1073" s="4" t="s">
        <v>3746</v>
      </c>
      <c r="N1073" s="4" t="s">
        <v>3747</v>
      </c>
      <c r="O1073" s="17">
        <f>INDEX('список ID из СУЭ с должностями'!$A:$F,MATCH(E1073,'список ID из СУЭ с должностями'!$B:$B,0),5)</f>
        <v>0</v>
      </c>
    </row>
    <row r="1074" spans="1:15" ht="180">
      <c r="A1074" s="3" t="s">
        <v>10</v>
      </c>
      <c r="B1074" s="3" t="s">
        <v>11</v>
      </c>
      <c r="C1074" s="4">
        <v>2026</v>
      </c>
      <c r="D1074" s="5" t="s">
        <v>12</v>
      </c>
      <c r="E1074" s="4">
        <v>151</v>
      </c>
      <c r="F1074" s="4" t="s">
        <v>1487</v>
      </c>
      <c r="G1074" s="4" t="s">
        <v>1488</v>
      </c>
      <c r="H1074" s="4" t="s">
        <v>15</v>
      </c>
      <c r="I1074" s="4" t="s">
        <v>1495</v>
      </c>
      <c r="J1074" s="4" t="s">
        <v>1496</v>
      </c>
      <c r="K1074" s="4" t="s">
        <v>35</v>
      </c>
      <c r="L1074" s="4" t="s">
        <v>3743</v>
      </c>
      <c r="M1074" s="4" t="s">
        <v>3746</v>
      </c>
      <c r="N1074" s="4" t="s">
        <v>3747</v>
      </c>
      <c r="O1074" s="17">
        <f>INDEX('список ID из СУЭ с должностями'!$A:$F,MATCH(E1074,'список ID из СУЭ с должностями'!$B:$B,0),5)</f>
        <v>0</v>
      </c>
    </row>
    <row r="1075" spans="1:15" ht="105">
      <c r="A1075" s="3" t="s">
        <v>10</v>
      </c>
      <c r="B1075" s="3" t="s">
        <v>11</v>
      </c>
      <c r="C1075" s="4">
        <v>2026</v>
      </c>
      <c r="D1075" s="5" t="s">
        <v>12</v>
      </c>
      <c r="E1075" s="4">
        <v>151</v>
      </c>
      <c r="F1075" s="4" t="s">
        <v>1487</v>
      </c>
      <c r="G1075" s="4" t="s">
        <v>1488</v>
      </c>
      <c r="H1075" s="4" t="s">
        <v>21</v>
      </c>
      <c r="I1075" s="4" t="s">
        <v>1497</v>
      </c>
      <c r="J1075" s="4" t="s">
        <v>1498</v>
      </c>
      <c r="K1075" s="4" t="s">
        <v>35</v>
      </c>
      <c r="L1075" s="4" t="s">
        <v>3743</v>
      </c>
      <c r="M1075" s="4" t="s">
        <v>3746</v>
      </c>
      <c r="N1075" s="4" t="s">
        <v>3747</v>
      </c>
      <c r="O1075" s="17">
        <f>INDEX('список ID из СУЭ с должностями'!$A:$F,MATCH(E1075,'список ID из СУЭ с должностями'!$B:$B,0),5)</f>
        <v>0</v>
      </c>
    </row>
    <row r="1076" spans="1:15" ht="225">
      <c r="A1076" s="3" t="s">
        <v>10</v>
      </c>
      <c r="B1076" s="3" t="s">
        <v>11</v>
      </c>
      <c r="C1076" s="4">
        <v>2026</v>
      </c>
      <c r="D1076" s="5" t="s">
        <v>12</v>
      </c>
      <c r="E1076" s="4">
        <v>151</v>
      </c>
      <c r="F1076" s="4" t="s">
        <v>1487</v>
      </c>
      <c r="G1076" s="4" t="s">
        <v>1488</v>
      </c>
      <c r="H1076" s="4" t="s">
        <v>15</v>
      </c>
      <c r="I1076" s="4" t="s">
        <v>1499</v>
      </c>
      <c r="J1076" s="4" t="s">
        <v>1500</v>
      </c>
      <c r="K1076" s="4" t="s">
        <v>35</v>
      </c>
      <c r="L1076" s="4" t="s">
        <v>3743</v>
      </c>
      <c r="M1076" s="4" t="s">
        <v>3746</v>
      </c>
      <c r="N1076" s="4" t="s">
        <v>3747</v>
      </c>
      <c r="O1076" s="17">
        <f>INDEX('список ID из СУЭ с должностями'!$A:$F,MATCH(E1076,'список ID из СУЭ с должностями'!$B:$B,0),5)</f>
        <v>0</v>
      </c>
    </row>
    <row r="1077" spans="1:15" ht="135">
      <c r="A1077" s="3" t="s">
        <v>10</v>
      </c>
      <c r="B1077" s="3" t="s">
        <v>11</v>
      </c>
      <c r="C1077" s="4">
        <v>2026</v>
      </c>
      <c r="D1077" s="5" t="s">
        <v>12</v>
      </c>
      <c r="E1077" s="4">
        <v>151</v>
      </c>
      <c r="F1077" s="4" t="s">
        <v>1487</v>
      </c>
      <c r="G1077" s="4" t="s">
        <v>1488</v>
      </c>
      <c r="H1077" s="4" t="s">
        <v>15</v>
      </c>
      <c r="I1077" s="4" t="s">
        <v>1501</v>
      </c>
      <c r="J1077" s="4" t="s">
        <v>1502</v>
      </c>
      <c r="K1077" s="4" t="s">
        <v>188</v>
      </c>
      <c r="L1077" s="4" t="s">
        <v>3743</v>
      </c>
      <c r="M1077" s="4" t="s">
        <v>3746</v>
      </c>
      <c r="N1077" s="4" t="s">
        <v>3747</v>
      </c>
      <c r="O1077" s="17">
        <f>INDEX('список ID из СУЭ с должностями'!$A:$F,MATCH(E1077,'список ID из СУЭ с должностями'!$B:$B,0),5)</f>
        <v>0</v>
      </c>
    </row>
    <row r="1078" spans="1:15" ht="150">
      <c r="A1078" s="3" t="s">
        <v>10</v>
      </c>
      <c r="B1078" s="3" t="s">
        <v>11</v>
      </c>
      <c r="C1078" s="4">
        <v>2026</v>
      </c>
      <c r="D1078" s="5" t="s">
        <v>12</v>
      </c>
      <c r="E1078" s="4">
        <v>152</v>
      </c>
      <c r="F1078" s="4" t="s">
        <v>239</v>
      </c>
      <c r="G1078" s="4" t="s">
        <v>1503</v>
      </c>
      <c r="H1078" s="4" t="s">
        <v>41</v>
      </c>
      <c r="I1078" s="4" t="s">
        <v>42</v>
      </c>
      <c r="J1078" s="4" t="s">
        <v>43</v>
      </c>
      <c r="K1078" s="4" t="s">
        <v>25</v>
      </c>
      <c r="L1078" s="4" t="s">
        <v>3743</v>
      </c>
      <c r="M1078" s="4" t="s">
        <v>3746</v>
      </c>
      <c r="N1078" s="4" t="s">
        <v>3747</v>
      </c>
      <c r="O1078" s="17" t="str">
        <f>INDEX('список ID из СУЭ с должностями'!$A:$F,MATCH(E1078,'список ID из СУЭ с должностями'!$B:$B,0),5)</f>
        <v>ИПП</v>
      </c>
    </row>
    <row r="1079" spans="1:15" ht="60">
      <c r="A1079" s="3" t="s">
        <v>10</v>
      </c>
      <c r="B1079" s="3" t="s">
        <v>11</v>
      </c>
      <c r="C1079" s="4">
        <v>2026</v>
      </c>
      <c r="D1079" s="5" t="s">
        <v>12</v>
      </c>
      <c r="E1079" s="4">
        <v>152</v>
      </c>
      <c r="F1079" s="4" t="s">
        <v>239</v>
      </c>
      <c r="G1079" s="4" t="s">
        <v>1503</v>
      </c>
      <c r="H1079" s="4" t="s">
        <v>15</v>
      </c>
      <c r="I1079" s="4" t="s">
        <v>1398</v>
      </c>
      <c r="J1079" s="4" t="s">
        <v>1399</v>
      </c>
      <c r="K1079" s="4" t="s">
        <v>188</v>
      </c>
      <c r="L1079" s="4" t="s">
        <v>3743</v>
      </c>
      <c r="M1079" s="4" t="s">
        <v>3746</v>
      </c>
      <c r="N1079" s="4" t="s">
        <v>3747</v>
      </c>
      <c r="O1079" s="17" t="str">
        <f>INDEX('список ID из СУЭ с должностями'!$A:$F,MATCH(E1079,'список ID из СУЭ с должностями'!$B:$B,0),5)</f>
        <v>ИПП</v>
      </c>
    </row>
    <row r="1080" spans="1:15" ht="60">
      <c r="A1080" s="3" t="s">
        <v>10</v>
      </c>
      <c r="B1080" s="3" t="s">
        <v>11</v>
      </c>
      <c r="C1080" s="4">
        <v>2026</v>
      </c>
      <c r="D1080" s="5" t="s">
        <v>12</v>
      </c>
      <c r="E1080" s="4">
        <v>152</v>
      </c>
      <c r="F1080" s="4" t="s">
        <v>239</v>
      </c>
      <c r="G1080" s="4" t="s">
        <v>1503</v>
      </c>
      <c r="H1080" s="4" t="s">
        <v>15</v>
      </c>
      <c r="I1080" s="4" t="s">
        <v>1400</v>
      </c>
      <c r="J1080" s="4" t="s">
        <v>65</v>
      </c>
      <c r="K1080" s="4" t="s">
        <v>66</v>
      </c>
      <c r="L1080" s="4" t="s">
        <v>3742</v>
      </c>
      <c r="M1080" s="4" t="s">
        <v>3746</v>
      </c>
      <c r="N1080" s="4" t="s">
        <v>3747</v>
      </c>
      <c r="O1080" s="17" t="str">
        <f>INDEX('список ID из СУЭ с должностями'!$A:$F,MATCH(E1080,'список ID из СУЭ с должностями'!$B:$B,0),5)</f>
        <v>ИПП</v>
      </c>
    </row>
    <row r="1081" spans="1:15" ht="60">
      <c r="A1081" s="3" t="s">
        <v>10</v>
      </c>
      <c r="B1081" s="3" t="s">
        <v>11</v>
      </c>
      <c r="C1081" s="4">
        <v>2026</v>
      </c>
      <c r="D1081" s="5" t="s">
        <v>12</v>
      </c>
      <c r="E1081" s="4">
        <v>152</v>
      </c>
      <c r="F1081" s="4" t="s">
        <v>239</v>
      </c>
      <c r="G1081" s="4" t="s">
        <v>1503</v>
      </c>
      <c r="H1081" s="4" t="s">
        <v>15</v>
      </c>
      <c r="I1081" s="4" t="s">
        <v>1402</v>
      </c>
      <c r="J1081" s="4" t="s">
        <v>1403</v>
      </c>
      <c r="K1081" s="4" t="s">
        <v>35</v>
      </c>
      <c r="L1081" s="4" t="s">
        <v>3743</v>
      </c>
      <c r="M1081" s="4" t="s">
        <v>3746</v>
      </c>
      <c r="N1081" s="4" t="s">
        <v>3747</v>
      </c>
      <c r="O1081" s="17" t="str">
        <f>INDEX('список ID из СУЭ с должностями'!$A:$F,MATCH(E1081,'список ID из СУЭ с должностями'!$B:$B,0),5)</f>
        <v>ИПП</v>
      </c>
    </row>
    <row r="1082" spans="1:15" ht="60">
      <c r="A1082" s="3" t="s">
        <v>10</v>
      </c>
      <c r="B1082" s="3" t="s">
        <v>11</v>
      </c>
      <c r="C1082" s="4">
        <v>2026</v>
      </c>
      <c r="D1082" s="5" t="s">
        <v>12</v>
      </c>
      <c r="E1082" s="4">
        <v>152</v>
      </c>
      <c r="F1082" s="4" t="s">
        <v>239</v>
      </c>
      <c r="G1082" s="4" t="s">
        <v>1503</v>
      </c>
      <c r="H1082" s="4" t="s">
        <v>21</v>
      </c>
      <c r="I1082" s="4" t="s">
        <v>1404</v>
      </c>
      <c r="J1082" s="4" t="s">
        <v>1405</v>
      </c>
      <c r="K1082" s="4" t="s">
        <v>38</v>
      </c>
      <c r="L1082" s="4" t="s">
        <v>3743</v>
      </c>
      <c r="M1082" s="4" t="s">
        <v>3746</v>
      </c>
      <c r="N1082" s="4" t="s">
        <v>3747</v>
      </c>
      <c r="O1082" s="17" t="str">
        <f>INDEX('список ID из СУЭ с должностями'!$A:$F,MATCH(E1082,'список ID из СУЭ с должностями'!$B:$B,0),5)</f>
        <v>ИПП</v>
      </c>
    </row>
    <row r="1083" spans="1:15" ht="60">
      <c r="A1083" s="3" t="s">
        <v>10</v>
      </c>
      <c r="B1083" s="3" t="s">
        <v>11</v>
      </c>
      <c r="C1083" s="4">
        <v>2026</v>
      </c>
      <c r="D1083" s="5" t="s">
        <v>12</v>
      </c>
      <c r="E1083" s="4">
        <v>152</v>
      </c>
      <c r="F1083" s="4" t="s">
        <v>239</v>
      </c>
      <c r="G1083" s="4" t="s">
        <v>1503</v>
      </c>
      <c r="H1083" s="4" t="s">
        <v>15</v>
      </c>
      <c r="I1083" s="4" t="s">
        <v>1407</v>
      </c>
      <c r="J1083" s="4" t="s">
        <v>182</v>
      </c>
      <c r="K1083" s="4" t="s">
        <v>38</v>
      </c>
      <c r="L1083" s="4" t="s">
        <v>3742</v>
      </c>
      <c r="M1083" s="4" t="s">
        <v>3746</v>
      </c>
      <c r="N1083" s="4" t="s">
        <v>3747</v>
      </c>
      <c r="O1083" s="17" t="str">
        <f>INDEX('список ID из СУЭ с должностями'!$A:$F,MATCH(E1083,'список ID из СУЭ с должностями'!$B:$B,0),5)</f>
        <v>ИПП</v>
      </c>
    </row>
    <row r="1084" spans="1:15" ht="60">
      <c r="A1084" s="3" t="s">
        <v>10</v>
      </c>
      <c r="B1084" s="3" t="s">
        <v>11</v>
      </c>
      <c r="C1084" s="4">
        <v>2026</v>
      </c>
      <c r="D1084" s="5" t="s">
        <v>12</v>
      </c>
      <c r="E1084" s="4">
        <v>152</v>
      </c>
      <c r="F1084" s="4" t="s">
        <v>239</v>
      </c>
      <c r="G1084" s="4" t="s">
        <v>1503</v>
      </c>
      <c r="H1084" s="4" t="s">
        <v>15</v>
      </c>
      <c r="I1084" s="4" t="s">
        <v>1406</v>
      </c>
      <c r="J1084" s="4" t="s">
        <v>196</v>
      </c>
      <c r="K1084" s="4" t="s">
        <v>188</v>
      </c>
      <c r="L1084" s="4" t="s">
        <v>3742</v>
      </c>
      <c r="M1084" s="4" t="s">
        <v>3746</v>
      </c>
      <c r="N1084" s="4" t="s">
        <v>3747</v>
      </c>
      <c r="O1084" s="17" t="str">
        <f>INDEX('список ID из СУЭ с должностями'!$A:$F,MATCH(E1084,'список ID из СУЭ с должностями'!$B:$B,0),5)</f>
        <v>ИПП</v>
      </c>
    </row>
    <row r="1085" spans="1:15" ht="60">
      <c r="A1085" s="3" t="s">
        <v>10</v>
      </c>
      <c r="B1085" s="3" t="s">
        <v>11</v>
      </c>
      <c r="C1085" s="4">
        <v>2026</v>
      </c>
      <c r="D1085" s="5" t="s">
        <v>12</v>
      </c>
      <c r="E1085" s="4">
        <v>152</v>
      </c>
      <c r="F1085" s="4" t="s">
        <v>239</v>
      </c>
      <c r="G1085" s="4" t="s">
        <v>1503</v>
      </c>
      <c r="H1085" s="4" t="s">
        <v>15</v>
      </c>
      <c r="I1085" s="4" t="s">
        <v>1408</v>
      </c>
      <c r="J1085" s="4" t="s">
        <v>182</v>
      </c>
      <c r="K1085" s="4" t="s">
        <v>55</v>
      </c>
      <c r="L1085" s="4" t="s">
        <v>3742</v>
      </c>
      <c r="M1085" s="4" t="s">
        <v>3746</v>
      </c>
      <c r="N1085" s="4" t="s">
        <v>3747</v>
      </c>
      <c r="O1085" s="17" t="str">
        <f>INDEX('список ID из СУЭ с должностями'!$A:$F,MATCH(E1085,'список ID из СУЭ с должностями'!$B:$B,0),5)</f>
        <v>ИПП</v>
      </c>
    </row>
    <row r="1086" spans="1:15" ht="150">
      <c r="A1086" s="3" t="s">
        <v>10</v>
      </c>
      <c r="B1086" s="3" t="s">
        <v>11</v>
      </c>
      <c r="C1086" s="4">
        <v>2026</v>
      </c>
      <c r="D1086" s="5" t="s">
        <v>12</v>
      </c>
      <c r="E1086" s="4">
        <v>152</v>
      </c>
      <c r="F1086" s="4" t="s">
        <v>239</v>
      </c>
      <c r="G1086" s="4" t="s">
        <v>1503</v>
      </c>
      <c r="H1086" s="4" t="s">
        <v>21</v>
      </c>
      <c r="I1086" s="4" t="s">
        <v>829</v>
      </c>
      <c r="J1086" s="4" t="s">
        <v>1409</v>
      </c>
      <c r="K1086" s="4" t="s">
        <v>20</v>
      </c>
      <c r="L1086" s="4" t="s">
        <v>3743</v>
      </c>
      <c r="M1086" s="4" t="s">
        <v>3746</v>
      </c>
      <c r="N1086" s="4" t="s">
        <v>3747</v>
      </c>
      <c r="O1086" s="17" t="str">
        <f>INDEX('список ID из СУЭ с должностями'!$A:$F,MATCH(E1086,'список ID из СУЭ с должностями'!$B:$B,0),5)</f>
        <v>ИПП</v>
      </c>
    </row>
    <row r="1087" spans="1:15" ht="225">
      <c r="A1087" s="3" t="s">
        <v>10</v>
      </c>
      <c r="B1087" s="3" t="s">
        <v>11</v>
      </c>
      <c r="C1087" s="4">
        <v>2026</v>
      </c>
      <c r="D1087" s="5" t="s">
        <v>12</v>
      </c>
      <c r="E1087" s="4">
        <v>152</v>
      </c>
      <c r="F1087" s="4" t="s">
        <v>239</v>
      </c>
      <c r="G1087" s="4" t="s">
        <v>1503</v>
      </c>
      <c r="H1087" s="4" t="s">
        <v>15</v>
      </c>
      <c r="I1087" s="4" t="s">
        <v>48</v>
      </c>
      <c r="J1087" s="4" t="s">
        <v>1410</v>
      </c>
      <c r="K1087" s="4" t="s">
        <v>35</v>
      </c>
      <c r="L1087" s="4" t="s">
        <v>3743</v>
      </c>
      <c r="M1087" s="4" t="s">
        <v>3746</v>
      </c>
      <c r="N1087" s="4" t="s">
        <v>3747</v>
      </c>
      <c r="O1087" s="17" t="str">
        <f>INDEX('список ID из СУЭ с должностями'!$A:$F,MATCH(E1087,'список ID из СУЭ с должностями'!$B:$B,0),5)</f>
        <v>ИПП</v>
      </c>
    </row>
    <row r="1088" spans="1:15" ht="60">
      <c r="A1088" s="3" t="s">
        <v>10</v>
      </c>
      <c r="B1088" s="3" t="s">
        <v>2</v>
      </c>
      <c r="C1088" s="4">
        <v>2026</v>
      </c>
      <c r="D1088" s="5" t="s">
        <v>12</v>
      </c>
      <c r="E1088" s="4">
        <v>153</v>
      </c>
      <c r="F1088" s="4" t="s">
        <v>872</v>
      </c>
      <c r="G1088" s="4" t="s">
        <v>873</v>
      </c>
      <c r="H1088" s="4" t="s">
        <v>21</v>
      </c>
      <c r="I1088" s="4" t="s">
        <v>1505</v>
      </c>
      <c r="J1088" s="4" t="s">
        <v>1506</v>
      </c>
      <c r="K1088" s="4" t="s">
        <v>30</v>
      </c>
      <c r="L1088" s="4" t="s">
        <v>3742</v>
      </c>
      <c r="M1088" s="4" t="s">
        <v>3746</v>
      </c>
      <c r="N1088" s="4" t="s">
        <v>3747</v>
      </c>
      <c r="O1088" s="17">
        <f>INDEX('список ID из СУЭ с должностями'!$A:$F,MATCH(E1088,'список ID из СУЭ с должностями'!$B:$B,0),5)</f>
        <v>0</v>
      </c>
    </row>
    <row r="1089" spans="1:15" ht="75">
      <c r="A1089" s="3" t="s">
        <v>10</v>
      </c>
      <c r="B1089" s="3" t="s">
        <v>2</v>
      </c>
      <c r="C1089" s="4">
        <v>2026</v>
      </c>
      <c r="D1089" s="5" t="s">
        <v>12</v>
      </c>
      <c r="E1089" s="4">
        <v>153</v>
      </c>
      <c r="F1089" s="4" t="s">
        <v>872</v>
      </c>
      <c r="G1089" s="4" t="s">
        <v>873</v>
      </c>
      <c r="H1089" s="4" t="s">
        <v>15</v>
      </c>
      <c r="I1089" s="4" t="s">
        <v>201</v>
      </c>
      <c r="J1089" s="4" t="s">
        <v>1507</v>
      </c>
      <c r="K1089" s="4" t="s">
        <v>188</v>
      </c>
      <c r="L1089" s="4" t="s">
        <v>3743</v>
      </c>
      <c r="M1089" s="4" t="s">
        <v>3746</v>
      </c>
      <c r="N1089" s="4" t="s">
        <v>3747</v>
      </c>
      <c r="O1089" s="17">
        <f>INDEX('список ID из СУЭ с должностями'!$A:$F,MATCH(E1089,'список ID из СУЭ с должностями'!$B:$B,0),5)</f>
        <v>0</v>
      </c>
    </row>
    <row r="1090" spans="1:15" ht="180">
      <c r="A1090" s="3" t="s">
        <v>10</v>
      </c>
      <c r="B1090" s="3" t="s">
        <v>2</v>
      </c>
      <c r="C1090" s="4">
        <v>2026</v>
      </c>
      <c r="D1090" s="5" t="s">
        <v>12</v>
      </c>
      <c r="E1090" s="4">
        <v>153</v>
      </c>
      <c r="F1090" s="4" t="s">
        <v>872</v>
      </c>
      <c r="G1090" s="4" t="s">
        <v>873</v>
      </c>
      <c r="H1090" s="4" t="s">
        <v>21</v>
      </c>
      <c r="I1090" s="4" t="s">
        <v>1508</v>
      </c>
      <c r="J1090" s="4" t="s">
        <v>1509</v>
      </c>
      <c r="K1090" s="4" t="s">
        <v>38</v>
      </c>
      <c r="L1090" s="4" t="s">
        <v>3743</v>
      </c>
      <c r="M1090" s="4" t="s">
        <v>3746</v>
      </c>
      <c r="N1090" s="4" t="s">
        <v>3747</v>
      </c>
      <c r="O1090" s="17">
        <f>INDEX('список ID из СУЭ с должностями'!$A:$F,MATCH(E1090,'список ID из СУЭ с должностями'!$B:$B,0),5)</f>
        <v>0</v>
      </c>
    </row>
    <row r="1091" spans="1:15" ht="360">
      <c r="A1091" s="3" t="s">
        <v>10</v>
      </c>
      <c r="B1091" s="3" t="s">
        <v>2</v>
      </c>
      <c r="C1091" s="4">
        <v>2026</v>
      </c>
      <c r="D1091" s="5" t="s">
        <v>12</v>
      </c>
      <c r="E1091" s="4">
        <v>153</v>
      </c>
      <c r="F1091" s="4" t="s">
        <v>872</v>
      </c>
      <c r="G1091" s="4" t="s">
        <v>873</v>
      </c>
      <c r="H1091" s="4" t="s">
        <v>15</v>
      </c>
      <c r="I1091" s="4" t="s">
        <v>1368</v>
      </c>
      <c r="J1091" s="4" t="s">
        <v>1510</v>
      </c>
      <c r="K1091" s="4" t="s">
        <v>35</v>
      </c>
      <c r="L1091" s="4" t="s">
        <v>3743</v>
      </c>
      <c r="M1091" s="4" t="s">
        <v>3746</v>
      </c>
      <c r="N1091" s="4" t="s">
        <v>3747</v>
      </c>
      <c r="O1091" s="17">
        <f>INDEX('список ID из СУЭ с должностями'!$A:$F,MATCH(E1091,'список ID из СУЭ с должностями'!$B:$B,0),5)</f>
        <v>0</v>
      </c>
    </row>
    <row r="1092" spans="1:15" ht="90">
      <c r="A1092" s="3" t="s">
        <v>10</v>
      </c>
      <c r="B1092" s="3" t="s">
        <v>2</v>
      </c>
      <c r="C1092" s="4">
        <v>2026</v>
      </c>
      <c r="D1092" s="5" t="s">
        <v>12</v>
      </c>
      <c r="E1092" s="4">
        <v>153</v>
      </c>
      <c r="F1092" s="4" t="s">
        <v>872</v>
      </c>
      <c r="G1092" s="4" t="s">
        <v>873</v>
      </c>
      <c r="H1092" s="4" t="s">
        <v>41</v>
      </c>
      <c r="I1092" s="4" t="s">
        <v>1511</v>
      </c>
      <c r="J1092" s="4" t="s">
        <v>1512</v>
      </c>
      <c r="K1092" s="4" t="s">
        <v>52</v>
      </c>
      <c r="L1092" s="4" t="s">
        <v>3743</v>
      </c>
      <c r="M1092" s="4" t="s">
        <v>3746</v>
      </c>
      <c r="N1092" s="4" t="s">
        <v>3747</v>
      </c>
      <c r="O1092" s="17">
        <f>INDEX('список ID из СУЭ с должностями'!$A:$F,MATCH(E1092,'список ID из СУЭ с должностями'!$B:$B,0),5)</f>
        <v>0</v>
      </c>
    </row>
    <row r="1093" spans="1:15" ht="60">
      <c r="A1093" s="3" t="s">
        <v>10</v>
      </c>
      <c r="B1093" s="3" t="s">
        <v>2</v>
      </c>
      <c r="C1093" s="4">
        <v>2026</v>
      </c>
      <c r="D1093" s="5" t="s">
        <v>12</v>
      </c>
      <c r="E1093" s="4">
        <v>153</v>
      </c>
      <c r="F1093" s="4" t="s">
        <v>872</v>
      </c>
      <c r="G1093" s="4" t="s">
        <v>873</v>
      </c>
      <c r="H1093" s="4" t="s">
        <v>21</v>
      </c>
      <c r="I1093" s="4" t="s">
        <v>1513</v>
      </c>
      <c r="J1093" s="4" t="s">
        <v>1514</v>
      </c>
      <c r="K1093" s="4" t="s">
        <v>38</v>
      </c>
      <c r="L1093" s="4" t="s">
        <v>3743</v>
      </c>
      <c r="M1093" s="4" t="s">
        <v>3746</v>
      </c>
      <c r="N1093" s="4" t="s">
        <v>3747</v>
      </c>
      <c r="O1093" s="17">
        <f>INDEX('список ID из СУЭ с должностями'!$A:$F,MATCH(E1093,'список ID из СУЭ с должностями'!$B:$B,0),5)</f>
        <v>0</v>
      </c>
    </row>
    <row r="1094" spans="1:15" ht="300">
      <c r="A1094" s="3" t="s">
        <v>10</v>
      </c>
      <c r="B1094" s="3" t="s">
        <v>2</v>
      </c>
      <c r="C1094" s="4">
        <v>2026</v>
      </c>
      <c r="D1094" s="5" t="s">
        <v>12</v>
      </c>
      <c r="E1094" s="4">
        <v>153</v>
      </c>
      <c r="F1094" s="4" t="s">
        <v>872</v>
      </c>
      <c r="G1094" s="4" t="s">
        <v>873</v>
      </c>
      <c r="H1094" s="4" t="s">
        <v>21</v>
      </c>
      <c r="I1094" s="4" t="s">
        <v>1365</v>
      </c>
      <c r="J1094" s="4" t="s">
        <v>1515</v>
      </c>
      <c r="K1094" s="4" t="s">
        <v>25</v>
      </c>
      <c r="L1094" s="4" t="s">
        <v>3743</v>
      </c>
      <c r="M1094" s="4" t="s">
        <v>3746</v>
      </c>
      <c r="N1094" s="4" t="s">
        <v>3747</v>
      </c>
      <c r="O1094" s="17">
        <f>INDEX('список ID из СУЭ с должностями'!$A:$F,MATCH(E1094,'список ID из СУЭ с должностями'!$B:$B,0),5)</f>
        <v>0</v>
      </c>
    </row>
    <row r="1095" spans="1:15" ht="330">
      <c r="A1095" s="3" t="s">
        <v>10</v>
      </c>
      <c r="B1095" s="3" t="s">
        <v>2</v>
      </c>
      <c r="C1095" s="4">
        <v>2026</v>
      </c>
      <c r="D1095" s="5" t="s">
        <v>12</v>
      </c>
      <c r="E1095" s="4">
        <v>153</v>
      </c>
      <c r="F1095" s="4" t="s">
        <v>872</v>
      </c>
      <c r="G1095" s="4" t="s">
        <v>873</v>
      </c>
      <c r="H1095" s="4" t="s">
        <v>15</v>
      </c>
      <c r="I1095" s="4" t="s">
        <v>1374</v>
      </c>
      <c r="J1095" s="4" t="s">
        <v>1516</v>
      </c>
      <c r="K1095" s="4" t="s">
        <v>52</v>
      </c>
      <c r="L1095" s="4" t="s">
        <v>3743</v>
      </c>
      <c r="M1095" s="4" t="s">
        <v>3746</v>
      </c>
      <c r="N1095" s="4" t="s">
        <v>3747</v>
      </c>
      <c r="O1095" s="17">
        <f>INDEX('список ID из СУЭ с должностями'!$A:$F,MATCH(E1095,'список ID из СУЭ с должностями'!$B:$B,0),5)</f>
        <v>0</v>
      </c>
    </row>
    <row r="1096" spans="1:15" ht="150">
      <c r="A1096" s="3" t="s">
        <v>10</v>
      </c>
      <c r="B1096" s="3" t="s">
        <v>2</v>
      </c>
      <c r="C1096" s="4">
        <v>2026</v>
      </c>
      <c r="D1096" s="5" t="s">
        <v>12</v>
      </c>
      <c r="E1096" s="4">
        <v>153</v>
      </c>
      <c r="F1096" s="4" t="s">
        <v>872</v>
      </c>
      <c r="G1096" s="4" t="s">
        <v>873</v>
      </c>
      <c r="H1096" s="4" t="s">
        <v>41</v>
      </c>
      <c r="I1096" s="4" t="s">
        <v>1517</v>
      </c>
      <c r="J1096" s="4" t="s">
        <v>1518</v>
      </c>
      <c r="K1096" s="4" t="s">
        <v>1519</v>
      </c>
      <c r="L1096" s="4" t="s">
        <v>3743</v>
      </c>
      <c r="M1096" s="4" t="s">
        <v>3746</v>
      </c>
      <c r="N1096" s="4" t="s">
        <v>3768</v>
      </c>
      <c r="O1096" s="17">
        <f>INDEX('список ID из СУЭ с должностями'!$A:$F,MATCH(E1096,'список ID из СУЭ с должностями'!$B:$B,0),5)</f>
        <v>0</v>
      </c>
    </row>
    <row r="1097" spans="1:15" ht="60">
      <c r="A1097" s="3" t="s">
        <v>10</v>
      </c>
      <c r="B1097" s="3" t="s">
        <v>2</v>
      </c>
      <c r="C1097" s="4">
        <v>2026</v>
      </c>
      <c r="D1097" s="5" t="s">
        <v>12</v>
      </c>
      <c r="E1097" s="4">
        <v>153</v>
      </c>
      <c r="F1097" s="4" t="s">
        <v>872</v>
      </c>
      <c r="G1097" s="4" t="s">
        <v>873</v>
      </c>
      <c r="H1097" s="4" t="s">
        <v>21</v>
      </c>
      <c r="I1097" s="4" t="s">
        <v>1520</v>
      </c>
      <c r="J1097" s="4" t="s">
        <v>1521</v>
      </c>
      <c r="K1097" s="4" t="s">
        <v>30</v>
      </c>
      <c r="L1097" s="4" t="s">
        <v>3742</v>
      </c>
      <c r="M1097" s="4" t="s">
        <v>3746</v>
      </c>
      <c r="N1097" s="4" t="s">
        <v>3747</v>
      </c>
      <c r="O1097" s="17">
        <f>INDEX('список ID из СУЭ с должностями'!$A:$F,MATCH(E1097,'список ID из СУЭ с должностями'!$B:$B,0),5)</f>
        <v>0</v>
      </c>
    </row>
    <row r="1098" spans="1:15" ht="75">
      <c r="A1098" s="3" t="s">
        <v>10</v>
      </c>
      <c r="B1098" s="3" t="s">
        <v>11</v>
      </c>
      <c r="C1098" s="4">
        <v>2026</v>
      </c>
      <c r="D1098" s="5" t="s">
        <v>12</v>
      </c>
      <c r="E1098" s="4">
        <v>154</v>
      </c>
      <c r="F1098" s="4" t="s">
        <v>942</v>
      </c>
      <c r="G1098" s="4" t="s">
        <v>558</v>
      </c>
      <c r="H1098" s="4" t="s">
        <v>15</v>
      </c>
      <c r="I1098" s="4" t="s">
        <v>35</v>
      </c>
      <c r="J1098" s="4">
        <v>0</v>
      </c>
      <c r="K1098" s="4" t="s">
        <v>35</v>
      </c>
      <c r="L1098" s="4" t="s">
        <v>3743</v>
      </c>
      <c r="M1098" s="4" t="s">
        <v>3746</v>
      </c>
      <c r="N1098" s="4" t="s">
        <v>3747</v>
      </c>
      <c r="O1098" s="17">
        <f>INDEX('список ID из СУЭ с должностями'!$A:$F,MATCH(E1098,'список ID из СУЭ с должностями'!$B:$B,0),5)</f>
        <v>0</v>
      </c>
    </row>
    <row r="1099" spans="1:15" ht="75">
      <c r="A1099" s="3" t="s">
        <v>10</v>
      </c>
      <c r="B1099" s="3" t="s">
        <v>11</v>
      </c>
      <c r="C1099" s="4">
        <v>2026</v>
      </c>
      <c r="D1099" s="5" t="s">
        <v>12</v>
      </c>
      <c r="E1099" s="4">
        <v>154</v>
      </c>
      <c r="F1099" s="4" t="s">
        <v>942</v>
      </c>
      <c r="G1099" s="4" t="s">
        <v>558</v>
      </c>
      <c r="H1099" s="4" t="s">
        <v>15</v>
      </c>
      <c r="I1099" s="4" t="s">
        <v>188</v>
      </c>
      <c r="J1099" s="4">
        <v>0</v>
      </c>
      <c r="K1099" s="4" t="s">
        <v>188</v>
      </c>
      <c r="L1099" s="4" t="s">
        <v>3743</v>
      </c>
      <c r="M1099" s="4" t="s">
        <v>3746</v>
      </c>
      <c r="N1099" s="4" t="s">
        <v>3747</v>
      </c>
      <c r="O1099" s="17">
        <f>INDEX('список ID из СУЭ с должностями'!$A:$F,MATCH(E1099,'список ID из СУЭ с должностями'!$B:$B,0),5)</f>
        <v>0</v>
      </c>
    </row>
    <row r="1100" spans="1:15" ht="75">
      <c r="A1100" s="3" t="s">
        <v>10</v>
      </c>
      <c r="B1100" s="3" t="s">
        <v>11</v>
      </c>
      <c r="C1100" s="4">
        <v>2026</v>
      </c>
      <c r="D1100" s="5" t="s">
        <v>12</v>
      </c>
      <c r="E1100" s="4">
        <v>154</v>
      </c>
      <c r="F1100" s="4" t="s">
        <v>942</v>
      </c>
      <c r="G1100" s="4" t="s">
        <v>558</v>
      </c>
      <c r="H1100" s="4" t="s">
        <v>21</v>
      </c>
      <c r="I1100" s="4" t="s">
        <v>559</v>
      </c>
      <c r="J1100" s="4" t="s">
        <v>560</v>
      </c>
      <c r="K1100" s="4" t="s">
        <v>25</v>
      </c>
      <c r="L1100" s="4" t="s">
        <v>3743</v>
      </c>
      <c r="M1100" s="4" t="s">
        <v>3746</v>
      </c>
      <c r="N1100" s="4" t="s">
        <v>3747</v>
      </c>
      <c r="O1100" s="17">
        <f>INDEX('список ID из СУЭ с должностями'!$A:$F,MATCH(E1100,'список ID из СУЭ с должностями'!$B:$B,0),5)</f>
        <v>0</v>
      </c>
    </row>
    <row r="1101" spans="1:15" ht="75">
      <c r="A1101" s="3" t="s">
        <v>10</v>
      </c>
      <c r="B1101" s="3" t="s">
        <v>11</v>
      </c>
      <c r="C1101" s="4">
        <v>2026</v>
      </c>
      <c r="D1101" s="5" t="s">
        <v>12</v>
      </c>
      <c r="E1101" s="4">
        <v>154</v>
      </c>
      <c r="F1101" s="4" t="s">
        <v>942</v>
      </c>
      <c r="G1101" s="4" t="s">
        <v>558</v>
      </c>
      <c r="H1101" s="4" t="s">
        <v>21</v>
      </c>
      <c r="I1101" s="4" t="s">
        <v>1522</v>
      </c>
      <c r="J1101" s="4" t="s">
        <v>132</v>
      </c>
      <c r="K1101" s="4" t="s">
        <v>20</v>
      </c>
      <c r="L1101" s="4" t="s">
        <v>3742</v>
      </c>
      <c r="M1101" s="4" t="s">
        <v>3746</v>
      </c>
      <c r="N1101" s="4" t="s">
        <v>3747</v>
      </c>
      <c r="O1101" s="17">
        <f>INDEX('список ID из СУЭ с должностями'!$A:$F,MATCH(E1101,'список ID из СУЭ с должностями'!$B:$B,0),5)</f>
        <v>0</v>
      </c>
    </row>
    <row r="1102" spans="1:15" ht="90">
      <c r="A1102" s="3" t="s">
        <v>10</v>
      </c>
      <c r="B1102" s="3" t="s">
        <v>11</v>
      </c>
      <c r="C1102" s="4">
        <v>2026</v>
      </c>
      <c r="D1102" s="5" t="s">
        <v>12</v>
      </c>
      <c r="E1102" s="4">
        <v>154</v>
      </c>
      <c r="F1102" s="4" t="s">
        <v>942</v>
      </c>
      <c r="G1102" s="4" t="s">
        <v>558</v>
      </c>
      <c r="H1102" s="4" t="s">
        <v>41</v>
      </c>
      <c r="I1102" s="4" t="s">
        <v>949</v>
      </c>
      <c r="J1102" s="4" t="s">
        <v>950</v>
      </c>
      <c r="K1102" s="4" t="s">
        <v>230</v>
      </c>
      <c r="L1102" s="4" t="s">
        <v>3743</v>
      </c>
      <c r="M1102" s="4" t="s">
        <v>3746</v>
      </c>
      <c r="N1102" s="4" t="s">
        <v>3754</v>
      </c>
      <c r="O1102" s="17">
        <f>INDEX('список ID из СУЭ с должностями'!$A:$F,MATCH(E1102,'список ID из СУЭ с должностями'!$B:$B,0),5)</f>
        <v>0</v>
      </c>
    </row>
    <row r="1103" spans="1:15" ht="90">
      <c r="A1103" s="3" t="s">
        <v>10</v>
      </c>
      <c r="B1103" s="3" t="s">
        <v>11</v>
      </c>
      <c r="C1103" s="4">
        <v>2026</v>
      </c>
      <c r="D1103" s="5" t="s">
        <v>12</v>
      </c>
      <c r="E1103" s="4">
        <v>154</v>
      </c>
      <c r="F1103" s="4" t="s">
        <v>942</v>
      </c>
      <c r="G1103" s="4" t="s">
        <v>558</v>
      </c>
      <c r="H1103" s="4" t="s">
        <v>41</v>
      </c>
      <c r="I1103" s="4" t="s">
        <v>1523</v>
      </c>
      <c r="J1103" s="4" t="s">
        <v>1524</v>
      </c>
      <c r="K1103" s="4" t="s">
        <v>151</v>
      </c>
      <c r="L1103" s="4" t="s">
        <v>3743</v>
      </c>
      <c r="M1103" s="4" t="s">
        <v>3746</v>
      </c>
      <c r="N1103" s="4" t="s">
        <v>3747</v>
      </c>
      <c r="O1103" s="17">
        <f>INDEX('список ID из СУЭ с должностями'!$A:$F,MATCH(E1103,'список ID из СУЭ с должностями'!$B:$B,0),5)</f>
        <v>0</v>
      </c>
    </row>
    <row r="1104" spans="1:15" ht="180">
      <c r="A1104" s="3" t="s">
        <v>10</v>
      </c>
      <c r="B1104" s="3" t="s">
        <v>11</v>
      </c>
      <c r="C1104" s="4">
        <v>2026</v>
      </c>
      <c r="D1104" s="5" t="s">
        <v>12</v>
      </c>
      <c r="E1104" s="4">
        <v>155</v>
      </c>
      <c r="F1104" s="4" t="s">
        <v>1525</v>
      </c>
      <c r="G1104" s="4" t="s">
        <v>1451</v>
      </c>
      <c r="H1104" s="4" t="s">
        <v>21</v>
      </c>
      <c r="I1104" s="4" t="s">
        <v>999</v>
      </c>
      <c r="J1104" s="4" t="s">
        <v>1396</v>
      </c>
      <c r="K1104" s="4" t="s">
        <v>23</v>
      </c>
      <c r="L1104" s="4" t="s">
        <v>3743</v>
      </c>
      <c r="M1104" s="4" t="s">
        <v>3748</v>
      </c>
      <c r="N1104" s="4" t="s">
        <v>3752</v>
      </c>
      <c r="O1104" s="17">
        <f>INDEX('список ID из СУЭ с должностями'!$A:$F,MATCH(E1104,'список ID из СУЭ с должностями'!$B:$B,0),5)</f>
        <v>0</v>
      </c>
    </row>
    <row r="1105" spans="1:15" ht="60">
      <c r="A1105" s="3" t="s">
        <v>10</v>
      </c>
      <c r="B1105" s="3" t="s">
        <v>11</v>
      </c>
      <c r="C1105" s="4">
        <v>2026</v>
      </c>
      <c r="D1105" s="5" t="s">
        <v>12</v>
      </c>
      <c r="E1105" s="4">
        <v>155</v>
      </c>
      <c r="F1105" s="4" t="s">
        <v>1525</v>
      </c>
      <c r="G1105" s="4" t="s">
        <v>1451</v>
      </c>
      <c r="H1105" s="4" t="s">
        <v>21</v>
      </c>
      <c r="I1105" s="4" t="s">
        <v>1526</v>
      </c>
      <c r="J1105" s="4" t="s">
        <v>1527</v>
      </c>
      <c r="K1105" s="4" t="s">
        <v>1452</v>
      </c>
      <c r="L1105" s="4" t="s">
        <v>3743</v>
      </c>
      <c r="M1105" s="4" t="s">
        <v>3746</v>
      </c>
      <c r="N1105" s="4" t="s">
        <v>3767</v>
      </c>
      <c r="O1105" s="17">
        <f>INDEX('список ID из СУЭ с должностями'!$A:$F,MATCH(E1105,'список ID из СУЭ с должностями'!$B:$B,0),5)</f>
        <v>0</v>
      </c>
    </row>
    <row r="1106" spans="1:15" ht="75">
      <c r="A1106" s="3" t="s">
        <v>10</v>
      </c>
      <c r="B1106" s="3" t="s">
        <v>11</v>
      </c>
      <c r="C1106" s="4">
        <v>2026</v>
      </c>
      <c r="D1106" s="5" t="s">
        <v>12</v>
      </c>
      <c r="E1106" s="4">
        <v>155</v>
      </c>
      <c r="F1106" s="4" t="s">
        <v>1525</v>
      </c>
      <c r="G1106" s="4" t="s">
        <v>1451</v>
      </c>
      <c r="H1106" s="4" t="s">
        <v>41</v>
      </c>
      <c r="I1106" s="4" t="s">
        <v>1460</v>
      </c>
      <c r="J1106" s="4" t="s">
        <v>1528</v>
      </c>
      <c r="K1106" s="4" t="s">
        <v>23</v>
      </c>
      <c r="L1106" s="4" t="s">
        <v>3743</v>
      </c>
      <c r="M1106" s="4" t="s">
        <v>3748</v>
      </c>
      <c r="N1106" s="4" t="s">
        <v>3749</v>
      </c>
      <c r="O1106" s="17">
        <f>INDEX('список ID из СУЭ с должностями'!$A:$F,MATCH(E1106,'список ID из СУЭ с должностями'!$B:$B,0),5)</f>
        <v>0</v>
      </c>
    </row>
    <row r="1107" spans="1:15" ht="225">
      <c r="A1107" s="3" t="s">
        <v>10</v>
      </c>
      <c r="B1107" s="3" t="s">
        <v>11</v>
      </c>
      <c r="C1107" s="4">
        <v>2026</v>
      </c>
      <c r="D1107" s="5" t="s">
        <v>12</v>
      </c>
      <c r="E1107" s="4">
        <v>155</v>
      </c>
      <c r="F1107" s="4" t="s">
        <v>1525</v>
      </c>
      <c r="G1107" s="4" t="s">
        <v>1451</v>
      </c>
      <c r="H1107" s="4" t="s">
        <v>15</v>
      </c>
      <c r="I1107" s="4" t="s">
        <v>855</v>
      </c>
      <c r="J1107" s="4" t="s">
        <v>1529</v>
      </c>
      <c r="K1107" s="4" t="s">
        <v>1530</v>
      </c>
      <c r="L1107" s="4" t="s">
        <v>3743</v>
      </c>
      <c r="M1107" s="4" t="s">
        <v>3750</v>
      </c>
      <c r="N1107" s="4" t="s">
        <v>3769</v>
      </c>
      <c r="O1107" s="17">
        <f>INDEX('список ID из СУЭ с должностями'!$A:$F,MATCH(E1107,'список ID из СУЭ с должностями'!$B:$B,0),5)</f>
        <v>0</v>
      </c>
    </row>
    <row r="1108" spans="1:15" ht="285">
      <c r="A1108" s="3" t="s">
        <v>10</v>
      </c>
      <c r="B1108" s="3" t="s">
        <v>11</v>
      </c>
      <c r="C1108" s="4">
        <v>2026</v>
      </c>
      <c r="D1108" s="5" t="s">
        <v>12</v>
      </c>
      <c r="E1108" s="4">
        <v>155</v>
      </c>
      <c r="F1108" s="4" t="s">
        <v>1525</v>
      </c>
      <c r="G1108" s="4" t="s">
        <v>1451</v>
      </c>
      <c r="H1108" s="4" t="s">
        <v>21</v>
      </c>
      <c r="I1108" s="4" t="s">
        <v>1531</v>
      </c>
      <c r="J1108" s="4" t="s">
        <v>1532</v>
      </c>
      <c r="K1108" s="4" t="s">
        <v>1462</v>
      </c>
      <c r="L1108" s="4" t="s">
        <v>3743</v>
      </c>
      <c r="M1108" s="4" t="s">
        <v>3746</v>
      </c>
      <c r="N1108" s="4" t="s">
        <v>3767</v>
      </c>
      <c r="O1108" s="17">
        <f>INDEX('список ID из СУЭ с должностями'!$A:$F,MATCH(E1108,'список ID из СУЭ с должностями'!$B:$B,0),5)</f>
        <v>0</v>
      </c>
    </row>
    <row r="1109" spans="1:15" ht="180">
      <c r="A1109" s="3" t="s">
        <v>10</v>
      </c>
      <c r="B1109" s="3" t="s">
        <v>11</v>
      </c>
      <c r="C1109" s="4">
        <v>2026</v>
      </c>
      <c r="D1109" s="5" t="s">
        <v>12</v>
      </c>
      <c r="E1109" s="4">
        <v>155</v>
      </c>
      <c r="F1109" s="4" t="s">
        <v>1525</v>
      </c>
      <c r="G1109" s="4" t="s">
        <v>1451</v>
      </c>
      <c r="H1109" s="4" t="s">
        <v>15</v>
      </c>
      <c r="I1109" s="4" t="s">
        <v>1533</v>
      </c>
      <c r="J1109" s="4" t="s">
        <v>1534</v>
      </c>
      <c r="K1109" s="4" t="s">
        <v>1470</v>
      </c>
      <c r="L1109" s="4" t="s">
        <v>3743</v>
      </c>
      <c r="M1109" s="4" t="s">
        <v>3746</v>
      </c>
      <c r="N1109" s="4" t="s">
        <v>3767</v>
      </c>
      <c r="O1109" s="17">
        <f>INDEX('список ID из СУЭ с должностями'!$A:$F,MATCH(E1109,'список ID из СУЭ с должностями'!$B:$B,0),5)</f>
        <v>0</v>
      </c>
    </row>
    <row r="1110" spans="1:15" ht="105">
      <c r="A1110" s="3" t="s">
        <v>10</v>
      </c>
      <c r="B1110" s="3" t="s">
        <v>11</v>
      </c>
      <c r="C1110" s="4">
        <v>2026</v>
      </c>
      <c r="D1110" s="5" t="s">
        <v>12</v>
      </c>
      <c r="E1110" s="4">
        <v>155</v>
      </c>
      <c r="F1110" s="4" t="s">
        <v>1525</v>
      </c>
      <c r="G1110" s="4" t="s">
        <v>1451</v>
      </c>
      <c r="H1110" s="4" t="s">
        <v>21</v>
      </c>
      <c r="I1110" s="4" t="s">
        <v>1535</v>
      </c>
      <c r="J1110" s="4" t="s">
        <v>1536</v>
      </c>
      <c r="K1110" s="4" t="s">
        <v>1535</v>
      </c>
      <c r="L1110" s="4" t="s">
        <v>3743</v>
      </c>
      <c r="M1110" s="4" t="s">
        <v>3750</v>
      </c>
      <c r="N1110" s="4" t="s">
        <v>3769</v>
      </c>
      <c r="O1110" s="17">
        <f>INDEX('список ID из СУЭ с должностями'!$A:$F,MATCH(E1110,'список ID из СУЭ с должностями'!$B:$B,0),5)</f>
        <v>0</v>
      </c>
    </row>
    <row r="1111" spans="1:15" ht="60">
      <c r="A1111" s="3" t="s">
        <v>10</v>
      </c>
      <c r="B1111" s="3" t="s">
        <v>11</v>
      </c>
      <c r="C1111" s="4">
        <v>2026</v>
      </c>
      <c r="D1111" s="5" t="s">
        <v>12</v>
      </c>
      <c r="E1111" s="4">
        <v>155</v>
      </c>
      <c r="F1111" s="4" t="s">
        <v>1525</v>
      </c>
      <c r="G1111" s="4" t="s">
        <v>1451</v>
      </c>
      <c r="H1111" s="4" t="s">
        <v>21</v>
      </c>
      <c r="I1111" s="4" t="s">
        <v>1537</v>
      </c>
      <c r="J1111" s="4" t="s">
        <v>1538</v>
      </c>
      <c r="K1111" s="4" t="s">
        <v>1539</v>
      </c>
      <c r="L1111" s="4" t="s">
        <v>3743</v>
      </c>
      <c r="M1111" s="4" t="s">
        <v>3746</v>
      </c>
      <c r="N1111" s="4" t="s">
        <v>3767</v>
      </c>
      <c r="O1111" s="17">
        <f>INDEX('список ID из СУЭ с должностями'!$A:$F,MATCH(E1111,'список ID из СУЭ с должностями'!$B:$B,0),5)</f>
        <v>0</v>
      </c>
    </row>
    <row r="1112" spans="1:15" ht="150">
      <c r="A1112" s="3" t="s">
        <v>10</v>
      </c>
      <c r="B1112" s="3" t="s">
        <v>11</v>
      </c>
      <c r="C1112" s="4">
        <v>2026</v>
      </c>
      <c r="D1112" s="5" t="s">
        <v>12</v>
      </c>
      <c r="E1112" s="4">
        <v>156</v>
      </c>
      <c r="F1112" s="4" t="s">
        <v>67</v>
      </c>
      <c r="G1112" s="4" t="s">
        <v>1540</v>
      </c>
      <c r="H1112" s="4" t="s">
        <v>15</v>
      </c>
      <c r="I1112" s="4" t="s">
        <v>1541</v>
      </c>
      <c r="J1112" s="4" t="s">
        <v>1542</v>
      </c>
      <c r="K1112" s="4" t="s">
        <v>20</v>
      </c>
      <c r="L1112" s="4" t="s">
        <v>3743</v>
      </c>
      <c r="M1112" s="4" t="s">
        <v>3746</v>
      </c>
      <c r="N1112" s="4" t="s">
        <v>3747</v>
      </c>
      <c r="O1112" s="17">
        <f>INDEX('список ID из СУЭ с должностями'!$A:$F,MATCH(E1112,'список ID из СУЭ с должностями'!$B:$B,0),5)</f>
        <v>0</v>
      </c>
    </row>
    <row r="1113" spans="1:15" ht="75">
      <c r="A1113" s="3" t="s">
        <v>10</v>
      </c>
      <c r="B1113" s="3" t="s">
        <v>11</v>
      </c>
      <c r="C1113" s="4">
        <v>2026</v>
      </c>
      <c r="D1113" s="5" t="s">
        <v>12</v>
      </c>
      <c r="E1113" s="4">
        <v>156</v>
      </c>
      <c r="F1113" s="4" t="s">
        <v>67</v>
      </c>
      <c r="G1113" s="4" t="s">
        <v>1540</v>
      </c>
      <c r="H1113" s="4" t="s">
        <v>15</v>
      </c>
      <c r="I1113" s="4" t="s">
        <v>1544</v>
      </c>
      <c r="J1113" s="4" t="s">
        <v>1545</v>
      </c>
      <c r="K1113" s="4" t="s">
        <v>151</v>
      </c>
      <c r="L1113" s="4" t="s">
        <v>3743</v>
      </c>
      <c r="M1113" s="4" t="s">
        <v>3746</v>
      </c>
      <c r="N1113" s="4" t="s">
        <v>3747</v>
      </c>
      <c r="O1113" s="17">
        <f>INDEX('список ID из СУЭ с должностями'!$A:$F,MATCH(E1113,'список ID из СУЭ с должностями'!$B:$B,0),5)</f>
        <v>0</v>
      </c>
    </row>
    <row r="1114" spans="1:15" ht="90">
      <c r="A1114" s="3" t="s">
        <v>10</v>
      </c>
      <c r="B1114" s="3" t="s">
        <v>11</v>
      </c>
      <c r="C1114" s="4">
        <v>2026</v>
      </c>
      <c r="D1114" s="5" t="s">
        <v>12</v>
      </c>
      <c r="E1114" s="4">
        <v>156</v>
      </c>
      <c r="F1114" s="4" t="s">
        <v>67</v>
      </c>
      <c r="G1114" s="4" t="s">
        <v>1540</v>
      </c>
      <c r="H1114" s="4" t="s">
        <v>15</v>
      </c>
      <c r="I1114" s="4" t="s">
        <v>1546</v>
      </c>
      <c r="J1114" s="4" t="s">
        <v>1547</v>
      </c>
      <c r="K1114" s="4" t="s">
        <v>188</v>
      </c>
      <c r="L1114" s="4" t="s">
        <v>3743</v>
      </c>
      <c r="M1114" s="4" t="s">
        <v>3746</v>
      </c>
      <c r="N1114" s="4" t="s">
        <v>3747</v>
      </c>
      <c r="O1114" s="17">
        <f>INDEX('список ID из СУЭ с должностями'!$A:$F,MATCH(E1114,'список ID из СУЭ с должностями'!$B:$B,0),5)</f>
        <v>0</v>
      </c>
    </row>
    <row r="1115" spans="1:15" ht="150">
      <c r="A1115" s="3" t="s">
        <v>10</v>
      </c>
      <c r="B1115" s="3" t="s">
        <v>11</v>
      </c>
      <c r="C1115" s="4">
        <v>2026</v>
      </c>
      <c r="D1115" s="5" t="s">
        <v>12</v>
      </c>
      <c r="E1115" s="4">
        <v>156</v>
      </c>
      <c r="F1115" s="4" t="s">
        <v>67</v>
      </c>
      <c r="G1115" s="4" t="s">
        <v>1540</v>
      </c>
      <c r="H1115" s="4" t="s">
        <v>15</v>
      </c>
      <c r="I1115" s="4" t="s">
        <v>1548</v>
      </c>
      <c r="J1115" s="4" t="s">
        <v>1549</v>
      </c>
      <c r="K1115" s="4" t="s">
        <v>66</v>
      </c>
      <c r="L1115" s="4" t="s">
        <v>3743</v>
      </c>
      <c r="M1115" s="4" t="s">
        <v>3746</v>
      </c>
      <c r="N1115" s="4" t="s">
        <v>3747</v>
      </c>
      <c r="O1115" s="17">
        <f>INDEX('список ID из СУЭ с должностями'!$A:$F,MATCH(E1115,'список ID из СУЭ с должностями'!$B:$B,0),5)</f>
        <v>0</v>
      </c>
    </row>
    <row r="1116" spans="1:15" ht="120">
      <c r="A1116" s="3" t="s">
        <v>10</v>
      </c>
      <c r="B1116" s="3" t="s">
        <v>11</v>
      </c>
      <c r="C1116" s="4">
        <v>2026</v>
      </c>
      <c r="D1116" s="5" t="s">
        <v>12</v>
      </c>
      <c r="E1116" s="4">
        <v>156</v>
      </c>
      <c r="F1116" s="4" t="s">
        <v>67</v>
      </c>
      <c r="G1116" s="4" t="s">
        <v>1540</v>
      </c>
      <c r="H1116" s="4" t="s">
        <v>15</v>
      </c>
      <c r="I1116" s="4" t="s">
        <v>1550</v>
      </c>
      <c r="J1116" s="4" t="s">
        <v>1551</v>
      </c>
      <c r="K1116" s="4" t="s">
        <v>35</v>
      </c>
      <c r="L1116" s="4" t="s">
        <v>3743</v>
      </c>
      <c r="M1116" s="4" t="s">
        <v>3746</v>
      </c>
      <c r="N1116" s="4" t="s">
        <v>3747</v>
      </c>
      <c r="O1116" s="17">
        <f>INDEX('список ID из СУЭ с должностями'!$A:$F,MATCH(E1116,'список ID из СУЭ с должностями'!$B:$B,0),5)</f>
        <v>0</v>
      </c>
    </row>
    <row r="1117" spans="1:15" ht="165">
      <c r="A1117" s="3" t="s">
        <v>10</v>
      </c>
      <c r="B1117" s="3" t="s">
        <v>11</v>
      </c>
      <c r="C1117" s="4">
        <v>2026</v>
      </c>
      <c r="D1117" s="5" t="s">
        <v>12</v>
      </c>
      <c r="E1117" s="4">
        <v>156</v>
      </c>
      <c r="F1117" s="4" t="s">
        <v>67</v>
      </c>
      <c r="G1117" s="4" t="s">
        <v>1540</v>
      </c>
      <c r="H1117" s="4" t="s">
        <v>15</v>
      </c>
      <c r="I1117" s="4" t="s">
        <v>1552</v>
      </c>
      <c r="J1117" s="4" t="s">
        <v>1553</v>
      </c>
      <c r="K1117" s="4" t="s">
        <v>23</v>
      </c>
      <c r="L1117" s="4" t="s">
        <v>3743</v>
      </c>
      <c r="M1117" s="4" t="s">
        <v>3748</v>
      </c>
      <c r="N1117" s="4" t="s">
        <v>3752</v>
      </c>
      <c r="O1117" s="17">
        <f>INDEX('список ID из СУЭ с должностями'!$A:$F,MATCH(E1117,'список ID из СУЭ с должностями'!$B:$B,0),5)</f>
        <v>0</v>
      </c>
    </row>
    <row r="1118" spans="1:15" ht="90">
      <c r="A1118" s="3" t="s">
        <v>10</v>
      </c>
      <c r="B1118" s="3" t="s">
        <v>11</v>
      </c>
      <c r="C1118" s="4">
        <v>2026</v>
      </c>
      <c r="D1118" s="5" t="s">
        <v>12</v>
      </c>
      <c r="E1118" s="4">
        <v>157</v>
      </c>
      <c r="F1118" s="4" t="s">
        <v>385</v>
      </c>
      <c r="G1118" s="4" t="s">
        <v>1554</v>
      </c>
      <c r="H1118" s="4" t="s">
        <v>15</v>
      </c>
      <c r="I1118" s="4" t="s">
        <v>1555</v>
      </c>
      <c r="J1118" s="4" t="s">
        <v>1556</v>
      </c>
      <c r="K1118" s="4" t="s">
        <v>25</v>
      </c>
      <c r="L1118" s="4" t="s">
        <v>3743</v>
      </c>
      <c r="M1118" s="4" t="s">
        <v>3746</v>
      </c>
      <c r="N1118" s="4" t="s">
        <v>3747</v>
      </c>
      <c r="O1118" s="17">
        <f>INDEX('список ID из СУЭ с должностями'!$A:$F,MATCH(E1118,'список ID из СУЭ с должностями'!$B:$B,0),5)</f>
        <v>0</v>
      </c>
    </row>
    <row r="1119" spans="1:15" ht="150">
      <c r="A1119" s="3" t="s">
        <v>10</v>
      </c>
      <c r="B1119" s="3" t="s">
        <v>11</v>
      </c>
      <c r="C1119" s="4">
        <v>2026</v>
      </c>
      <c r="D1119" s="5" t="s">
        <v>12</v>
      </c>
      <c r="E1119" s="4">
        <v>157</v>
      </c>
      <c r="F1119" s="4" t="s">
        <v>385</v>
      </c>
      <c r="G1119" s="4" t="s">
        <v>1554</v>
      </c>
      <c r="H1119" s="4" t="s">
        <v>21</v>
      </c>
      <c r="I1119" s="4" t="s">
        <v>1558</v>
      </c>
      <c r="J1119" s="4" t="s">
        <v>1559</v>
      </c>
      <c r="K1119" s="4" t="s">
        <v>25</v>
      </c>
      <c r="L1119" s="4" t="s">
        <v>3743</v>
      </c>
      <c r="M1119" s="4" t="s">
        <v>3746</v>
      </c>
      <c r="N1119" s="4" t="s">
        <v>3747</v>
      </c>
      <c r="O1119" s="17">
        <f>INDEX('список ID из СУЭ с должностями'!$A:$F,MATCH(E1119,'список ID из СУЭ с должностями'!$B:$B,0),5)</f>
        <v>0</v>
      </c>
    </row>
    <row r="1120" spans="1:15" ht="60">
      <c r="A1120" s="3" t="s">
        <v>10</v>
      </c>
      <c r="B1120" s="3" t="s">
        <v>11</v>
      </c>
      <c r="C1120" s="4">
        <v>2026</v>
      </c>
      <c r="D1120" s="5" t="s">
        <v>12</v>
      </c>
      <c r="E1120" s="4">
        <v>157</v>
      </c>
      <c r="F1120" s="4" t="s">
        <v>385</v>
      </c>
      <c r="G1120" s="4" t="s">
        <v>1554</v>
      </c>
      <c r="H1120" s="4" t="s">
        <v>15</v>
      </c>
      <c r="I1120" s="4" t="s">
        <v>1560</v>
      </c>
      <c r="J1120" s="4" t="s">
        <v>182</v>
      </c>
      <c r="K1120" s="4" t="s">
        <v>66</v>
      </c>
      <c r="L1120" s="4" t="s">
        <v>3742</v>
      </c>
      <c r="M1120" s="4" t="s">
        <v>3746</v>
      </c>
      <c r="N1120" s="4" t="s">
        <v>3747</v>
      </c>
      <c r="O1120" s="17">
        <f>INDEX('список ID из СУЭ с должностями'!$A:$F,MATCH(E1120,'список ID из СУЭ с должностями'!$B:$B,0),5)</f>
        <v>0</v>
      </c>
    </row>
    <row r="1121" spans="1:15" ht="60">
      <c r="A1121" s="3" t="s">
        <v>10</v>
      </c>
      <c r="B1121" s="3" t="s">
        <v>11</v>
      </c>
      <c r="C1121" s="4">
        <v>2026</v>
      </c>
      <c r="D1121" s="5" t="s">
        <v>12</v>
      </c>
      <c r="E1121" s="4">
        <v>157</v>
      </c>
      <c r="F1121" s="4" t="s">
        <v>385</v>
      </c>
      <c r="G1121" s="4" t="s">
        <v>1554</v>
      </c>
      <c r="H1121" s="4" t="s">
        <v>21</v>
      </c>
      <c r="I1121" s="4" t="s">
        <v>1561</v>
      </c>
      <c r="J1121" s="4" t="s">
        <v>1562</v>
      </c>
      <c r="K1121" s="4" t="s">
        <v>151</v>
      </c>
      <c r="L1121" s="4" t="s">
        <v>3742</v>
      </c>
      <c r="M1121" s="4" t="s">
        <v>3746</v>
      </c>
      <c r="N1121" s="4" t="s">
        <v>3747</v>
      </c>
      <c r="O1121" s="17">
        <f>INDEX('список ID из СУЭ с должностями'!$A:$F,MATCH(E1121,'список ID из СУЭ с должностями'!$B:$B,0),5)</f>
        <v>0</v>
      </c>
    </row>
    <row r="1122" spans="1:15" ht="90">
      <c r="A1122" s="3" t="s">
        <v>10</v>
      </c>
      <c r="B1122" s="3" t="s">
        <v>11</v>
      </c>
      <c r="C1122" s="4">
        <v>2026</v>
      </c>
      <c r="D1122" s="5" t="s">
        <v>12</v>
      </c>
      <c r="E1122" s="4">
        <v>157</v>
      </c>
      <c r="F1122" s="4" t="s">
        <v>385</v>
      </c>
      <c r="G1122" s="4" t="s">
        <v>1554</v>
      </c>
      <c r="H1122" s="4" t="s">
        <v>15</v>
      </c>
      <c r="I1122" s="4" t="s">
        <v>1563</v>
      </c>
      <c r="J1122" s="4" t="s">
        <v>1564</v>
      </c>
      <c r="K1122" s="4" t="s">
        <v>55</v>
      </c>
      <c r="L1122" s="4" t="s">
        <v>3743</v>
      </c>
      <c r="M1122" s="4" t="s">
        <v>3746</v>
      </c>
      <c r="N1122" s="4" t="s">
        <v>3747</v>
      </c>
      <c r="O1122" s="17">
        <f>INDEX('список ID из СУЭ с должностями'!$A:$F,MATCH(E1122,'список ID из СУЭ с должностями'!$B:$B,0),5)</f>
        <v>0</v>
      </c>
    </row>
    <row r="1123" spans="1:15" ht="60">
      <c r="A1123" s="3" t="s">
        <v>10</v>
      </c>
      <c r="B1123" s="3" t="s">
        <v>11</v>
      </c>
      <c r="C1123" s="4">
        <v>2026</v>
      </c>
      <c r="D1123" s="5" t="s">
        <v>12</v>
      </c>
      <c r="E1123" s="4">
        <v>157</v>
      </c>
      <c r="F1123" s="4" t="s">
        <v>385</v>
      </c>
      <c r="G1123" s="4" t="s">
        <v>1554</v>
      </c>
      <c r="H1123" s="4" t="s">
        <v>41</v>
      </c>
      <c r="I1123" s="4" t="s">
        <v>401</v>
      </c>
      <c r="J1123" s="4" t="s">
        <v>402</v>
      </c>
      <c r="K1123" s="4" t="s">
        <v>66</v>
      </c>
      <c r="L1123" s="4" t="s">
        <v>3742</v>
      </c>
      <c r="M1123" s="4" t="s">
        <v>3746</v>
      </c>
      <c r="N1123" s="4" t="s">
        <v>3747</v>
      </c>
      <c r="O1123" s="17">
        <f>INDEX('список ID из СУЭ с должностями'!$A:$F,MATCH(E1123,'список ID из СУЭ с должностями'!$B:$B,0),5)</f>
        <v>0</v>
      </c>
    </row>
    <row r="1124" spans="1:15" ht="60">
      <c r="A1124" s="3" t="s">
        <v>10</v>
      </c>
      <c r="B1124" s="3" t="s">
        <v>11</v>
      </c>
      <c r="C1124" s="4">
        <v>2026</v>
      </c>
      <c r="D1124" s="5" t="s">
        <v>12</v>
      </c>
      <c r="E1124" s="4">
        <v>157</v>
      </c>
      <c r="F1124" s="4" t="s">
        <v>385</v>
      </c>
      <c r="G1124" s="4" t="s">
        <v>1554</v>
      </c>
      <c r="H1124" s="4" t="s">
        <v>15</v>
      </c>
      <c r="I1124" s="4" t="s">
        <v>956</v>
      </c>
      <c r="J1124" s="4" t="s">
        <v>957</v>
      </c>
      <c r="K1124" s="4" t="s">
        <v>35</v>
      </c>
      <c r="L1124" s="4" t="s">
        <v>3742</v>
      </c>
      <c r="M1124" s="4" t="s">
        <v>3746</v>
      </c>
      <c r="N1124" s="4" t="s">
        <v>3747</v>
      </c>
      <c r="O1124" s="17">
        <f>INDEX('список ID из СУЭ с должностями'!$A:$F,MATCH(E1124,'список ID из СУЭ с должностями'!$B:$B,0),5)</f>
        <v>0</v>
      </c>
    </row>
    <row r="1125" spans="1:15" ht="60">
      <c r="A1125" s="3" t="s">
        <v>10</v>
      </c>
      <c r="B1125" s="3" t="s">
        <v>11</v>
      </c>
      <c r="C1125" s="4">
        <v>2026</v>
      </c>
      <c r="D1125" s="5" t="s">
        <v>12</v>
      </c>
      <c r="E1125" s="4">
        <v>157</v>
      </c>
      <c r="F1125" s="4" t="s">
        <v>385</v>
      </c>
      <c r="G1125" s="4" t="s">
        <v>1554</v>
      </c>
      <c r="H1125" s="4" t="s">
        <v>15</v>
      </c>
      <c r="I1125" s="4" t="s">
        <v>1565</v>
      </c>
      <c r="J1125" s="4" t="s">
        <v>1566</v>
      </c>
      <c r="K1125" s="4" t="s">
        <v>188</v>
      </c>
      <c r="L1125" s="4" t="s">
        <v>3742</v>
      </c>
      <c r="M1125" s="4" t="s">
        <v>3746</v>
      </c>
      <c r="N1125" s="4" t="s">
        <v>3747</v>
      </c>
      <c r="O1125" s="17">
        <f>INDEX('список ID из СУЭ с должностями'!$A:$F,MATCH(E1125,'список ID из СУЭ с должностями'!$B:$B,0),5)</f>
        <v>0</v>
      </c>
    </row>
    <row r="1126" spans="1:15" ht="75">
      <c r="A1126" s="3" t="s">
        <v>10</v>
      </c>
      <c r="B1126" s="3" t="s">
        <v>11</v>
      </c>
      <c r="C1126" s="4">
        <v>2026</v>
      </c>
      <c r="D1126" s="5" t="s">
        <v>12</v>
      </c>
      <c r="E1126" s="4">
        <v>158</v>
      </c>
      <c r="F1126" s="4" t="s">
        <v>116</v>
      </c>
      <c r="G1126" s="4" t="s">
        <v>436</v>
      </c>
      <c r="H1126" s="4" t="s">
        <v>21</v>
      </c>
      <c r="I1126" s="4" t="s">
        <v>1567</v>
      </c>
      <c r="J1126" s="4" t="s">
        <v>1567</v>
      </c>
      <c r="K1126" s="4" t="s">
        <v>35</v>
      </c>
      <c r="L1126" s="4" t="s">
        <v>3743</v>
      </c>
      <c r="M1126" s="4" t="s">
        <v>3746</v>
      </c>
      <c r="N1126" s="4" t="s">
        <v>3747</v>
      </c>
      <c r="O1126" s="17">
        <f>INDEX('список ID из СУЭ с должностями'!$A:$F,MATCH(E1126,'список ID из СУЭ с должностями'!$B:$B,0),5)</f>
        <v>0</v>
      </c>
    </row>
    <row r="1127" spans="1:15" ht="240">
      <c r="A1127" s="3" t="s">
        <v>10</v>
      </c>
      <c r="B1127" s="3" t="s">
        <v>11</v>
      </c>
      <c r="C1127" s="4">
        <v>2026</v>
      </c>
      <c r="D1127" s="5" t="s">
        <v>12</v>
      </c>
      <c r="E1127" s="4">
        <v>158</v>
      </c>
      <c r="F1127" s="4" t="s">
        <v>116</v>
      </c>
      <c r="G1127" s="4" t="s">
        <v>436</v>
      </c>
      <c r="H1127" s="4" t="s">
        <v>15</v>
      </c>
      <c r="I1127" s="4" t="s">
        <v>800</v>
      </c>
      <c r="J1127" s="4" t="s">
        <v>1568</v>
      </c>
      <c r="K1127" s="4" t="s">
        <v>38</v>
      </c>
      <c r="L1127" s="4" t="s">
        <v>3743</v>
      </c>
      <c r="M1127" s="4" t="s">
        <v>3746</v>
      </c>
      <c r="N1127" s="4" t="s">
        <v>3747</v>
      </c>
      <c r="O1127" s="17">
        <f>INDEX('список ID из СУЭ с должностями'!$A:$F,MATCH(E1127,'список ID из СУЭ с должностями'!$B:$B,0),5)</f>
        <v>0</v>
      </c>
    </row>
    <row r="1128" spans="1:15" ht="75">
      <c r="A1128" s="3" t="s">
        <v>10</v>
      </c>
      <c r="B1128" s="3" t="s">
        <v>11</v>
      </c>
      <c r="C1128" s="4">
        <v>2026</v>
      </c>
      <c r="D1128" s="5" t="s">
        <v>12</v>
      </c>
      <c r="E1128" s="4">
        <v>158</v>
      </c>
      <c r="F1128" s="4" t="s">
        <v>116</v>
      </c>
      <c r="G1128" s="4" t="s">
        <v>436</v>
      </c>
      <c r="H1128" s="4" t="s">
        <v>15</v>
      </c>
      <c r="I1128" s="4" t="s">
        <v>1569</v>
      </c>
      <c r="J1128" s="4" t="s">
        <v>1570</v>
      </c>
      <c r="K1128" s="4" t="s">
        <v>66</v>
      </c>
      <c r="L1128" s="4" t="s">
        <v>3742</v>
      </c>
      <c r="M1128" s="4" t="s">
        <v>3746</v>
      </c>
      <c r="N1128" s="4" t="s">
        <v>3747</v>
      </c>
      <c r="O1128" s="17">
        <f>INDEX('список ID из СУЭ с должностями'!$A:$F,MATCH(E1128,'список ID из СУЭ с должностями'!$B:$B,0),5)</f>
        <v>0</v>
      </c>
    </row>
    <row r="1129" spans="1:15" ht="120">
      <c r="A1129" s="3" t="s">
        <v>10</v>
      </c>
      <c r="B1129" s="3" t="s">
        <v>11</v>
      </c>
      <c r="C1129" s="4">
        <v>2026</v>
      </c>
      <c r="D1129" s="5" t="s">
        <v>12</v>
      </c>
      <c r="E1129" s="4">
        <v>158</v>
      </c>
      <c r="F1129" s="4" t="s">
        <v>116</v>
      </c>
      <c r="G1129" s="4" t="s">
        <v>436</v>
      </c>
      <c r="H1129" s="4" t="s">
        <v>15</v>
      </c>
      <c r="I1129" s="4" t="s">
        <v>408</v>
      </c>
      <c r="J1129" s="4" t="s">
        <v>1571</v>
      </c>
      <c r="K1129" s="4" t="s">
        <v>35</v>
      </c>
      <c r="L1129" s="4" t="s">
        <v>3743</v>
      </c>
      <c r="M1129" s="4" t="s">
        <v>3746</v>
      </c>
      <c r="N1129" s="4" t="s">
        <v>3747</v>
      </c>
      <c r="O1129" s="17">
        <f>INDEX('список ID из СУЭ с должностями'!$A:$F,MATCH(E1129,'список ID из СУЭ с должностями'!$B:$B,0),5)</f>
        <v>0</v>
      </c>
    </row>
    <row r="1130" spans="1:15" ht="285">
      <c r="A1130" s="3" t="s">
        <v>10</v>
      </c>
      <c r="B1130" s="3" t="s">
        <v>11</v>
      </c>
      <c r="C1130" s="4">
        <v>2026</v>
      </c>
      <c r="D1130" s="5" t="s">
        <v>12</v>
      </c>
      <c r="E1130" s="4">
        <v>158</v>
      </c>
      <c r="F1130" s="4" t="s">
        <v>116</v>
      </c>
      <c r="G1130" s="4" t="s">
        <v>436</v>
      </c>
      <c r="H1130" s="4" t="s">
        <v>15</v>
      </c>
      <c r="I1130" s="4" t="s">
        <v>439</v>
      </c>
      <c r="J1130" s="4" t="s">
        <v>1572</v>
      </c>
      <c r="K1130" s="4" t="s">
        <v>52</v>
      </c>
      <c r="L1130" s="4" t="s">
        <v>3743</v>
      </c>
      <c r="M1130" s="4" t="s">
        <v>3746</v>
      </c>
      <c r="N1130" s="4" t="s">
        <v>3747</v>
      </c>
      <c r="O1130" s="17">
        <f>INDEX('список ID из СУЭ с должностями'!$A:$F,MATCH(E1130,'список ID из СУЭ с должностями'!$B:$B,0),5)</f>
        <v>0</v>
      </c>
    </row>
    <row r="1131" spans="1:15" ht="90">
      <c r="A1131" s="3" t="s">
        <v>10</v>
      </c>
      <c r="B1131" s="3" t="s">
        <v>11</v>
      </c>
      <c r="C1131" s="4">
        <v>2026</v>
      </c>
      <c r="D1131" s="5" t="s">
        <v>12</v>
      </c>
      <c r="E1131" s="4">
        <v>159</v>
      </c>
      <c r="F1131" s="4" t="s">
        <v>67</v>
      </c>
      <c r="G1131" s="4" t="s">
        <v>1269</v>
      </c>
      <c r="H1131" s="4" t="s">
        <v>41</v>
      </c>
      <c r="I1131" s="4" t="s">
        <v>806</v>
      </c>
      <c r="J1131" s="4" t="s">
        <v>1573</v>
      </c>
      <c r="K1131" s="4" t="s">
        <v>38</v>
      </c>
      <c r="L1131" s="4" t="s">
        <v>3743</v>
      </c>
      <c r="M1131" s="4" t="s">
        <v>3746</v>
      </c>
      <c r="N1131" s="4" t="s">
        <v>3747</v>
      </c>
      <c r="O1131" s="17">
        <f>INDEX('список ID из СУЭ с должностями'!$A:$F,MATCH(E1131,'список ID из СУЭ с должностями'!$B:$B,0),5)</f>
        <v>0</v>
      </c>
    </row>
    <row r="1132" spans="1:15" ht="90">
      <c r="A1132" s="3" t="s">
        <v>10</v>
      </c>
      <c r="B1132" s="3" t="s">
        <v>11</v>
      </c>
      <c r="C1132" s="4">
        <v>2026</v>
      </c>
      <c r="D1132" s="5" t="s">
        <v>12</v>
      </c>
      <c r="E1132" s="4">
        <v>159</v>
      </c>
      <c r="F1132" s="4" t="s">
        <v>67</v>
      </c>
      <c r="G1132" s="4" t="s">
        <v>1269</v>
      </c>
      <c r="H1132" s="4" t="s">
        <v>15</v>
      </c>
      <c r="I1132" s="4" t="s">
        <v>303</v>
      </c>
      <c r="J1132" s="4" t="s">
        <v>1574</v>
      </c>
      <c r="K1132" s="4" t="s">
        <v>25</v>
      </c>
      <c r="L1132" s="4" t="s">
        <v>3743</v>
      </c>
      <c r="M1132" s="4" t="s">
        <v>3746</v>
      </c>
      <c r="N1132" s="4" t="s">
        <v>3747</v>
      </c>
      <c r="O1132" s="17">
        <f>INDEX('список ID из СУЭ с должностями'!$A:$F,MATCH(E1132,'список ID из СУЭ с должностями'!$B:$B,0),5)</f>
        <v>0</v>
      </c>
    </row>
    <row r="1133" spans="1:15" ht="255">
      <c r="A1133" s="3" t="s">
        <v>10</v>
      </c>
      <c r="B1133" s="3" t="s">
        <v>11</v>
      </c>
      <c r="C1133" s="4">
        <v>2026</v>
      </c>
      <c r="D1133" s="5" t="s">
        <v>12</v>
      </c>
      <c r="E1133" s="4">
        <v>159</v>
      </c>
      <c r="F1133" s="4" t="s">
        <v>67</v>
      </c>
      <c r="G1133" s="4" t="s">
        <v>1269</v>
      </c>
      <c r="H1133" s="4" t="s">
        <v>15</v>
      </c>
      <c r="I1133" s="4" t="s">
        <v>1575</v>
      </c>
      <c r="J1133" s="4" t="s">
        <v>1576</v>
      </c>
      <c r="K1133" s="4" t="s">
        <v>35</v>
      </c>
      <c r="L1133" s="4" t="s">
        <v>3743</v>
      </c>
      <c r="M1133" s="4" t="s">
        <v>3746</v>
      </c>
      <c r="N1133" s="4" t="s">
        <v>3747</v>
      </c>
      <c r="O1133" s="17">
        <f>INDEX('список ID из СУЭ с должностями'!$A:$F,MATCH(E1133,'список ID из СУЭ с должностями'!$B:$B,0),5)</f>
        <v>0</v>
      </c>
    </row>
    <row r="1134" spans="1:15" ht="270">
      <c r="A1134" s="3" t="s">
        <v>10</v>
      </c>
      <c r="B1134" s="3" t="s">
        <v>11</v>
      </c>
      <c r="C1134" s="4">
        <v>2026</v>
      </c>
      <c r="D1134" s="5" t="s">
        <v>12</v>
      </c>
      <c r="E1134" s="4">
        <v>159</v>
      </c>
      <c r="F1134" s="4" t="s">
        <v>67</v>
      </c>
      <c r="G1134" s="4" t="s">
        <v>1269</v>
      </c>
      <c r="H1134" s="4" t="s">
        <v>15</v>
      </c>
      <c r="I1134" s="4" t="s">
        <v>1577</v>
      </c>
      <c r="J1134" s="4" t="s">
        <v>1578</v>
      </c>
      <c r="K1134" s="4" t="s">
        <v>52</v>
      </c>
      <c r="L1134" s="4" t="s">
        <v>3743</v>
      </c>
      <c r="M1134" s="4" t="s">
        <v>3746</v>
      </c>
      <c r="N1134" s="4" t="s">
        <v>3747</v>
      </c>
      <c r="O1134" s="17">
        <f>INDEX('список ID из СУЭ с должностями'!$A:$F,MATCH(E1134,'список ID из СУЭ с должностями'!$B:$B,0),5)</f>
        <v>0</v>
      </c>
    </row>
    <row r="1135" spans="1:15" ht="90">
      <c r="A1135" s="3" t="s">
        <v>10</v>
      </c>
      <c r="B1135" s="3" t="s">
        <v>11</v>
      </c>
      <c r="C1135" s="4">
        <v>2026</v>
      </c>
      <c r="D1135" s="5" t="s">
        <v>12</v>
      </c>
      <c r="E1135" s="4">
        <v>160</v>
      </c>
      <c r="F1135" s="4" t="s">
        <v>766</v>
      </c>
      <c r="G1135" s="4" t="s">
        <v>725</v>
      </c>
      <c r="H1135" s="4" t="s">
        <v>15</v>
      </c>
      <c r="I1135" s="4" t="s">
        <v>767</v>
      </c>
      <c r="J1135" s="4" t="s">
        <v>196</v>
      </c>
      <c r="K1135" s="4" t="s">
        <v>30</v>
      </c>
      <c r="L1135" s="4" t="s">
        <v>3742</v>
      </c>
      <c r="M1135" s="4" t="s">
        <v>3746</v>
      </c>
      <c r="N1135" s="4" t="s">
        <v>3747</v>
      </c>
      <c r="O1135" s="17">
        <f>INDEX('список ID из СУЭ с должностями'!$A:$F,MATCH(E1135,'список ID из СУЭ с должностями'!$B:$B,0),5)</f>
        <v>0</v>
      </c>
    </row>
    <row r="1136" spans="1:15" ht="90">
      <c r="A1136" s="3" t="s">
        <v>10</v>
      </c>
      <c r="B1136" s="3" t="s">
        <v>11</v>
      </c>
      <c r="C1136" s="4">
        <v>2026</v>
      </c>
      <c r="D1136" s="5" t="s">
        <v>12</v>
      </c>
      <c r="E1136" s="4">
        <v>160</v>
      </c>
      <c r="F1136" s="4" t="s">
        <v>766</v>
      </c>
      <c r="G1136" s="4" t="s">
        <v>725</v>
      </c>
      <c r="H1136" s="4" t="s">
        <v>15</v>
      </c>
      <c r="I1136" s="4" t="s">
        <v>768</v>
      </c>
      <c r="J1136" s="4" t="s">
        <v>182</v>
      </c>
      <c r="K1136" s="4" t="s">
        <v>30</v>
      </c>
      <c r="L1136" s="4" t="s">
        <v>3742</v>
      </c>
      <c r="M1136" s="4" t="s">
        <v>3746</v>
      </c>
      <c r="N1136" s="4" t="s">
        <v>3747</v>
      </c>
      <c r="O1136" s="17">
        <f>INDEX('список ID из СУЭ с должностями'!$A:$F,MATCH(E1136,'список ID из СУЭ с должностями'!$B:$B,0),5)</f>
        <v>0</v>
      </c>
    </row>
    <row r="1137" spans="1:15" ht="90">
      <c r="A1137" s="3" t="s">
        <v>10</v>
      </c>
      <c r="B1137" s="3" t="s">
        <v>11</v>
      </c>
      <c r="C1137" s="4">
        <v>2026</v>
      </c>
      <c r="D1137" s="5" t="s">
        <v>12</v>
      </c>
      <c r="E1137" s="4">
        <v>160</v>
      </c>
      <c r="F1137" s="4" t="s">
        <v>766</v>
      </c>
      <c r="G1137" s="4" t="s">
        <v>725</v>
      </c>
      <c r="H1137" s="4" t="s">
        <v>15</v>
      </c>
      <c r="I1137" s="4" t="s">
        <v>769</v>
      </c>
      <c r="J1137" s="4" t="s">
        <v>182</v>
      </c>
      <c r="K1137" s="4" t="s">
        <v>30</v>
      </c>
      <c r="L1137" s="4" t="s">
        <v>3742</v>
      </c>
      <c r="M1137" s="4" t="s">
        <v>3746</v>
      </c>
      <c r="N1137" s="4" t="s">
        <v>3747</v>
      </c>
      <c r="O1137" s="17">
        <f>INDEX('список ID из СУЭ с должностями'!$A:$F,MATCH(E1137,'список ID из СУЭ с должностями'!$B:$B,0),5)</f>
        <v>0</v>
      </c>
    </row>
    <row r="1138" spans="1:15" ht="90">
      <c r="A1138" s="3" t="s">
        <v>10</v>
      </c>
      <c r="B1138" s="3" t="s">
        <v>11</v>
      </c>
      <c r="C1138" s="4">
        <v>2026</v>
      </c>
      <c r="D1138" s="5" t="s">
        <v>12</v>
      </c>
      <c r="E1138" s="4">
        <v>160</v>
      </c>
      <c r="F1138" s="4" t="s">
        <v>766</v>
      </c>
      <c r="G1138" s="4" t="s">
        <v>725</v>
      </c>
      <c r="H1138" s="4" t="s">
        <v>15</v>
      </c>
      <c r="I1138" s="4" t="s">
        <v>770</v>
      </c>
      <c r="J1138" s="4" t="s">
        <v>771</v>
      </c>
      <c r="K1138" s="4" t="s">
        <v>35</v>
      </c>
      <c r="L1138" s="4" t="s">
        <v>3742</v>
      </c>
      <c r="M1138" s="4" t="s">
        <v>3746</v>
      </c>
      <c r="N1138" s="4" t="s">
        <v>3747</v>
      </c>
      <c r="O1138" s="17">
        <f>INDEX('список ID из СУЭ с должностями'!$A:$F,MATCH(E1138,'список ID из СУЭ с должностями'!$B:$B,0),5)</f>
        <v>0</v>
      </c>
    </row>
    <row r="1139" spans="1:15" ht="105">
      <c r="A1139" s="3" t="s">
        <v>10</v>
      </c>
      <c r="B1139" s="3" t="s">
        <v>11</v>
      </c>
      <c r="C1139" s="4">
        <v>2026</v>
      </c>
      <c r="D1139" s="5" t="s">
        <v>12</v>
      </c>
      <c r="E1139" s="4">
        <v>160</v>
      </c>
      <c r="F1139" s="4" t="s">
        <v>766</v>
      </c>
      <c r="G1139" s="4" t="s">
        <v>725</v>
      </c>
      <c r="H1139" s="4" t="s">
        <v>15</v>
      </c>
      <c r="I1139" s="4" t="s">
        <v>772</v>
      </c>
      <c r="J1139" s="4" t="s">
        <v>773</v>
      </c>
      <c r="K1139" s="4" t="s">
        <v>30</v>
      </c>
      <c r="L1139" s="4" t="s">
        <v>3743</v>
      </c>
      <c r="M1139" s="4" t="s">
        <v>3746</v>
      </c>
      <c r="N1139" s="4" t="s">
        <v>3747</v>
      </c>
      <c r="O1139" s="17">
        <f>INDEX('список ID из СУЭ с должностями'!$A:$F,MATCH(E1139,'список ID из СУЭ с должностями'!$B:$B,0),5)</f>
        <v>0</v>
      </c>
    </row>
    <row r="1140" spans="1:15" ht="90">
      <c r="A1140" s="3" t="s">
        <v>10</v>
      </c>
      <c r="B1140" s="3" t="s">
        <v>11</v>
      </c>
      <c r="C1140" s="4">
        <v>2026</v>
      </c>
      <c r="D1140" s="5" t="s">
        <v>12</v>
      </c>
      <c r="E1140" s="4">
        <v>160</v>
      </c>
      <c r="F1140" s="4" t="s">
        <v>766</v>
      </c>
      <c r="G1140" s="4" t="s">
        <v>725</v>
      </c>
      <c r="H1140" s="4" t="s">
        <v>15</v>
      </c>
      <c r="I1140" s="4" t="s">
        <v>774</v>
      </c>
      <c r="J1140" s="4" t="s">
        <v>182</v>
      </c>
      <c r="K1140" s="4" t="s">
        <v>30</v>
      </c>
      <c r="L1140" s="4" t="s">
        <v>3742</v>
      </c>
      <c r="M1140" s="4" t="s">
        <v>3746</v>
      </c>
      <c r="N1140" s="4" t="s">
        <v>3747</v>
      </c>
      <c r="O1140" s="17">
        <f>INDEX('список ID из СУЭ с должностями'!$A:$F,MATCH(E1140,'список ID из СУЭ с должностями'!$B:$B,0),5)</f>
        <v>0</v>
      </c>
    </row>
    <row r="1141" spans="1:15" ht="90">
      <c r="A1141" s="3" t="s">
        <v>10</v>
      </c>
      <c r="B1141" s="3" t="s">
        <v>11</v>
      </c>
      <c r="C1141" s="4">
        <v>2026</v>
      </c>
      <c r="D1141" s="5" t="s">
        <v>12</v>
      </c>
      <c r="E1141" s="4">
        <v>160</v>
      </c>
      <c r="F1141" s="4" t="s">
        <v>766</v>
      </c>
      <c r="G1141" s="4" t="s">
        <v>725</v>
      </c>
      <c r="H1141" s="4" t="s">
        <v>15</v>
      </c>
      <c r="I1141" s="4" t="s">
        <v>775</v>
      </c>
      <c r="J1141" s="4" t="s">
        <v>776</v>
      </c>
      <c r="K1141" s="4" t="s">
        <v>30</v>
      </c>
      <c r="L1141" s="4" t="s">
        <v>3743</v>
      </c>
      <c r="M1141" s="4" t="s">
        <v>3746</v>
      </c>
      <c r="N1141" s="4" t="s">
        <v>3747</v>
      </c>
      <c r="O1141" s="17">
        <f>INDEX('список ID из СУЭ с должностями'!$A:$F,MATCH(E1141,'список ID из СУЭ с должностями'!$B:$B,0),5)</f>
        <v>0</v>
      </c>
    </row>
    <row r="1142" spans="1:15" ht="90">
      <c r="A1142" s="3" t="s">
        <v>10</v>
      </c>
      <c r="B1142" s="3" t="s">
        <v>11</v>
      </c>
      <c r="C1142" s="4">
        <v>2026</v>
      </c>
      <c r="D1142" s="5" t="s">
        <v>12</v>
      </c>
      <c r="E1142" s="4">
        <v>160</v>
      </c>
      <c r="F1142" s="4" t="s">
        <v>766</v>
      </c>
      <c r="G1142" s="4" t="s">
        <v>725</v>
      </c>
      <c r="H1142" s="4" t="s">
        <v>15</v>
      </c>
      <c r="I1142" s="4" t="s">
        <v>777</v>
      </c>
      <c r="J1142" s="4" t="s">
        <v>132</v>
      </c>
      <c r="K1142" s="4" t="s">
        <v>30</v>
      </c>
      <c r="L1142" s="4" t="s">
        <v>3742</v>
      </c>
      <c r="M1142" s="4" t="s">
        <v>3746</v>
      </c>
      <c r="N1142" s="4" t="s">
        <v>3747</v>
      </c>
      <c r="O1142" s="17">
        <f>INDEX('список ID из СУЭ с должностями'!$A:$F,MATCH(E1142,'список ID из СУЭ с должностями'!$B:$B,0),5)</f>
        <v>0</v>
      </c>
    </row>
    <row r="1143" spans="1:15" ht="90">
      <c r="A1143" s="3" t="s">
        <v>10</v>
      </c>
      <c r="B1143" s="3" t="s">
        <v>11</v>
      </c>
      <c r="C1143" s="4">
        <v>2026</v>
      </c>
      <c r="D1143" s="5" t="s">
        <v>12</v>
      </c>
      <c r="E1143" s="4">
        <v>160</v>
      </c>
      <c r="F1143" s="4" t="s">
        <v>766</v>
      </c>
      <c r="G1143" s="4" t="s">
        <v>725</v>
      </c>
      <c r="H1143" s="4" t="s">
        <v>15</v>
      </c>
      <c r="I1143" s="4" t="s">
        <v>778</v>
      </c>
      <c r="J1143" s="4" t="s">
        <v>132</v>
      </c>
      <c r="K1143" s="4" t="s">
        <v>30</v>
      </c>
      <c r="L1143" s="4" t="s">
        <v>3742</v>
      </c>
      <c r="M1143" s="4" t="s">
        <v>3746</v>
      </c>
      <c r="N1143" s="4" t="s">
        <v>3747</v>
      </c>
      <c r="O1143" s="17">
        <f>INDEX('список ID из СУЭ с должностями'!$A:$F,MATCH(E1143,'список ID из СУЭ с должностями'!$B:$B,0),5)</f>
        <v>0</v>
      </c>
    </row>
    <row r="1144" spans="1:15" ht="90">
      <c r="A1144" s="3" t="s">
        <v>10</v>
      </c>
      <c r="B1144" s="3" t="s">
        <v>11</v>
      </c>
      <c r="C1144" s="4">
        <v>2026</v>
      </c>
      <c r="D1144" s="5" t="s">
        <v>12</v>
      </c>
      <c r="E1144" s="4">
        <v>160</v>
      </c>
      <c r="F1144" s="4" t="s">
        <v>766</v>
      </c>
      <c r="G1144" s="4" t="s">
        <v>725</v>
      </c>
      <c r="H1144" s="4" t="s">
        <v>21</v>
      </c>
      <c r="I1144" s="4" t="s">
        <v>779</v>
      </c>
      <c r="J1144" s="4" t="s">
        <v>132</v>
      </c>
      <c r="K1144" s="4" t="s">
        <v>25</v>
      </c>
      <c r="L1144" s="4" t="s">
        <v>3742</v>
      </c>
      <c r="M1144" s="4" t="s">
        <v>3746</v>
      </c>
      <c r="N1144" s="4" t="s">
        <v>3747</v>
      </c>
      <c r="O1144" s="17">
        <f>INDEX('список ID из СУЭ с должностями'!$A:$F,MATCH(E1144,'список ID из СУЭ с должностями'!$B:$B,0),5)</f>
        <v>0</v>
      </c>
    </row>
    <row r="1145" spans="1:15" ht="45">
      <c r="A1145" s="3" t="s">
        <v>10</v>
      </c>
      <c r="B1145" s="3" t="s">
        <v>11</v>
      </c>
      <c r="C1145" s="4">
        <v>2026</v>
      </c>
      <c r="D1145" s="5" t="s">
        <v>12</v>
      </c>
      <c r="E1145" s="4">
        <v>161</v>
      </c>
      <c r="F1145" s="4" t="s">
        <v>39</v>
      </c>
      <c r="G1145" s="4" t="s">
        <v>981</v>
      </c>
      <c r="H1145" s="4" t="s">
        <v>15</v>
      </c>
      <c r="I1145" s="4" t="s">
        <v>1579</v>
      </c>
      <c r="J1145" s="4" t="s">
        <v>61</v>
      </c>
      <c r="K1145" s="4" t="s">
        <v>23</v>
      </c>
      <c r="L1145" s="4" t="s">
        <v>3742</v>
      </c>
      <c r="M1145" s="4" t="s">
        <v>3748</v>
      </c>
      <c r="N1145" s="4" t="s">
        <v>3752</v>
      </c>
      <c r="O1145" s="17" t="str">
        <f>INDEX('список ID из СУЭ с должностями'!$A:$F,MATCH(E1145,'список ID из СУЭ с должностями'!$B:$B,0),5)</f>
        <v>НС</v>
      </c>
    </row>
    <row r="1146" spans="1:15" ht="150">
      <c r="A1146" s="3" t="s">
        <v>10</v>
      </c>
      <c r="B1146" s="3" t="s">
        <v>11</v>
      </c>
      <c r="C1146" s="4">
        <v>2026</v>
      </c>
      <c r="D1146" s="5" t="s">
        <v>12</v>
      </c>
      <c r="E1146" s="4">
        <v>161</v>
      </c>
      <c r="F1146" s="4" t="s">
        <v>39</v>
      </c>
      <c r="G1146" s="4" t="s">
        <v>981</v>
      </c>
      <c r="H1146" s="4" t="s">
        <v>41</v>
      </c>
      <c r="I1146" s="4" t="s">
        <v>42</v>
      </c>
      <c r="J1146" s="4" t="s">
        <v>43</v>
      </c>
      <c r="K1146" s="4" t="s">
        <v>25</v>
      </c>
      <c r="L1146" s="4" t="s">
        <v>3743</v>
      </c>
      <c r="M1146" s="4" t="s">
        <v>3746</v>
      </c>
      <c r="N1146" s="4" t="s">
        <v>3747</v>
      </c>
      <c r="O1146" s="17" t="str">
        <f>INDEX('список ID из СУЭ с должностями'!$A:$F,MATCH(E1146,'список ID из СУЭ с должностями'!$B:$B,0),5)</f>
        <v>НС</v>
      </c>
    </row>
    <row r="1147" spans="1:15" ht="105">
      <c r="A1147" s="3" t="s">
        <v>10</v>
      </c>
      <c r="B1147" s="3" t="s">
        <v>11</v>
      </c>
      <c r="C1147" s="4">
        <v>2026</v>
      </c>
      <c r="D1147" s="5" t="s">
        <v>12</v>
      </c>
      <c r="E1147" s="4">
        <v>161</v>
      </c>
      <c r="F1147" s="4" t="s">
        <v>39</v>
      </c>
      <c r="G1147" s="4" t="s">
        <v>981</v>
      </c>
      <c r="H1147" s="4" t="s">
        <v>15</v>
      </c>
      <c r="I1147" s="4" t="s">
        <v>1580</v>
      </c>
      <c r="J1147" s="4" t="s">
        <v>1581</v>
      </c>
      <c r="K1147" s="4" t="s">
        <v>35</v>
      </c>
      <c r="L1147" s="4" t="s">
        <v>3743</v>
      </c>
      <c r="M1147" s="4" t="s">
        <v>3746</v>
      </c>
      <c r="N1147" s="4" t="s">
        <v>3747</v>
      </c>
      <c r="O1147" s="17" t="str">
        <f>INDEX('список ID из СУЭ с должностями'!$A:$F,MATCH(E1147,'список ID из СУЭ с должностями'!$B:$B,0),5)</f>
        <v>НС</v>
      </c>
    </row>
    <row r="1148" spans="1:15" ht="45">
      <c r="A1148" s="3" t="s">
        <v>10</v>
      </c>
      <c r="B1148" s="3" t="s">
        <v>11</v>
      </c>
      <c r="C1148" s="4">
        <v>2026</v>
      </c>
      <c r="D1148" s="5" t="s">
        <v>12</v>
      </c>
      <c r="E1148" s="4">
        <v>161</v>
      </c>
      <c r="F1148" s="4" t="s">
        <v>39</v>
      </c>
      <c r="G1148" s="4" t="s">
        <v>981</v>
      </c>
      <c r="H1148" s="4" t="s">
        <v>15</v>
      </c>
      <c r="I1148" s="4" t="s">
        <v>62</v>
      </c>
      <c r="J1148" s="4" t="s">
        <v>986</v>
      </c>
      <c r="K1148" s="4" t="s">
        <v>52</v>
      </c>
      <c r="L1148" s="4" t="s">
        <v>3743</v>
      </c>
      <c r="M1148" s="4" t="s">
        <v>3746</v>
      </c>
      <c r="N1148" s="4" t="s">
        <v>3747</v>
      </c>
      <c r="O1148" s="17" t="str">
        <f>INDEX('список ID из СУЭ с должностями'!$A:$F,MATCH(E1148,'список ID из СУЭ с должностями'!$B:$B,0),5)</f>
        <v>НС</v>
      </c>
    </row>
    <row r="1149" spans="1:15" ht="150">
      <c r="A1149" s="3" t="s">
        <v>10</v>
      </c>
      <c r="B1149" s="3" t="s">
        <v>11</v>
      </c>
      <c r="C1149" s="4">
        <v>2026</v>
      </c>
      <c r="D1149" s="5" t="s">
        <v>12</v>
      </c>
      <c r="E1149" s="4">
        <v>161</v>
      </c>
      <c r="F1149" s="4" t="s">
        <v>39</v>
      </c>
      <c r="G1149" s="4" t="s">
        <v>981</v>
      </c>
      <c r="H1149" s="4" t="s">
        <v>15</v>
      </c>
      <c r="I1149" s="4" t="s">
        <v>1582</v>
      </c>
      <c r="J1149" s="4" t="s">
        <v>1583</v>
      </c>
      <c r="K1149" s="4" t="s">
        <v>52</v>
      </c>
      <c r="L1149" s="4" t="s">
        <v>3743</v>
      </c>
      <c r="M1149" s="4" t="s">
        <v>3746</v>
      </c>
      <c r="N1149" s="4" t="s">
        <v>3747</v>
      </c>
      <c r="O1149" s="17" t="str">
        <f>INDEX('список ID из СУЭ с должностями'!$A:$F,MATCH(E1149,'список ID из СУЭ с должностями'!$B:$B,0),5)</f>
        <v>НС</v>
      </c>
    </row>
    <row r="1150" spans="1:15" ht="60">
      <c r="A1150" s="3" t="s">
        <v>10</v>
      </c>
      <c r="B1150" s="3" t="s">
        <v>11</v>
      </c>
      <c r="C1150" s="4">
        <v>2026</v>
      </c>
      <c r="D1150" s="5" t="s">
        <v>12</v>
      </c>
      <c r="E1150" s="4">
        <v>161</v>
      </c>
      <c r="F1150" s="4" t="s">
        <v>39</v>
      </c>
      <c r="G1150" s="4" t="s">
        <v>981</v>
      </c>
      <c r="H1150" s="4" t="s">
        <v>15</v>
      </c>
      <c r="I1150" s="4" t="s">
        <v>1246</v>
      </c>
      <c r="J1150" s="4" t="s">
        <v>59</v>
      </c>
      <c r="K1150" s="4" t="s">
        <v>151</v>
      </c>
      <c r="L1150" s="4" t="s">
        <v>3742</v>
      </c>
      <c r="M1150" s="4" t="s">
        <v>3746</v>
      </c>
      <c r="N1150" s="4" t="s">
        <v>3747</v>
      </c>
      <c r="O1150" s="17" t="str">
        <f>INDEX('список ID из СУЭ с должностями'!$A:$F,MATCH(E1150,'список ID из СУЭ с должностями'!$B:$B,0),5)</f>
        <v>НС</v>
      </c>
    </row>
    <row r="1151" spans="1:15" ht="60">
      <c r="A1151" s="3" t="s">
        <v>10</v>
      </c>
      <c r="B1151" s="3" t="s">
        <v>11</v>
      </c>
      <c r="C1151" s="4">
        <v>2026</v>
      </c>
      <c r="D1151" s="5" t="s">
        <v>12</v>
      </c>
      <c r="E1151" s="4">
        <v>161</v>
      </c>
      <c r="F1151" s="4" t="s">
        <v>39</v>
      </c>
      <c r="G1151" s="4" t="s">
        <v>981</v>
      </c>
      <c r="H1151" s="4" t="s">
        <v>15</v>
      </c>
      <c r="I1151" s="4" t="s">
        <v>56</v>
      </c>
      <c r="J1151" s="4" t="s">
        <v>1584</v>
      </c>
      <c r="K1151" s="4" t="s">
        <v>30</v>
      </c>
      <c r="L1151" s="4" t="s">
        <v>3743</v>
      </c>
      <c r="M1151" s="4" t="s">
        <v>3746</v>
      </c>
      <c r="N1151" s="4" t="s">
        <v>3747</v>
      </c>
      <c r="O1151" s="17" t="str">
        <f>INDEX('список ID из СУЭ с должностями'!$A:$F,MATCH(E1151,'список ID из СУЭ с должностями'!$B:$B,0),5)</f>
        <v>НС</v>
      </c>
    </row>
    <row r="1152" spans="1:15" ht="60">
      <c r="A1152" s="3" t="s">
        <v>10</v>
      </c>
      <c r="B1152" s="3" t="s">
        <v>11</v>
      </c>
      <c r="C1152" s="4">
        <v>2026</v>
      </c>
      <c r="D1152" s="5" t="s">
        <v>12</v>
      </c>
      <c r="E1152" s="4">
        <v>161</v>
      </c>
      <c r="F1152" s="4" t="s">
        <v>39</v>
      </c>
      <c r="G1152" s="4" t="s">
        <v>981</v>
      </c>
      <c r="H1152" s="4" t="s">
        <v>15</v>
      </c>
      <c r="I1152" s="4" t="s">
        <v>1250</v>
      </c>
      <c r="J1152" s="4" t="s">
        <v>1251</v>
      </c>
      <c r="K1152" s="4" t="s">
        <v>52</v>
      </c>
      <c r="L1152" s="4" t="s">
        <v>3743</v>
      </c>
      <c r="M1152" s="4" t="s">
        <v>3746</v>
      </c>
      <c r="N1152" s="4" t="s">
        <v>3747</v>
      </c>
      <c r="O1152" s="17" t="str">
        <f>INDEX('список ID из СУЭ с должностями'!$A:$F,MATCH(E1152,'список ID из СУЭ с должностями'!$B:$B,0),5)</f>
        <v>НС</v>
      </c>
    </row>
    <row r="1153" spans="1:15" ht="150">
      <c r="A1153" s="3" t="s">
        <v>10</v>
      </c>
      <c r="B1153" s="3" t="s">
        <v>11</v>
      </c>
      <c r="C1153" s="4">
        <v>2026</v>
      </c>
      <c r="D1153" s="5" t="s">
        <v>12</v>
      </c>
      <c r="E1153" s="4">
        <v>161</v>
      </c>
      <c r="F1153" s="4" t="s">
        <v>39</v>
      </c>
      <c r="G1153" s="4" t="s">
        <v>981</v>
      </c>
      <c r="H1153" s="4" t="s">
        <v>15</v>
      </c>
      <c r="I1153" s="4" t="s">
        <v>198</v>
      </c>
      <c r="J1153" s="4" t="s">
        <v>1585</v>
      </c>
      <c r="K1153" s="4" t="s">
        <v>20</v>
      </c>
      <c r="L1153" s="4" t="s">
        <v>3743</v>
      </c>
      <c r="M1153" s="4" t="s">
        <v>3746</v>
      </c>
      <c r="N1153" s="4" t="s">
        <v>3747</v>
      </c>
      <c r="O1153" s="17" t="str">
        <f>INDEX('список ID из СУЭ с должностями'!$A:$F,MATCH(E1153,'список ID из СУЭ с должностями'!$B:$B,0),5)</f>
        <v>НС</v>
      </c>
    </row>
    <row r="1154" spans="1:15" ht="45">
      <c r="A1154" s="3" t="s">
        <v>10</v>
      </c>
      <c r="B1154" s="3" t="s">
        <v>11</v>
      </c>
      <c r="C1154" s="4">
        <v>2026</v>
      </c>
      <c r="D1154" s="5" t="s">
        <v>12</v>
      </c>
      <c r="E1154" s="4">
        <v>161</v>
      </c>
      <c r="F1154" s="4" t="s">
        <v>39</v>
      </c>
      <c r="G1154" s="4" t="s">
        <v>981</v>
      </c>
      <c r="H1154" s="4" t="s">
        <v>15</v>
      </c>
      <c r="I1154" s="4" t="s">
        <v>53</v>
      </c>
      <c r="J1154" s="4" t="s">
        <v>1586</v>
      </c>
      <c r="K1154" s="4" t="s">
        <v>55</v>
      </c>
      <c r="L1154" s="4" t="s">
        <v>3743</v>
      </c>
      <c r="M1154" s="4" t="s">
        <v>3746</v>
      </c>
      <c r="N1154" s="4" t="s">
        <v>3747</v>
      </c>
      <c r="O1154" s="17" t="str">
        <f>INDEX('список ID из СУЭ с должностями'!$A:$F,MATCH(E1154,'список ID из СУЭ с должностями'!$B:$B,0),5)</f>
        <v>НС</v>
      </c>
    </row>
    <row r="1155" spans="1:15" ht="60">
      <c r="A1155" s="3" t="s">
        <v>10</v>
      </c>
      <c r="B1155" s="3" t="s">
        <v>11</v>
      </c>
      <c r="C1155" s="4">
        <v>2026</v>
      </c>
      <c r="D1155" s="5" t="s">
        <v>12</v>
      </c>
      <c r="E1155" s="4">
        <v>162</v>
      </c>
      <c r="F1155" s="4" t="s">
        <v>280</v>
      </c>
      <c r="G1155" s="4" t="s">
        <v>1587</v>
      </c>
      <c r="H1155" s="4" t="s">
        <v>15</v>
      </c>
      <c r="I1155" s="4" t="s">
        <v>1588</v>
      </c>
      <c r="J1155" s="4" t="s">
        <v>1589</v>
      </c>
      <c r="K1155" s="4" t="s">
        <v>151</v>
      </c>
      <c r="L1155" s="4" t="s">
        <v>3742</v>
      </c>
      <c r="M1155" s="4" t="s">
        <v>3746</v>
      </c>
      <c r="N1155" s="4" t="s">
        <v>3747</v>
      </c>
      <c r="O1155" s="17" t="str">
        <f>INDEX('список ID из СУЭ с должностями'!$A:$F,MATCH(E1155,'список ID из СУЭ с должностями'!$B:$B,0),5)</f>
        <v>ВИП</v>
      </c>
    </row>
    <row r="1156" spans="1:15" ht="60">
      <c r="A1156" s="3" t="s">
        <v>10</v>
      </c>
      <c r="B1156" s="3" t="s">
        <v>11</v>
      </c>
      <c r="C1156" s="4">
        <v>2026</v>
      </c>
      <c r="D1156" s="5" t="s">
        <v>12</v>
      </c>
      <c r="E1156" s="4">
        <v>162</v>
      </c>
      <c r="F1156" s="4" t="s">
        <v>280</v>
      </c>
      <c r="G1156" s="4" t="s">
        <v>1587</v>
      </c>
      <c r="H1156" s="4" t="s">
        <v>15</v>
      </c>
      <c r="I1156" s="4" t="s">
        <v>819</v>
      </c>
      <c r="J1156" s="4" t="s">
        <v>200</v>
      </c>
      <c r="K1156" s="4" t="s">
        <v>66</v>
      </c>
      <c r="L1156" s="4" t="s">
        <v>3742</v>
      </c>
      <c r="M1156" s="4" t="s">
        <v>3746</v>
      </c>
      <c r="N1156" s="4" t="s">
        <v>3747</v>
      </c>
      <c r="O1156" s="17" t="str">
        <f>INDEX('список ID из СУЭ с должностями'!$A:$F,MATCH(E1156,'список ID из СУЭ с должностями'!$B:$B,0),5)</f>
        <v>ВИП</v>
      </c>
    </row>
    <row r="1157" spans="1:15" ht="60">
      <c r="A1157" s="3" t="s">
        <v>10</v>
      </c>
      <c r="B1157" s="3" t="s">
        <v>11</v>
      </c>
      <c r="C1157" s="4">
        <v>2026</v>
      </c>
      <c r="D1157" s="5" t="s">
        <v>12</v>
      </c>
      <c r="E1157" s="4">
        <v>162</v>
      </c>
      <c r="F1157" s="4" t="s">
        <v>280</v>
      </c>
      <c r="G1157" s="4" t="s">
        <v>1587</v>
      </c>
      <c r="H1157" s="4" t="s">
        <v>15</v>
      </c>
      <c r="I1157" s="4" t="s">
        <v>48</v>
      </c>
      <c r="J1157" s="4" t="s">
        <v>187</v>
      </c>
      <c r="K1157" s="4" t="s">
        <v>35</v>
      </c>
      <c r="L1157" s="4" t="s">
        <v>3743</v>
      </c>
      <c r="M1157" s="4" t="s">
        <v>3746</v>
      </c>
      <c r="N1157" s="4" t="s">
        <v>3747</v>
      </c>
      <c r="O1157" s="17" t="str">
        <f>INDEX('список ID из СУЭ с должностями'!$A:$F,MATCH(E1157,'список ID из СУЭ с должностями'!$B:$B,0),5)</f>
        <v>ВИП</v>
      </c>
    </row>
    <row r="1158" spans="1:15" ht="60">
      <c r="A1158" s="3" t="s">
        <v>10</v>
      </c>
      <c r="B1158" s="3" t="s">
        <v>11</v>
      </c>
      <c r="C1158" s="4">
        <v>2026</v>
      </c>
      <c r="D1158" s="5" t="s">
        <v>12</v>
      </c>
      <c r="E1158" s="4">
        <v>162</v>
      </c>
      <c r="F1158" s="4" t="s">
        <v>280</v>
      </c>
      <c r="G1158" s="4" t="s">
        <v>1587</v>
      </c>
      <c r="H1158" s="4" t="s">
        <v>15</v>
      </c>
      <c r="I1158" s="4" t="s">
        <v>62</v>
      </c>
      <c r="J1158" s="4" t="s">
        <v>1590</v>
      </c>
      <c r="K1158" s="4" t="s">
        <v>55</v>
      </c>
      <c r="L1158" s="4" t="s">
        <v>3743</v>
      </c>
      <c r="M1158" s="4" t="s">
        <v>3746</v>
      </c>
      <c r="N1158" s="4" t="s">
        <v>3747</v>
      </c>
      <c r="O1158" s="17" t="str">
        <f>INDEX('список ID из СУЭ с должностями'!$A:$F,MATCH(E1158,'список ID из СУЭ с должностями'!$B:$B,0),5)</f>
        <v>ВИП</v>
      </c>
    </row>
    <row r="1159" spans="1:15" ht="60">
      <c r="A1159" s="3" t="s">
        <v>10</v>
      </c>
      <c r="B1159" s="3" t="s">
        <v>11</v>
      </c>
      <c r="C1159" s="4">
        <v>2026</v>
      </c>
      <c r="D1159" s="5" t="s">
        <v>12</v>
      </c>
      <c r="E1159" s="4">
        <v>162</v>
      </c>
      <c r="F1159" s="4" t="s">
        <v>280</v>
      </c>
      <c r="G1159" s="4" t="s">
        <v>1587</v>
      </c>
      <c r="H1159" s="4" t="s">
        <v>15</v>
      </c>
      <c r="I1159" s="4" t="s">
        <v>245</v>
      </c>
      <c r="J1159" s="4" t="s">
        <v>182</v>
      </c>
      <c r="K1159" s="4" t="s">
        <v>151</v>
      </c>
      <c r="L1159" s="4" t="s">
        <v>3742</v>
      </c>
      <c r="M1159" s="4" t="s">
        <v>3746</v>
      </c>
      <c r="N1159" s="4" t="s">
        <v>3747</v>
      </c>
      <c r="O1159" s="17" t="str">
        <f>INDEX('список ID из СУЭ с должностями'!$A:$F,MATCH(E1159,'список ID из СУЭ с должностями'!$B:$B,0),5)</f>
        <v>ВИП</v>
      </c>
    </row>
    <row r="1160" spans="1:15" ht="60">
      <c r="A1160" s="3" t="s">
        <v>10</v>
      </c>
      <c r="B1160" s="3" t="s">
        <v>11</v>
      </c>
      <c r="C1160" s="4">
        <v>2026</v>
      </c>
      <c r="D1160" s="5" t="s">
        <v>12</v>
      </c>
      <c r="E1160" s="4">
        <v>162</v>
      </c>
      <c r="F1160" s="4" t="s">
        <v>280</v>
      </c>
      <c r="G1160" s="4" t="s">
        <v>1587</v>
      </c>
      <c r="H1160" s="4" t="s">
        <v>15</v>
      </c>
      <c r="I1160" s="4" t="s">
        <v>1250</v>
      </c>
      <c r="J1160" s="4" t="s">
        <v>1251</v>
      </c>
      <c r="K1160" s="4" t="s">
        <v>52</v>
      </c>
      <c r="L1160" s="4" t="s">
        <v>3743</v>
      </c>
      <c r="M1160" s="4" t="s">
        <v>3746</v>
      </c>
      <c r="N1160" s="4" t="s">
        <v>3747</v>
      </c>
      <c r="O1160" s="17" t="str">
        <f>INDEX('список ID из СУЭ с должностями'!$A:$F,MATCH(E1160,'список ID из СУЭ с должностями'!$B:$B,0),5)</f>
        <v>ВИП</v>
      </c>
    </row>
    <row r="1161" spans="1:15" ht="105">
      <c r="A1161" s="3" t="s">
        <v>10</v>
      </c>
      <c r="B1161" s="3" t="s">
        <v>11</v>
      </c>
      <c r="C1161" s="4">
        <v>2026</v>
      </c>
      <c r="D1161" s="5" t="s">
        <v>12</v>
      </c>
      <c r="E1161" s="4">
        <v>162</v>
      </c>
      <c r="F1161" s="4" t="s">
        <v>280</v>
      </c>
      <c r="G1161" s="4" t="s">
        <v>1587</v>
      </c>
      <c r="H1161" s="4" t="s">
        <v>15</v>
      </c>
      <c r="I1161" s="4" t="s">
        <v>1591</v>
      </c>
      <c r="J1161" s="4" t="s">
        <v>1592</v>
      </c>
      <c r="K1161" s="4" t="s">
        <v>30</v>
      </c>
      <c r="L1161" s="4" t="s">
        <v>3743</v>
      </c>
      <c r="M1161" s="4" t="s">
        <v>3746</v>
      </c>
      <c r="N1161" s="4" t="s">
        <v>3747</v>
      </c>
      <c r="O1161" s="17" t="str">
        <f>INDEX('список ID из СУЭ с должностями'!$A:$F,MATCH(E1161,'список ID из СУЭ с должностями'!$B:$B,0),5)</f>
        <v>ВИП</v>
      </c>
    </row>
    <row r="1162" spans="1:15" ht="60">
      <c r="A1162" s="3" t="s">
        <v>10</v>
      </c>
      <c r="B1162" s="3" t="s">
        <v>11</v>
      </c>
      <c r="C1162" s="4">
        <v>2026</v>
      </c>
      <c r="D1162" s="5" t="s">
        <v>12</v>
      </c>
      <c r="E1162" s="4">
        <v>162</v>
      </c>
      <c r="F1162" s="4" t="s">
        <v>280</v>
      </c>
      <c r="G1162" s="4" t="s">
        <v>1587</v>
      </c>
      <c r="H1162" s="4" t="s">
        <v>41</v>
      </c>
      <c r="I1162" s="4" t="s">
        <v>1593</v>
      </c>
      <c r="J1162" s="4" t="s">
        <v>1594</v>
      </c>
      <c r="K1162" s="4" t="s">
        <v>52</v>
      </c>
      <c r="L1162" s="4" t="s">
        <v>3742</v>
      </c>
      <c r="M1162" s="4" t="s">
        <v>3746</v>
      </c>
      <c r="N1162" s="4" t="s">
        <v>3747</v>
      </c>
      <c r="O1162" s="17" t="str">
        <f>INDEX('список ID из СУЭ с должностями'!$A:$F,MATCH(E1162,'список ID из СУЭ с должностями'!$B:$B,0),5)</f>
        <v>ВИП</v>
      </c>
    </row>
    <row r="1163" spans="1:15" ht="315">
      <c r="A1163" s="3" t="s">
        <v>10</v>
      </c>
      <c r="B1163" s="3" t="s">
        <v>11</v>
      </c>
      <c r="C1163" s="4">
        <v>2026</v>
      </c>
      <c r="D1163" s="5" t="s">
        <v>12</v>
      </c>
      <c r="E1163" s="4">
        <v>162</v>
      </c>
      <c r="F1163" s="4" t="s">
        <v>280</v>
      </c>
      <c r="G1163" s="4" t="s">
        <v>1587</v>
      </c>
      <c r="H1163" s="4" t="s">
        <v>15</v>
      </c>
      <c r="I1163" s="4" t="s">
        <v>1595</v>
      </c>
      <c r="J1163" s="4" t="s">
        <v>1596</v>
      </c>
      <c r="K1163" s="4" t="s">
        <v>66</v>
      </c>
      <c r="L1163" s="4" t="s">
        <v>3743</v>
      </c>
      <c r="M1163" s="4" t="s">
        <v>3746</v>
      </c>
      <c r="N1163" s="4" t="s">
        <v>3747</v>
      </c>
      <c r="O1163" s="17" t="str">
        <f>INDEX('список ID из СУЭ с должностями'!$A:$F,MATCH(E1163,'список ID из СУЭ с должностями'!$B:$B,0),5)</f>
        <v>ВИП</v>
      </c>
    </row>
    <row r="1164" spans="1:15" ht="75">
      <c r="A1164" s="3" t="s">
        <v>10</v>
      </c>
      <c r="B1164" s="3" t="s">
        <v>11</v>
      </c>
      <c r="C1164" s="4">
        <v>2026</v>
      </c>
      <c r="D1164" s="5" t="s">
        <v>12</v>
      </c>
      <c r="E1164" s="4">
        <v>163</v>
      </c>
      <c r="F1164" s="4" t="s">
        <v>385</v>
      </c>
      <c r="G1164" s="4" t="s">
        <v>1554</v>
      </c>
      <c r="H1164" s="4" t="s">
        <v>21</v>
      </c>
      <c r="I1164" s="4" t="s">
        <v>1597</v>
      </c>
      <c r="J1164" s="4" t="s">
        <v>1598</v>
      </c>
      <c r="K1164" s="4" t="s">
        <v>25</v>
      </c>
      <c r="L1164" s="4" t="s">
        <v>3743</v>
      </c>
      <c r="M1164" s="4" t="s">
        <v>3746</v>
      </c>
      <c r="N1164" s="4" t="s">
        <v>3747</v>
      </c>
      <c r="O1164" s="17">
        <f>INDEX('список ID из СУЭ с должностями'!$A:$F,MATCH(E1164,'список ID из СУЭ с должностями'!$B:$B,0),5)</f>
        <v>0</v>
      </c>
    </row>
    <row r="1165" spans="1:15" ht="285">
      <c r="A1165" s="3" t="s">
        <v>10</v>
      </c>
      <c r="B1165" s="3" t="s">
        <v>11</v>
      </c>
      <c r="C1165" s="4">
        <v>2026</v>
      </c>
      <c r="D1165" s="5" t="s">
        <v>12</v>
      </c>
      <c r="E1165" s="4">
        <v>163</v>
      </c>
      <c r="F1165" s="4" t="s">
        <v>385</v>
      </c>
      <c r="G1165" s="4" t="s">
        <v>1554</v>
      </c>
      <c r="H1165" s="4" t="s">
        <v>15</v>
      </c>
      <c r="I1165" s="4" t="s">
        <v>1599</v>
      </c>
      <c r="J1165" s="4" t="s">
        <v>1600</v>
      </c>
      <c r="K1165" s="4" t="s">
        <v>30</v>
      </c>
      <c r="L1165" s="4" t="s">
        <v>3743</v>
      </c>
      <c r="M1165" s="4" t="s">
        <v>3746</v>
      </c>
      <c r="N1165" s="4" t="s">
        <v>3747</v>
      </c>
      <c r="O1165" s="17">
        <f>INDEX('список ID из СУЭ с должностями'!$A:$F,MATCH(E1165,'список ID из СУЭ с должностями'!$B:$B,0),5)</f>
        <v>0</v>
      </c>
    </row>
    <row r="1166" spans="1:15" ht="60">
      <c r="A1166" s="3" t="s">
        <v>10</v>
      </c>
      <c r="B1166" s="3" t="s">
        <v>11</v>
      </c>
      <c r="C1166" s="4">
        <v>2026</v>
      </c>
      <c r="D1166" s="5" t="s">
        <v>12</v>
      </c>
      <c r="E1166" s="4">
        <v>163</v>
      </c>
      <c r="F1166" s="4" t="s">
        <v>385</v>
      </c>
      <c r="G1166" s="4" t="s">
        <v>1554</v>
      </c>
      <c r="H1166" s="4" t="s">
        <v>15</v>
      </c>
      <c r="I1166" s="4" t="s">
        <v>1601</v>
      </c>
      <c r="J1166" s="4" t="s">
        <v>1602</v>
      </c>
      <c r="K1166" s="4" t="s">
        <v>35</v>
      </c>
      <c r="L1166" s="4" t="s">
        <v>3743</v>
      </c>
      <c r="M1166" s="4" t="s">
        <v>3746</v>
      </c>
      <c r="N1166" s="4" t="s">
        <v>3747</v>
      </c>
      <c r="O1166" s="17">
        <f>INDEX('список ID из СУЭ с должностями'!$A:$F,MATCH(E1166,'список ID из СУЭ с должностями'!$B:$B,0),5)</f>
        <v>0</v>
      </c>
    </row>
    <row r="1167" spans="1:15" ht="60">
      <c r="A1167" s="3" t="s">
        <v>10</v>
      </c>
      <c r="B1167" s="3" t="s">
        <v>11</v>
      </c>
      <c r="C1167" s="4">
        <v>2026</v>
      </c>
      <c r="D1167" s="5" t="s">
        <v>12</v>
      </c>
      <c r="E1167" s="4">
        <v>163</v>
      </c>
      <c r="F1167" s="4" t="s">
        <v>385</v>
      </c>
      <c r="G1167" s="4" t="s">
        <v>1554</v>
      </c>
      <c r="H1167" s="4" t="s">
        <v>15</v>
      </c>
      <c r="I1167" s="4" t="s">
        <v>1603</v>
      </c>
      <c r="J1167" s="4" t="s">
        <v>182</v>
      </c>
      <c r="K1167" s="4" t="s">
        <v>55</v>
      </c>
      <c r="L1167" s="4" t="s">
        <v>3742</v>
      </c>
      <c r="M1167" s="4" t="s">
        <v>3746</v>
      </c>
      <c r="N1167" s="4" t="s">
        <v>3747</v>
      </c>
      <c r="O1167" s="17">
        <f>INDEX('список ID из СУЭ с должностями'!$A:$F,MATCH(E1167,'список ID из СУЭ с должностями'!$B:$B,0),5)</f>
        <v>0</v>
      </c>
    </row>
    <row r="1168" spans="1:15" ht="60">
      <c r="A1168" s="3" t="s">
        <v>10</v>
      </c>
      <c r="B1168" s="3" t="s">
        <v>11</v>
      </c>
      <c r="C1168" s="4">
        <v>2026</v>
      </c>
      <c r="D1168" s="5" t="s">
        <v>12</v>
      </c>
      <c r="E1168" s="4">
        <v>163</v>
      </c>
      <c r="F1168" s="4" t="s">
        <v>385</v>
      </c>
      <c r="G1168" s="4" t="s">
        <v>1554</v>
      </c>
      <c r="H1168" s="4" t="s">
        <v>15</v>
      </c>
      <c r="I1168" s="4" t="s">
        <v>1604</v>
      </c>
      <c r="J1168" s="4" t="s">
        <v>581</v>
      </c>
      <c r="K1168" s="4" t="s">
        <v>188</v>
      </c>
      <c r="L1168" s="4" t="s">
        <v>3742</v>
      </c>
      <c r="M1168" s="4" t="s">
        <v>3746</v>
      </c>
      <c r="N1168" s="4" t="s">
        <v>3747</v>
      </c>
      <c r="O1168" s="17">
        <f>INDEX('список ID из СУЭ с должностями'!$A:$F,MATCH(E1168,'список ID из СУЭ с должностями'!$B:$B,0),5)</f>
        <v>0</v>
      </c>
    </row>
    <row r="1169" spans="1:15" ht="60">
      <c r="A1169" s="3" t="s">
        <v>10</v>
      </c>
      <c r="B1169" s="3" t="s">
        <v>11</v>
      </c>
      <c r="C1169" s="4">
        <v>2026</v>
      </c>
      <c r="D1169" s="5" t="s">
        <v>12</v>
      </c>
      <c r="E1169" s="4">
        <v>163</v>
      </c>
      <c r="F1169" s="4" t="s">
        <v>385</v>
      </c>
      <c r="G1169" s="4" t="s">
        <v>1554</v>
      </c>
      <c r="H1169" s="4" t="s">
        <v>15</v>
      </c>
      <c r="I1169" s="4" t="s">
        <v>1605</v>
      </c>
      <c r="J1169" s="4" t="s">
        <v>1606</v>
      </c>
      <c r="K1169" s="4" t="s">
        <v>25</v>
      </c>
      <c r="L1169" s="4" t="s">
        <v>3743</v>
      </c>
      <c r="M1169" s="4" t="s">
        <v>3746</v>
      </c>
      <c r="N1169" s="4" t="s">
        <v>3747</v>
      </c>
      <c r="O1169" s="17">
        <f>INDEX('список ID из СУЭ с должностями'!$A:$F,MATCH(E1169,'список ID из СУЭ с должностями'!$B:$B,0),5)</f>
        <v>0</v>
      </c>
    </row>
    <row r="1170" spans="1:15" ht="60">
      <c r="A1170" s="3" t="s">
        <v>10</v>
      </c>
      <c r="B1170" s="3" t="s">
        <v>11</v>
      </c>
      <c r="C1170" s="4">
        <v>2026</v>
      </c>
      <c r="D1170" s="5" t="s">
        <v>12</v>
      </c>
      <c r="E1170" s="4">
        <v>163</v>
      </c>
      <c r="F1170" s="4" t="s">
        <v>385</v>
      </c>
      <c r="G1170" s="4" t="s">
        <v>1554</v>
      </c>
      <c r="H1170" s="4" t="s">
        <v>15</v>
      </c>
      <c r="I1170" s="4" t="s">
        <v>1607</v>
      </c>
      <c r="J1170" s="4" t="s">
        <v>1608</v>
      </c>
      <c r="K1170" s="4" t="s">
        <v>66</v>
      </c>
      <c r="L1170" s="4" t="s">
        <v>3742</v>
      </c>
      <c r="M1170" s="4" t="s">
        <v>3746</v>
      </c>
      <c r="N1170" s="4" t="s">
        <v>3747</v>
      </c>
      <c r="O1170" s="17">
        <f>INDEX('список ID из СУЭ с должностями'!$A:$F,MATCH(E1170,'список ID из СУЭ с должностями'!$B:$B,0),5)</f>
        <v>0</v>
      </c>
    </row>
    <row r="1171" spans="1:15" ht="315">
      <c r="A1171" s="3" t="s">
        <v>10</v>
      </c>
      <c r="B1171" s="3" t="s">
        <v>11</v>
      </c>
      <c r="C1171" s="4">
        <v>2026</v>
      </c>
      <c r="D1171" s="5" t="s">
        <v>12</v>
      </c>
      <c r="E1171" s="4">
        <v>163</v>
      </c>
      <c r="F1171" s="4" t="s">
        <v>385</v>
      </c>
      <c r="G1171" s="4" t="s">
        <v>1554</v>
      </c>
      <c r="H1171" s="4" t="s">
        <v>15</v>
      </c>
      <c r="I1171" s="4" t="s">
        <v>1609</v>
      </c>
      <c r="J1171" s="4" t="s">
        <v>1610</v>
      </c>
      <c r="K1171" s="4" t="s">
        <v>30</v>
      </c>
      <c r="L1171" s="4" t="s">
        <v>3743</v>
      </c>
      <c r="M1171" s="4" t="s">
        <v>3746</v>
      </c>
      <c r="N1171" s="4" t="s">
        <v>3747</v>
      </c>
      <c r="O1171" s="17">
        <f>INDEX('список ID из СУЭ с должностями'!$A:$F,MATCH(E1171,'список ID из СУЭ с должностями'!$B:$B,0),5)</f>
        <v>0</v>
      </c>
    </row>
    <row r="1172" spans="1:15" ht="60">
      <c r="A1172" s="3" t="s">
        <v>10</v>
      </c>
      <c r="B1172" s="3" t="s">
        <v>11</v>
      </c>
      <c r="C1172" s="4">
        <v>2026</v>
      </c>
      <c r="D1172" s="5" t="s">
        <v>815</v>
      </c>
      <c r="E1172" s="4">
        <v>164</v>
      </c>
      <c r="F1172" s="4" t="s">
        <v>239</v>
      </c>
      <c r="G1172" s="4" t="s">
        <v>1611</v>
      </c>
      <c r="H1172" s="4"/>
      <c r="I1172" s="4"/>
      <c r="J1172" s="4"/>
      <c r="K1172" s="4"/>
      <c r="L1172" s="4"/>
      <c r="M1172" s="4"/>
      <c r="N1172" s="4"/>
      <c r="O1172" s="17" t="str">
        <f>INDEX('список ID из СУЭ с должностями'!$A:$F,MATCH(E1172,'список ID из СУЭ с должностями'!$B:$B,0),5)</f>
        <v>ИПП</v>
      </c>
    </row>
    <row r="1173" spans="1:15" ht="60">
      <c r="A1173" s="3" t="s">
        <v>10</v>
      </c>
      <c r="B1173" s="3" t="s">
        <v>11</v>
      </c>
      <c r="C1173" s="4">
        <v>2026</v>
      </c>
      <c r="D1173" s="5" t="s">
        <v>12</v>
      </c>
      <c r="E1173" s="4">
        <v>165</v>
      </c>
      <c r="F1173" s="4" t="s">
        <v>39</v>
      </c>
      <c r="G1173" s="4" t="s">
        <v>684</v>
      </c>
      <c r="H1173" s="4" t="s">
        <v>15</v>
      </c>
      <c r="I1173" s="4" t="s">
        <v>1612</v>
      </c>
      <c r="J1173" s="4" t="s">
        <v>1613</v>
      </c>
      <c r="K1173" s="4" t="s">
        <v>188</v>
      </c>
      <c r="L1173" s="4" t="s">
        <v>3742</v>
      </c>
      <c r="M1173" s="4" t="s">
        <v>3746</v>
      </c>
      <c r="N1173" s="4" t="s">
        <v>3747</v>
      </c>
      <c r="O1173" s="17" t="str">
        <f>INDEX('список ID из СУЭ с должностями'!$A:$F,MATCH(E1173,'список ID из СУЭ с должностями'!$B:$B,0),5)</f>
        <v>НС</v>
      </c>
    </row>
    <row r="1174" spans="1:15" ht="75">
      <c r="A1174" s="3" t="s">
        <v>10</v>
      </c>
      <c r="B1174" s="3" t="s">
        <v>11</v>
      </c>
      <c r="C1174" s="4">
        <v>2026</v>
      </c>
      <c r="D1174" s="5" t="s">
        <v>12</v>
      </c>
      <c r="E1174" s="4">
        <v>165</v>
      </c>
      <c r="F1174" s="4" t="s">
        <v>39</v>
      </c>
      <c r="G1174" s="4" t="s">
        <v>684</v>
      </c>
      <c r="H1174" s="4" t="s">
        <v>15</v>
      </c>
      <c r="I1174" s="4" t="s">
        <v>62</v>
      </c>
      <c r="J1174" s="4" t="s">
        <v>1614</v>
      </c>
      <c r="K1174" s="4" t="s">
        <v>20</v>
      </c>
      <c r="L1174" s="4" t="s">
        <v>3743</v>
      </c>
      <c r="M1174" s="4" t="s">
        <v>3746</v>
      </c>
      <c r="N1174" s="4" t="s">
        <v>3747</v>
      </c>
      <c r="O1174" s="17" t="str">
        <f>INDEX('список ID из СУЭ с должностями'!$A:$F,MATCH(E1174,'список ID из СУЭ с должностями'!$B:$B,0),5)</f>
        <v>НС</v>
      </c>
    </row>
    <row r="1175" spans="1:15" ht="60">
      <c r="A1175" s="3" t="s">
        <v>10</v>
      </c>
      <c r="B1175" s="3" t="s">
        <v>11</v>
      </c>
      <c r="C1175" s="4">
        <v>2026</v>
      </c>
      <c r="D1175" s="5" t="s">
        <v>12</v>
      </c>
      <c r="E1175" s="4">
        <v>165</v>
      </c>
      <c r="F1175" s="4" t="s">
        <v>39</v>
      </c>
      <c r="G1175" s="4" t="s">
        <v>684</v>
      </c>
      <c r="H1175" s="4" t="s">
        <v>15</v>
      </c>
      <c r="I1175" s="4" t="s">
        <v>1250</v>
      </c>
      <c r="J1175" s="4" t="s">
        <v>1251</v>
      </c>
      <c r="K1175" s="4" t="s">
        <v>38</v>
      </c>
      <c r="L1175" s="4" t="s">
        <v>3743</v>
      </c>
      <c r="M1175" s="4" t="s">
        <v>3746</v>
      </c>
      <c r="N1175" s="4" t="s">
        <v>3747</v>
      </c>
      <c r="O1175" s="17" t="str">
        <f>INDEX('список ID из СУЭ с должностями'!$A:$F,MATCH(E1175,'список ID из СУЭ с должностями'!$B:$B,0),5)</f>
        <v>НС</v>
      </c>
    </row>
    <row r="1176" spans="1:15" ht="165">
      <c r="A1176" s="3" t="s">
        <v>10</v>
      </c>
      <c r="B1176" s="3" t="s">
        <v>11</v>
      </c>
      <c r="C1176" s="4">
        <v>2026</v>
      </c>
      <c r="D1176" s="5" t="s">
        <v>12</v>
      </c>
      <c r="E1176" s="4">
        <v>165</v>
      </c>
      <c r="F1176" s="4" t="s">
        <v>39</v>
      </c>
      <c r="G1176" s="4" t="s">
        <v>684</v>
      </c>
      <c r="H1176" s="4" t="s">
        <v>15</v>
      </c>
      <c r="I1176" s="4" t="s">
        <v>189</v>
      </c>
      <c r="J1176" s="4" t="s">
        <v>1615</v>
      </c>
      <c r="K1176" s="4" t="s">
        <v>23</v>
      </c>
      <c r="L1176" s="4" t="s">
        <v>3743</v>
      </c>
      <c r="M1176" s="4" t="s">
        <v>3748</v>
      </c>
      <c r="N1176" s="4" t="s">
        <v>3749</v>
      </c>
      <c r="O1176" s="17" t="str">
        <f>INDEX('список ID из СУЭ с должностями'!$A:$F,MATCH(E1176,'список ID из СУЭ с должностями'!$B:$B,0),5)</f>
        <v>НС</v>
      </c>
    </row>
    <row r="1177" spans="1:15" ht="45">
      <c r="A1177" s="3" t="s">
        <v>10</v>
      </c>
      <c r="B1177" s="3" t="s">
        <v>11</v>
      </c>
      <c r="C1177" s="4">
        <v>2026</v>
      </c>
      <c r="D1177" s="5" t="s">
        <v>12</v>
      </c>
      <c r="E1177" s="4">
        <v>165</v>
      </c>
      <c r="F1177" s="4" t="s">
        <v>39</v>
      </c>
      <c r="G1177" s="4" t="s">
        <v>684</v>
      </c>
      <c r="H1177" s="4" t="s">
        <v>15</v>
      </c>
      <c r="I1177" s="4" t="s">
        <v>984</v>
      </c>
      <c r="J1177" s="4" t="s">
        <v>832</v>
      </c>
      <c r="K1177" s="4" t="s">
        <v>66</v>
      </c>
      <c r="L1177" s="4" t="s">
        <v>3742</v>
      </c>
      <c r="M1177" s="4" t="s">
        <v>3746</v>
      </c>
      <c r="N1177" s="4" t="s">
        <v>3747</v>
      </c>
      <c r="O1177" s="17" t="str">
        <f>INDEX('список ID из СУЭ с должностями'!$A:$F,MATCH(E1177,'список ID из СУЭ с должностями'!$B:$B,0),5)</f>
        <v>НС</v>
      </c>
    </row>
    <row r="1178" spans="1:15" ht="45">
      <c r="A1178" s="3" t="s">
        <v>10</v>
      </c>
      <c r="B1178" s="3" t="s">
        <v>11</v>
      </c>
      <c r="C1178" s="4">
        <v>2026</v>
      </c>
      <c r="D1178" s="5" t="s">
        <v>12</v>
      </c>
      <c r="E1178" s="4">
        <v>165</v>
      </c>
      <c r="F1178" s="4" t="s">
        <v>39</v>
      </c>
      <c r="G1178" s="4" t="s">
        <v>684</v>
      </c>
      <c r="H1178" s="4" t="s">
        <v>15</v>
      </c>
      <c r="I1178" s="4" t="s">
        <v>596</v>
      </c>
      <c r="J1178" s="4" t="s">
        <v>1616</v>
      </c>
      <c r="K1178" s="4" t="s">
        <v>55</v>
      </c>
      <c r="L1178" s="4" t="s">
        <v>3742</v>
      </c>
      <c r="M1178" s="4" t="s">
        <v>3746</v>
      </c>
      <c r="N1178" s="4" t="s">
        <v>3747</v>
      </c>
      <c r="O1178" s="17" t="str">
        <f>INDEX('список ID из СУЭ с должностями'!$A:$F,MATCH(E1178,'список ID из СУЭ с должностями'!$B:$B,0),5)</f>
        <v>НС</v>
      </c>
    </row>
    <row r="1179" spans="1:15" ht="60">
      <c r="A1179" s="3" t="s">
        <v>10</v>
      </c>
      <c r="B1179" s="3" t="s">
        <v>11</v>
      </c>
      <c r="C1179" s="4">
        <v>2026</v>
      </c>
      <c r="D1179" s="5" t="s">
        <v>12</v>
      </c>
      <c r="E1179" s="4">
        <v>165</v>
      </c>
      <c r="F1179" s="4" t="s">
        <v>39</v>
      </c>
      <c r="G1179" s="4" t="s">
        <v>684</v>
      </c>
      <c r="H1179" s="4" t="s">
        <v>15</v>
      </c>
      <c r="I1179" s="4" t="s">
        <v>56</v>
      </c>
      <c r="J1179" s="4" t="s">
        <v>1617</v>
      </c>
      <c r="K1179" s="4" t="s">
        <v>30</v>
      </c>
      <c r="L1179" s="4" t="s">
        <v>3743</v>
      </c>
      <c r="M1179" s="4" t="s">
        <v>3746</v>
      </c>
      <c r="N1179" s="4" t="s">
        <v>3747</v>
      </c>
      <c r="O1179" s="17" t="str">
        <f>INDEX('список ID из СУЭ с должностями'!$A:$F,MATCH(E1179,'список ID из СУЭ с должностями'!$B:$B,0),5)</f>
        <v>НС</v>
      </c>
    </row>
    <row r="1180" spans="1:15" ht="150">
      <c r="A1180" s="3" t="s">
        <v>10</v>
      </c>
      <c r="B1180" s="3" t="s">
        <v>11</v>
      </c>
      <c r="C1180" s="4">
        <v>2026</v>
      </c>
      <c r="D1180" s="5" t="s">
        <v>12</v>
      </c>
      <c r="E1180" s="4">
        <v>165</v>
      </c>
      <c r="F1180" s="4" t="s">
        <v>39</v>
      </c>
      <c r="G1180" s="4" t="s">
        <v>684</v>
      </c>
      <c r="H1180" s="4" t="s">
        <v>21</v>
      </c>
      <c r="I1180" s="4" t="s">
        <v>46</v>
      </c>
      <c r="J1180" s="4" t="s">
        <v>1618</v>
      </c>
      <c r="K1180" s="4" t="s">
        <v>20</v>
      </c>
      <c r="L1180" s="4" t="s">
        <v>3743</v>
      </c>
      <c r="M1180" s="4" t="s">
        <v>3746</v>
      </c>
      <c r="N1180" s="4" t="s">
        <v>3747</v>
      </c>
      <c r="O1180" s="17" t="str">
        <f>INDEX('список ID из СУЭ с должностями'!$A:$F,MATCH(E1180,'список ID из СУЭ с должностями'!$B:$B,0),5)</f>
        <v>НС</v>
      </c>
    </row>
    <row r="1181" spans="1:15" ht="60">
      <c r="A1181" s="3" t="s">
        <v>10</v>
      </c>
      <c r="B1181" s="3" t="s">
        <v>11</v>
      </c>
      <c r="C1181" s="4">
        <v>2026</v>
      </c>
      <c r="D1181" s="5" t="s">
        <v>12</v>
      </c>
      <c r="E1181" s="4">
        <v>165</v>
      </c>
      <c r="F1181" s="4" t="s">
        <v>39</v>
      </c>
      <c r="G1181" s="4" t="s">
        <v>684</v>
      </c>
      <c r="H1181" s="4" t="s">
        <v>15</v>
      </c>
      <c r="I1181" s="4" t="s">
        <v>1588</v>
      </c>
      <c r="J1181" s="4" t="s">
        <v>1619</v>
      </c>
      <c r="K1181" s="4" t="s">
        <v>151</v>
      </c>
      <c r="L1181" s="4" t="s">
        <v>3742</v>
      </c>
      <c r="M1181" s="4" t="s">
        <v>3746</v>
      </c>
      <c r="N1181" s="4" t="s">
        <v>3747</v>
      </c>
      <c r="O1181" s="17" t="str">
        <f>INDEX('список ID из СУЭ с должностями'!$A:$F,MATCH(E1181,'список ID из СУЭ с должностями'!$B:$B,0),5)</f>
        <v>НС</v>
      </c>
    </row>
    <row r="1182" spans="1:15" ht="45">
      <c r="A1182" s="3" t="s">
        <v>10</v>
      </c>
      <c r="B1182" s="3" t="s">
        <v>11</v>
      </c>
      <c r="C1182" s="4">
        <v>2026</v>
      </c>
      <c r="D1182" s="5" t="s">
        <v>12</v>
      </c>
      <c r="E1182" s="4">
        <v>165</v>
      </c>
      <c r="F1182" s="4" t="s">
        <v>39</v>
      </c>
      <c r="G1182" s="4" t="s">
        <v>684</v>
      </c>
      <c r="H1182" s="4" t="s">
        <v>15</v>
      </c>
      <c r="I1182" s="4" t="s">
        <v>48</v>
      </c>
      <c r="J1182" s="4" t="s">
        <v>187</v>
      </c>
      <c r="K1182" s="4" t="s">
        <v>35</v>
      </c>
      <c r="L1182" s="4" t="s">
        <v>3743</v>
      </c>
      <c r="M1182" s="4" t="s">
        <v>3746</v>
      </c>
      <c r="N1182" s="4" t="s">
        <v>3747</v>
      </c>
      <c r="O1182" s="17" t="str">
        <f>INDEX('список ID из СУЭ с должностями'!$A:$F,MATCH(E1182,'список ID из СУЭ с должностями'!$B:$B,0),5)</f>
        <v>НС</v>
      </c>
    </row>
    <row r="1183" spans="1:15" ht="120">
      <c r="A1183" s="3" t="s">
        <v>10</v>
      </c>
      <c r="B1183" s="3" t="s">
        <v>11</v>
      </c>
      <c r="C1183" s="4">
        <v>2026</v>
      </c>
      <c r="D1183" s="5" t="s">
        <v>12</v>
      </c>
      <c r="E1183" s="4">
        <v>166</v>
      </c>
      <c r="F1183" s="4" t="s">
        <v>316</v>
      </c>
      <c r="G1183" s="4" t="s">
        <v>1203</v>
      </c>
      <c r="H1183" s="4" t="s">
        <v>15</v>
      </c>
      <c r="I1183" s="4" t="s">
        <v>356</v>
      </c>
      <c r="J1183" s="4" t="s">
        <v>821</v>
      </c>
      <c r="K1183" s="4" t="s">
        <v>25</v>
      </c>
      <c r="L1183" s="4" t="s">
        <v>3743</v>
      </c>
      <c r="M1183" s="4" t="s">
        <v>3746</v>
      </c>
      <c r="N1183" s="4" t="s">
        <v>3747</v>
      </c>
      <c r="O1183" s="17">
        <f>INDEX('список ID из СУЭ с должностями'!$A:$F,MATCH(E1183,'список ID из СУЭ с должностями'!$B:$B,0),5)</f>
        <v>0</v>
      </c>
    </row>
    <row r="1184" spans="1:15" ht="105">
      <c r="A1184" s="3" t="s">
        <v>10</v>
      </c>
      <c r="B1184" s="3" t="s">
        <v>11</v>
      </c>
      <c r="C1184" s="4">
        <v>2026</v>
      </c>
      <c r="D1184" s="5" t="s">
        <v>12</v>
      </c>
      <c r="E1184" s="4">
        <v>166</v>
      </c>
      <c r="F1184" s="4" t="s">
        <v>316</v>
      </c>
      <c r="G1184" s="4" t="s">
        <v>1203</v>
      </c>
      <c r="H1184" s="4" t="s">
        <v>15</v>
      </c>
      <c r="I1184" s="4" t="s">
        <v>358</v>
      </c>
      <c r="J1184" s="4" t="s">
        <v>825</v>
      </c>
      <c r="K1184" s="4" t="s">
        <v>66</v>
      </c>
      <c r="L1184" s="4" t="s">
        <v>3743</v>
      </c>
      <c r="M1184" s="4" t="s">
        <v>3746</v>
      </c>
      <c r="N1184" s="4" t="s">
        <v>3747</v>
      </c>
      <c r="O1184" s="17">
        <f>INDEX('список ID из СУЭ с должностями'!$A:$F,MATCH(E1184,'список ID из СУЭ с должностями'!$B:$B,0),5)</f>
        <v>0</v>
      </c>
    </row>
    <row r="1185" spans="1:15" ht="330">
      <c r="A1185" s="3" t="s">
        <v>10</v>
      </c>
      <c r="B1185" s="3" t="s">
        <v>11</v>
      </c>
      <c r="C1185" s="4">
        <v>2026</v>
      </c>
      <c r="D1185" s="5" t="s">
        <v>12</v>
      </c>
      <c r="E1185" s="4">
        <v>166</v>
      </c>
      <c r="F1185" s="4" t="s">
        <v>316</v>
      </c>
      <c r="G1185" s="4" t="s">
        <v>1203</v>
      </c>
      <c r="H1185" s="4" t="s">
        <v>15</v>
      </c>
      <c r="I1185" s="4" t="s">
        <v>325</v>
      </c>
      <c r="J1185" s="4" t="s">
        <v>1204</v>
      </c>
      <c r="K1185" s="4" t="s">
        <v>35</v>
      </c>
      <c r="L1185" s="4" t="s">
        <v>3743</v>
      </c>
      <c r="M1185" s="4" t="s">
        <v>3746</v>
      </c>
      <c r="N1185" s="4" t="s">
        <v>3747</v>
      </c>
      <c r="O1185" s="17">
        <f>INDEX('список ID из СУЭ с должностями'!$A:$F,MATCH(E1185,'список ID из СУЭ с должностями'!$B:$B,0),5)</f>
        <v>0</v>
      </c>
    </row>
    <row r="1186" spans="1:15" ht="135">
      <c r="A1186" s="3" t="s">
        <v>10</v>
      </c>
      <c r="B1186" s="3" t="s">
        <v>11</v>
      </c>
      <c r="C1186" s="4">
        <v>2026</v>
      </c>
      <c r="D1186" s="5" t="s">
        <v>12</v>
      </c>
      <c r="E1186" s="4">
        <v>166</v>
      </c>
      <c r="F1186" s="4" t="s">
        <v>316</v>
      </c>
      <c r="G1186" s="4" t="s">
        <v>1203</v>
      </c>
      <c r="H1186" s="4" t="s">
        <v>15</v>
      </c>
      <c r="I1186" s="4" t="s">
        <v>318</v>
      </c>
      <c r="J1186" s="4" t="s">
        <v>1205</v>
      </c>
      <c r="K1186" s="4" t="s">
        <v>188</v>
      </c>
      <c r="L1186" s="4" t="s">
        <v>3743</v>
      </c>
      <c r="M1186" s="4" t="s">
        <v>3746</v>
      </c>
      <c r="N1186" s="4" t="s">
        <v>3747</v>
      </c>
      <c r="O1186" s="17">
        <f>INDEX('список ID из СУЭ с должностями'!$A:$F,MATCH(E1186,'список ID из СУЭ с должностями'!$B:$B,0),5)</f>
        <v>0</v>
      </c>
    </row>
    <row r="1187" spans="1:15" ht="315">
      <c r="A1187" s="3" t="s">
        <v>10</v>
      </c>
      <c r="B1187" s="3" t="s">
        <v>11</v>
      </c>
      <c r="C1187" s="4">
        <v>2026</v>
      </c>
      <c r="D1187" s="5" t="s">
        <v>12</v>
      </c>
      <c r="E1187" s="4">
        <v>166</v>
      </c>
      <c r="F1187" s="4" t="s">
        <v>316</v>
      </c>
      <c r="G1187" s="4" t="s">
        <v>1203</v>
      </c>
      <c r="H1187" s="4" t="s">
        <v>41</v>
      </c>
      <c r="I1187" s="4" t="s">
        <v>352</v>
      </c>
      <c r="J1187" s="4" t="s">
        <v>823</v>
      </c>
      <c r="K1187" s="4" t="s">
        <v>25</v>
      </c>
      <c r="L1187" s="4" t="s">
        <v>3743</v>
      </c>
      <c r="M1187" s="4" t="s">
        <v>3746</v>
      </c>
      <c r="N1187" s="4" t="s">
        <v>3747</v>
      </c>
      <c r="O1187" s="17">
        <f>INDEX('список ID из СУЭ с должностями'!$A:$F,MATCH(E1187,'список ID из СУЭ с должностями'!$B:$B,0),5)</f>
        <v>0</v>
      </c>
    </row>
    <row r="1188" spans="1:15" ht="330">
      <c r="A1188" s="3" t="s">
        <v>10</v>
      </c>
      <c r="B1188" s="3" t="s">
        <v>11</v>
      </c>
      <c r="C1188" s="4">
        <v>2026</v>
      </c>
      <c r="D1188" s="5" t="s">
        <v>12</v>
      </c>
      <c r="E1188" s="4">
        <v>166</v>
      </c>
      <c r="F1188" s="4" t="s">
        <v>316</v>
      </c>
      <c r="G1188" s="4" t="s">
        <v>1203</v>
      </c>
      <c r="H1188" s="4" t="s">
        <v>15</v>
      </c>
      <c r="I1188" s="4" t="s">
        <v>323</v>
      </c>
      <c r="J1188" s="4" t="s">
        <v>826</v>
      </c>
      <c r="K1188" s="4" t="s">
        <v>66</v>
      </c>
      <c r="L1188" s="4" t="s">
        <v>3743</v>
      </c>
      <c r="M1188" s="4" t="s">
        <v>3746</v>
      </c>
      <c r="N1188" s="4" t="s">
        <v>3747</v>
      </c>
      <c r="O1188" s="17">
        <f>INDEX('список ID из СУЭ с должностями'!$A:$F,MATCH(E1188,'список ID из СУЭ с должностями'!$B:$B,0),5)</f>
        <v>0</v>
      </c>
    </row>
    <row r="1189" spans="1:15" ht="409.5">
      <c r="A1189" s="3" t="s">
        <v>10</v>
      </c>
      <c r="B1189" s="3" t="s">
        <v>11</v>
      </c>
      <c r="C1189" s="4">
        <v>2026</v>
      </c>
      <c r="D1189" s="5" t="s">
        <v>12</v>
      </c>
      <c r="E1189" s="4">
        <v>166</v>
      </c>
      <c r="F1189" s="4" t="s">
        <v>316</v>
      </c>
      <c r="G1189" s="4" t="s">
        <v>1203</v>
      </c>
      <c r="H1189" s="4" t="s">
        <v>15</v>
      </c>
      <c r="I1189" s="4" t="s">
        <v>354</v>
      </c>
      <c r="J1189" s="4" t="s">
        <v>1059</v>
      </c>
      <c r="K1189" s="4" t="s">
        <v>25</v>
      </c>
      <c r="L1189" s="4" t="s">
        <v>3743</v>
      </c>
      <c r="M1189" s="4" t="s">
        <v>3746</v>
      </c>
      <c r="N1189" s="4" t="s">
        <v>3747</v>
      </c>
      <c r="O1189" s="17">
        <f>INDEX('список ID из СУЭ с должностями'!$A:$F,MATCH(E1189,'список ID из СУЭ с должностями'!$B:$B,0),5)</f>
        <v>0</v>
      </c>
    </row>
    <row r="1190" spans="1:15" ht="150">
      <c r="A1190" s="3" t="s">
        <v>10</v>
      </c>
      <c r="B1190" s="3" t="s">
        <v>11</v>
      </c>
      <c r="C1190" s="4">
        <v>2026</v>
      </c>
      <c r="D1190" s="5" t="s">
        <v>12</v>
      </c>
      <c r="E1190" s="4">
        <v>167</v>
      </c>
      <c r="F1190" s="4" t="s">
        <v>39</v>
      </c>
      <c r="G1190" s="4" t="s">
        <v>1620</v>
      </c>
      <c r="H1190" s="4" t="s">
        <v>41</v>
      </c>
      <c r="I1190" s="4" t="s">
        <v>42</v>
      </c>
      <c r="J1190" s="4" t="s">
        <v>43</v>
      </c>
      <c r="K1190" s="4" t="s">
        <v>25</v>
      </c>
      <c r="L1190" s="4" t="s">
        <v>3743</v>
      </c>
      <c r="M1190" s="4" t="s">
        <v>3746</v>
      </c>
      <c r="N1190" s="4" t="s">
        <v>3747</v>
      </c>
      <c r="O1190" s="17" t="str">
        <f>INDEX('список ID из СУЭ с должностями'!$A:$F,MATCH(E1190,'список ID из СУЭ с должностями'!$B:$B,0),5)</f>
        <v>НС</v>
      </c>
    </row>
    <row r="1191" spans="1:15" ht="45">
      <c r="A1191" s="3" t="s">
        <v>10</v>
      </c>
      <c r="B1191" s="3" t="s">
        <v>11</v>
      </c>
      <c r="C1191" s="4">
        <v>2026</v>
      </c>
      <c r="D1191" s="5" t="s">
        <v>12</v>
      </c>
      <c r="E1191" s="4">
        <v>167</v>
      </c>
      <c r="F1191" s="4" t="s">
        <v>39</v>
      </c>
      <c r="G1191" s="4" t="s">
        <v>1620</v>
      </c>
      <c r="H1191" s="4" t="s">
        <v>15</v>
      </c>
      <c r="I1191" s="4" t="s">
        <v>64</v>
      </c>
      <c r="J1191" s="4" t="s">
        <v>65</v>
      </c>
      <c r="K1191" s="4" t="s">
        <v>66</v>
      </c>
      <c r="L1191" s="4" t="s">
        <v>3742</v>
      </c>
      <c r="M1191" s="4" t="s">
        <v>3746</v>
      </c>
      <c r="N1191" s="4" t="s">
        <v>3747</v>
      </c>
      <c r="O1191" s="17" t="str">
        <f>INDEX('список ID из СУЭ с должностями'!$A:$F,MATCH(E1191,'список ID из СУЭ с должностями'!$B:$B,0),5)</f>
        <v>НС</v>
      </c>
    </row>
    <row r="1192" spans="1:15" ht="45">
      <c r="A1192" s="3" t="s">
        <v>10</v>
      </c>
      <c r="B1192" s="3" t="s">
        <v>11</v>
      </c>
      <c r="C1192" s="4">
        <v>2026</v>
      </c>
      <c r="D1192" s="5" t="s">
        <v>12</v>
      </c>
      <c r="E1192" s="4">
        <v>167</v>
      </c>
      <c r="F1192" s="4" t="s">
        <v>39</v>
      </c>
      <c r="G1192" s="4" t="s">
        <v>1620</v>
      </c>
      <c r="H1192" s="4" t="s">
        <v>15</v>
      </c>
      <c r="I1192" s="4" t="s">
        <v>62</v>
      </c>
      <c r="J1192" s="4" t="s">
        <v>63</v>
      </c>
      <c r="K1192" s="4" t="s">
        <v>52</v>
      </c>
      <c r="L1192" s="4" t="s">
        <v>3743</v>
      </c>
      <c r="M1192" s="4" t="s">
        <v>3746</v>
      </c>
      <c r="N1192" s="4" t="s">
        <v>3747</v>
      </c>
      <c r="O1192" s="17" t="str">
        <f>INDEX('список ID из СУЭ с должностями'!$A:$F,MATCH(E1192,'список ID из СУЭ с должностями'!$B:$B,0),5)</f>
        <v>НС</v>
      </c>
    </row>
    <row r="1193" spans="1:15" ht="165">
      <c r="A1193" s="3" t="s">
        <v>10</v>
      </c>
      <c r="B1193" s="3" t="s">
        <v>11</v>
      </c>
      <c r="C1193" s="4">
        <v>2026</v>
      </c>
      <c r="D1193" s="5" t="s">
        <v>12</v>
      </c>
      <c r="E1193" s="4">
        <v>167</v>
      </c>
      <c r="F1193" s="4" t="s">
        <v>39</v>
      </c>
      <c r="G1193" s="4" t="s">
        <v>1620</v>
      </c>
      <c r="H1193" s="4" t="s">
        <v>15</v>
      </c>
      <c r="I1193" s="4" t="s">
        <v>1582</v>
      </c>
      <c r="J1193" s="4" t="s">
        <v>1621</v>
      </c>
      <c r="K1193" s="4" t="s">
        <v>52</v>
      </c>
      <c r="L1193" s="4" t="s">
        <v>3743</v>
      </c>
      <c r="M1193" s="4" t="s">
        <v>3746</v>
      </c>
      <c r="N1193" s="4" t="s">
        <v>3747</v>
      </c>
      <c r="O1193" s="17" t="str">
        <f>INDEX('список ID из СУЭ с должностями'!$A:$F,MATCH(E1193,'список ID из СУЭ с должностями'!$B:$B,0),5)</f>
        <v>НС</v>
      </c>
    </row>
    <row r="1194" spans="1:15" ht="60">
      <c r="A1194" s="3" t="s">
        <v>10</v>
      </c>
      <c r="B1194" s="3" t="s">
        <v>11</v>
      </c>
      <c r="C1194" s="4">
        <v>2026</v>
      </c>
      <c r="D1194" s="5" t="s">
        <v>12</v>
      </c>
      <c r="E1194" s="4">
        <v>167</v>
      </c>
      <c r="F1194" s="4" t="s">
        <v>39</v>
      </c>
      <c r="G1194" s="4" t="s">
        <v>1620</v>
      </c>
      <c r="H1194" s="4" t="s">
        <v>15</v>
      </c>
      <c r="I1194" s="4" t="s">
        <v>58</v>
      </c>
      <c r="J1194" s="4" t="s">
        <v>59</v>
      </c>
      <c r="K1194" s="4" t="s">
        <v>30</v>
      </c>
      <c r="L1194" s="4" t="s">
        <v>3742</v>
      </c>
      <c r="M1194" s="4" t="s">
        <v>3746</v>
      </c>
      <c r="N1194" s="4" t="s">
        <v>3747</v>
      </c>
      <c r="O1194" s="17" t="str">
        <f>INDEX('список ID из СУЭ с должностями'!$A:$F,MATCH(E1194,'список ID из СУЭ с должностями'!$B:$B,0),5)</f>
        <v>НС</v>
      </c>
    </row>
    <row r="1195" spans="1:15" ht="60">
      <c r="A1195" s="3" t="s">
        <v>10</v>
      </c>
      <c r="B1195" s="3" t="s">
        <v>11</v>
      </c>
      <c r="C1195" s="4">
        <v>2026</v>
      </c>
      <c r="D1195" s="5" t="s">
        <v>12</v>
      </c>
      <c r="E1195" s="4">
        <v>167</v>
      </c>
      <c r="F1195" s="4" t="s">
        <v>39</v>
      </c>
      <c r="G1195" s="4" t="s">
        <v>1620</v>
      </c>
      <c r="H1195" s="4" t="s">
        <v>15</v>
      </c>
      <c r="I1195" s="4" t="s">
        <v>56</v>
      </c>
      <c r="J1195" s="4" t="s">
        <v>57</v>
      </c>
      <c r="K1195" s="4" t="s">
        <v>55</v>
      </c>
      <c r="L1195" s="4" t="s">
        <v>3743</v>
      </c>
      <c r="M1195" s="4" t="s">
        <v>3746</v>
      </c>
      <c r="N1195" s="4" t="s">
        <v>3747</v>
      </c>
      <c r="O1195" s="17" t="str">
        <f>INDEX('список ID из СУЭ с должностями'!$A:$F,MATCH(E1195,'список ID из СУЭ с должностями'!$B:$B,0),5)</f>
        <v>НС</v>
      </c>
    </row>
    <row r="1196" spans="1:15" ht="45">
      <c r="A1196" s="3" t="s">
        <v>10</v>
      </c>
      <c r="B1196" s="3" t="s">
        <v>11</v>
      </c>
      <c r="C1196" s="4">
        <v>2026</v>
      </c>
      <c r="D1196" s="5" t="s">
        <v>12</v>
      </c>
      <c r="E1196" s="4">
        <v>167</v>
      </c>
      <c r="F1196" s="4" t="s">
        <v>39</v>
      </c>
      <c r="G1196" s="4" t="s">
        <v>1620</v>
      </c>
      <c r="H1196" s="4" t="s">
        <v>15</v>
      </c>
      <c r="I1196" s="4" t="s">
        <v>53</v>
      </c>
      <c r="J1196" s="4" t="s">
        <v>1622</v>
      </c>
      <c r="K1196" s="4" t="s">
        <v>55</v>
      </c>
      <c r="L1196" s="4" t="s">
        <v>3743</v>
      </c>
      <c r="M1196" s="4" t="s">
        <v>3746</v>
      </c>
      <c r="N1196" s="4" t="s">
        <v>3747</v>
      </c>
      <c r="O1196" s="17" t="str">
        <f>INDEX('список ID из СУЭ с должностями'!$A:$F,MATCH(E1196,'список ID из СУЭ с должностями'!$B:$B,0),5)</f>
        <v>НС</v>
      </c>
    </row>
    <row r="1197" spans="1:15" ht="45">
      <c r="A1197" s="3" t="s">
        <v>10</v>
      </c>
      <c r="B1197" s="3" t="s">
        <v>11</v>
      </c>
      <c r="C1197" s="4">
        <v>2026</v>
      </c>
      <c r="D1197" s="5" t="s">
        <v>12</v>
      </c>
      <c r="E1197" s="4">
        <v>167</v>
      </c>
      <c r="F1197" s="4" t="s">
        <v>39</v>
      </c>
      <c r="G1197" s="4" t="s">
        <v>1620</v>
      </c>
      <c r="H1197" s="4" t="s">
        <v>15</v>
      </c>
      <c r="I1197" s="4" t="s">
        <v>50</v>
      </c>
      <c r="J1197" s="4" t="s">
        <v>51</v>
      </c>
      <c r="K1197" s="4" t="s">
        <v>52</v>
      </c>
      <c r="L1197" s="4" t="s">
        <v>3742</v>
      </c>
      <c r="M1197" s="4" t="s">
        <v>3746</v>
      </c>
      <c r="N1197" s="4" t="s">
        <v>3747</v>
      </c>
      <c r="O1197" s="17" t="str">
        <f>INDEX('список ID из СУЭ с должностями'!$A:$F,MATCH(E1197,'список ID из СУЭ с должностями'!$B:$B,0),5)</f>
        <v>НС</v>
      </c>
    </row>
    <row r="1198" spans="1:15" ht="105">
      <c r="A1198" s="3" t="s">
        <v>10</v>
      </c>
      <c r="B1198" s="3" t="s">
        <v>11</v>
      </c>
      <c r="C1198" s="4">
        <v>2026</v>
      </c>
      <c r="D1198" s="5" t="s">
        <v>12</v>
      </c>
      <c r="E1198" s="4">
        <v>167</v>
      </c>
      <c r="F1198" s="4" t="s">
        <v>39</v>
      </c>
      <c r="G1198" s="4" t="s">
        <v>1620</v>
      </c>
      <c r="H1198" s="4" t="s">
        <v>15</v>
      </c>
      <c r="I1198" s="4" t="s">
        <v>48</v>
      </c>
      <c r="J1198" s="4" t="s">
        <v>49</v>
      </c>
      <c r="K1198" s="4" t="s">
        <v>35</v>
      </c>
      <c r="L1198" s="4" t="s">
        <v>3743</v>
      </c>
      <c r="M1198" s="4" t="s">
        <v>3746</v>
      </c>
      <c r="N1198" s="4" t="s">
        <v>3747</v>
      </c>
      <c r="O1198" s="17" t="str">
        <f>INDEX('список ID из СУЭ с должностями'!$A:$F,MATCH(E1198,'список ID из СУЭ с должностями'!$B:$B,0),5)</f>
        <v>НС</v>
      </c>
    </row>
    <row r="1199" spans="1:15" ht="150">
      <c r="A1199" s="3" t="s">
        <v>10</v>
      </c>
      <c r="B1199" s="3" t="s">
        <v>11</v>
      </c>
      <c r="C1199" s="4">
        <v>2026</v>
      </c>
      <c r="D1199" s="5" t="s">
        <v>12</v>
      </c>
      <c r="E1199" s="4">
        <v>167</v>
      </c>
      <c r="F1199" s="4" t="s">
        <v>39</v>
      </c>
      <c r="G1199" s="4" t="s">
        <v>1620</v>
      </c>
      <c r="H1199" s="4" t="s">
        <v>15</v>
      </c>
      <c r="I1199" s="4" t="s">
        <v>46</v>
      </c>
      <c r="J1199" s="4" t="s">
        <v>47</v>
      </c>
      <c r="K1199" s="4" t="s">
        <v>20</v>
      </c>
      <c r="L1199" s="4" t="s">
        <v>3743</v>
      </c>
      <c r="M1199" s="4" t="s">
        <v>3746</v>
      </c>
      <c r="N1199" s="4" t="s">
        <v>3747</v>
      </c>
      <c r="O1199" s="17" t="str">
        <f>INDEX('список ID из СУЭ с должностями'!$A:$F,MATCH(E1199,'список ID из СУЭ с должностями'!$B:$B,0),5)</f>
        <v>НС</v>
      </c>
    </row>
    <row r="1200" spans="1:15" ht="60">
      <c r="A1200" s="3" t="s">
        <v>10</v>
      </c>
      <c r="B1200" s="3" t="s">
        <v>11</v>
      </c>
      <c r="C1200" s="4">
        <v>2026</v>
      </c>
      <c r="D1200" s="5" t="s">
        <v>12</v>
      </c>
      <c r="E1200" s="4">
        <v>168</v>
      </c>
      <c r="F1200" s="4" t="s">
        <v>193</v>
      </c>
      <c r="G1200" s="4" t="s">
        <v>1275</v>
      </c>
      <c r="H1200" s="4" t="s">
        <v>15</v>
      </c>
      <c r="I1200" s="4" t="s">
        <v>188</v>
      </c>
      <c r="J1200" s="4">
        <v>0</v>
      </c>
      <c r="K1200" s="4" t="s">
        <v>188</v>
      </c>
      <c r="L1200" s="4" t="s">
        <v>3743</v>
      </c>
      <c r="M1200" s="4" t="s">
        <v>3746</v>
      </c>
      <c r="N1200" s="4" t="s">
        <v>3747</v>
      </c>
      <c r="O1200" s="17" t="str">
        <f>INDEX('список ID из СУЭ с должностями'!$A:$F,MATCH(E1200,'список ID из СУЭ с должностями'!$B:$B,0),5)</f>
        <v>Инж смены</v>
      </c>
    </row>
    <row r="1201" spans="1:15" ht="75">
      <c r="A1201" s="3" t="s">
        <v>10</v>
      </c>
      <c r="B1201" s="3" t="s">
        <v>11</v>
      </c>
      <c r="C1201" s="4">
        <v>2026</v>
      </c>
      <c r="D1201" s="5" t="s">
        <v>12</v>
      </c>
      <c r="E1201" s="4">
        <v>168</v>
      </c>
      <c r="F1201" s="4" t="s">
        <v>193</v>
      </c>
      <c r="G1201" s="4" t="s">
        <v>1275</v>
      </c>
      <c r="H1201" s="4" t="s">
        <v>15</v>
      </c>
      <c r="I1201" s="4" t="s">
        <v>817</v>
      </c>
      <c r="J1201" s="4" t="s">
        <v>196</v>
      </c>
      <c r="K1201" s="4" t="s">
        <v>20</v>
      </c>
      <c r="L1201" s="4" t="s">
        <v>3742</v>
      </c>
      <c r="M1201" s="4" t="s">
        <v>3746</v>
      </c>
      <c r="N1201" s="4" t="s">
        <v>3747</v>
      </c>
      <c r="O1201" s="17" t="str">
        <f>INDEX('список ID из СУЭ с должностями'!$A:$F,MATCH(E1201,'список ID из СУЭ с должностями'!$B:$B,0),5)</f>
        <v>Инж смены</v>
      </c>
    </row>
    <row r="1202" spans="1:15" ht="45">
      <c r="A1202" s="3" t="s">
        <v>10</v>
      </c>
      <c r="B1202" s="3" t="s">
        <v>11</v>
      </c>
      <c r="C1202" s="4">
        <v>2026</v>
      </c>
      <c r="D1202" s="5" t="s">
        <v>12</v>
      </c>
      <c r="E1202" s="4">
        <v>168</v>
      </c>
      <c r="F1202" s="4" t="s">
        <v>193</v>
      </c>
      <c r="G1202" s="4" t="s">
        <v>1275</v>
      </c>
      <c r="H1202" s="4" t="s">
        <v>15</v>
      </c>
      <c r="I1202" s="4" t="s">
        <v>35</v>
      </c>
      <c r="J1202" s="4" t="s">
        <v>656</v>
      </c>
      <c r="K1202" s="4" t="s">
        <v>35</v>
      </c>
      <c r="L1202" s="4" t="s">
        <v>3743</v>
      </c>
      <c r="M1202" s="4" t="s">
        <v>3746</v>
      </c>
      <c r="N1202" s="4" t="s">
        <v>3747</v>
      </c>
      <c r="O1202" s="17" t="str">
        <f>INDEX('список ID из СУЭ с должностями'!$A:$F,MATCH(E1202,'список ID из СУЭ с должностями'!$B:$B,0),5)</f>
        <v>Инж смены</v>
      </c>
    </row>
    <row r="1203" spans="1:15" ht="45">
      <c r="A1203" s="3" t="s">
        <v>10</v>
      </c>
      <c r="B1203" s="3" t="s">
        <v>11</v>
      </c>
      <c r="C1203" s="4">
        <v>2026</v>
      </c>
      <c r="D1203" s="5" t="s">
        <v>12</v>
      </c>
      <c r="E1203" s="4">
        <v>168</v>
      </c>
      <c r="F1203" s="4" t="s">
        <v>193</v>
      </c>
      <c r="G1203" s="4" t="s">
        <v>1275</v>
      </c>
      <c r="H1203" s="4" t="s">
        <v>15</v>
      </c>
      <c r="I1203" s="4" t="s">
        <v>984</v>
      </c>
      <c r="J1203" s="4" t="s">
        <v>192</v>
      </c>
      <c r="K1203" s="4" t="s">
        <v>66</v>
      </c>
      <c r="L1203" s="4" t="s">
        <v>3742</v>
      </c>
      <c r="M1203" s="4" t="s">
        <v>3746</v>
      </c>
      <c r="N1203" s="4" t="s">
        <v>3747</v>
      </c>
      <c r="O1203" s="17" t="str">
        <f>INDEX('список ID из СУЭ с должностями'!$A:$F,MATCH(E1203,'список ID из СУЭ с должностями'!$B:$B,0),5)</f>
        <v>Инж смены</v>
      </c>
    </row>
    <row r="1204" spans="1:15" ht="150">
      <c r="A1204" s="3" t="s">
        <v>10</v>
      </c>
      <c r="B1204" s="3" t="s">
        <v>11</v>
      </c>
      <c r="C1204" s="4">
        <v>2026</v>
      </c>
      <c r="D1204" s="5" t="s">
        <v>12</v>
      </c>
      <c r="E1204" s="4">
        <v>168</v>
      </c>
      <c r="F1204" s="4" t="s">
        <v>193</v>
      </c>
      <c r="G1204" s="4" t="s">
        <v>1275</v>
      </c>
      <c r="H1204" s="4" t="s">
        <v>15</v>
      </c>
      <c r="I1204" s="4" t="s">
        <v>46</v>
      </c>
      <c r="J1204" s="4" t="s">
        <v>1623</v>
      </c>
      <c r="K1204" s="4" t="s">
        <v>20</v>
      </c>
      <c r="L1204" s="4" t="s">
        <v>3743</v>
      </c>
      <c r="M1204" s="4" t="s">
        <v>3746</v>
      </c>
      <c r="N1204" s="4" t="s">
        <v>3747</v>
      </c>
      <c r="O1204" s="17" t="str">
        <f>INDEX('список ID из СУЭ с должностями'!$A:$F,MATCH(E1204,'список ID из СУЭ с должностями'!$B:$B,0),5)</f>
        <v>Инж смены</v>
      </c>
    </row>
    <row r="1205" spans="1:15" ht="90">
      <c r="A1205" s="3" t="s">
        <v>10</v>
      </c>
      <c r="B1205" s="3" t="s">
        <v>11</v>
      </c>
      <c r="C1205" s="4">
        <v>2026</v>
      </c>
      <c r="D1205" s="5" t="s">
        <v>12</v>
      </c>
      <c r="E1205" s="4">
        <v>169</v>
      </c>
      <c r="F1205" s="4" t="s">
        <v>193</v>
      </c>
      <c r="G1205" s="4" t="s">
        <v>300</v>
      </c>
      <c r="H1205" s="4" t="s">
        <v>15</v>
      </c>
      <c r="I1205" s="4" t="s">
        <v>301</v>
      </c>
      <c r="J1205" s="4" t="s">
        <v>302</v>
      </c>
      <c r="K1205" s="4" t="s">
        <v>66</v>
      </c>
      <c r="L1205" s="4" t="s">
        <v>3742</v>
      </c>
      <c r="M1205" s="4" t="s">
        <v>3746</v>
      </c>
      <c r="N1205" s="4" t="s">
        <v>3747</v>
      </c>
      <c r="O1205" s="17">
        <f>INDEX('список ID из СУЭ с должностями'!$A:$F,MATCH(E1205,'список ID из СУЭ с должностями'!$B:$B,0),5)</f>
        <v>0</v>
      </c>
    </row>
    <row r="1206" spans="1:15" ht="180">
      <c r="A1206" s="3" t="s">
        <v>10</v>
      </c>
      <c r="B1206" s="3" t="s">
        <v>11</v>
      </c>
      <c r="C1206" s="4">
        <v>2026</v>
      </c>
      <c r="D1206" s="5" t="s">
        <v>12</v>
      </c>
      <c r="E1206" s="4">
        <v>169</v>
      </c>
      <c r="F1206" s="4" t="s">
        <v>193</v>
      </c>
      <c r="G1206" s="4" t="s">
        <v>300</v>
      </c>
      <c r="H1206" s="4" t="s">
        <v>15</v>
      </c>
      <c r="I1206" s="4" t="s">
        <v>303</v>
      </c>
      <c r="J1206" s="4" t="s">
        <v>304</v>
      </c>
      <c r="K1206" s="4" t="s">
        <v>52</v>
      </c>
      <c r="L1206" s="4" t="s">
        <v>3743</v>
      </c>
      <c r="M1206" s="4" t="s">
        <v>3746</v>
      </c>
      <c r="N1206" s="4" t="s">
        <v>3747</v>
      </c>
      <c r="O1206" s="17">
        <f>INDEX('список ID из СУЭ с должностями'!$A:$F,MATCH(E1206,'список ID из СУЭ с должностями'!$B:$B,0),5)</f>
        <v>0</v>
      </c>
    </row>
    <row r="1207" spans="1:15" ht="120">
      <c r="A1207" s="3" t="s">
        <v>10</v>
      </c>
      <c r="B1207" s="3" t="s">
        <v>11</v>
      </c>
      <c r="C1207" s="4">
        <v>2026</v>
      </c>
      <c r="D1207" s="5" t="s">
        <v>12</v>
      </c>
      <c r="E1207" s="4">
        <v>169</v>
      </c>
      <c r="F1207" s="4" t="s">
        <v>193</v>
      </c>
      <c r="G1207" s="4" t="s">
        <v>300</v>
      </c>
      <c r="H1207" s="4" t="s">
        <v>15</v>
      </c>
      <c r="I1207" s="4" t="s">
        <v>1624</v>
      </c>
      <c r="J1207" s="4" t="s">
        <v>306</v>
      </c>
      <c r="K1207" s="4" t="s">
        <v>35</v>
      </c>
      <c r="L1207" s="4" t="s">
        <v>3743</v>
      </c>
      <c r="M1207" s="4" t="s">
        <v>3746</v>
      </c>
      <c r="N1207" s="4" t="s">
        <v>3747</v>
      </c>
      <c r="O1207" s="17">
        <f>INDEX('список ID из СУЭ с должностями'!$A:$F,MATCH(E1207,'список ID из СУЭ с должностями'!$B:$B,0),5)</f>
        <v>0</v>
      </c>
    </row>
    <row r="1208" spans="1:15" ht="60">
      <c r="A1208" s="3" t="s">
        <v>10</v>
      </c>
      <c r="B1208" s="3" t="s">
        <v>11</v>
      </c>
      <c r="C1208" s="4">
        <v>2026</v>
      </c>
      <c r="D1208" s="5" t="s">
        <v>12</v>
      </c>
      <c r="E1208" s="4">
        <v>170</v>
      </c>
      <c r="F1208" s="4" t="s">
        <v>193</v>
      </c>
      <c r="G1208" s="4" t="s">
        <v>1625</v>
      </c>
      <c r="H1208" s="4" t="s">
        <v>15</v>
      </c>
      <c r="I1208" s="4" t="s">
        <v>48</v>
      </c>
      <c r="J1208" s="4" t="s">
        <v>1626</v>
      </c>
      <c r="K1208" s="4" t="s">
        <v>35</v>
      </c>
      <c r="L1208" s="4" t="s">
        <v>3743</v>
      </c>
      <c r="M1208" s="4" t="s">
        <v>3746</v>
      </c>
      <c r="N1208" s="4" t="s">
        <v>3747</v>
      </c>
      <c r="O1208" s="17" t="str">
        <f>INDEX('список ID из СУЭ с должностями'!$A:$F,MATCH(E1208,'список ID из СУЭ с должностями'!$B:$B,0),5)</f>
        <v>Инж смены</v>
      </c>
    </row>
    <row r="1209" spans="1:15" ht="60">
      <c r="A1209" s="3" t="s">
        <v>10</v>
      </c>
      <c r="B1209" s="3" t="s">
        <v>11</v>
      </c>
      <c r="C1209" s="4">
        <v>2026</v>
      </c>
      <c r="D1209" s="5" t="s">
        <v>12</v>
      </c>
      <c r="E1209" s="4">
        <v>170</v>
      </c>
      <c r="F1209" s="4" t="s">
        <v>193</v>
      </c>
      <c r="G1209" s="4" t="s">
        <v>1625</v>
      </c>
      <c r="H1209" s="4" t="s">
        <v>15</v>
      </c>
      <c r="I1209" s="4" t="s">
        <v>1444</v>
      </c>
      <c r="J1209" s="4" t="s">
        <v>1627</v>
      </c>
      <c r="K1209" s="4" t="s">
        <v>66</v>
      </c>
      <c r="L1209" s="4" t="s">
        <v>3743</v>
      </c>
      <c r="M1209" s="4" t="s">
        <v>3746</v>
      </c>
      <c r="N1209" s="4" t="s">
        <v>3747</v>
      </c>
      <c r="O1209" s="17" t="str">
        <f>INDEX('список ID из СУЭ с должностями'!$A:$F,MATCH(E1209,'список ID из СУЭ с должностями'!$B:$B,0),5)</f>
        <v>Инж смены</v>
      </c>
    </row>
    <row r="1210" spans="1:15" ht="60">
      <c r="A1210" s="3" t="s">
        <v>10</v>
      </c>
      <c r="B1210" s="3" t="s">
        <v>11</v>
      </c>
      <c r="C1210" s="4">
        <v>2026</v>
      </c>
      <c r="D1210" s="5" t="s">
        <v>12</v>
      </c>
      <c r="E1210" s="4">
        <v>170</v>
      </c>
      <c r="F1210" s="4" t="s">
        <v>193</v>
      </c>
      <c r="G1210" s="4" t="s">
        <v>1625</v>
      </c>
      <c r="H1210" s="4" t="s">
        <v>15</v>
      </c>
      <c r="I1210" s="4" t="s">
        <v>1446</v>
      </c>
      <c r="J1210" s="4" t="s">
        <v>1447</v>
      </c>
      <c r="K1210" s="4" t="s">
        <v>66</v>
      </c>
      <c r="L1210" s="4" t="s">
        <v>3742</v>
      </c>
      <c r="M1210" s="4" t="s">
        <v>3746</v>
      </c>
      <c r="N1210" s="4" t="s">
        <v>3747</v>
      </c>
      <c r="O1210" s="17" t="str">
        <f>INDEX('список ID из СУЭ с должностями'!$A:$F,MATCH(E1210,'список ID из СУЭ с должностями'!$B:$B,0),5)</f>
        <v>Инж смены</v>
      </c>
    </row>
    <row r="1211" spans="1:15" ht="60">
      <c r="A1211" s="3" t="s">
        <v>10</v>
      </c>
      <c r="B1211" s="3" t="s">
        <v>11</v>
      </c>
      <c r="C1211" s="4">
        <v>2026</v>
      </c>
      <c r="D1211" s="5" t="s">
        <v>12</v>
      </c>
      <c r="E1211" s="4">
        <v>170</v>
      </c>
      <c r="F1211" s="4" t="s">
        <v>193</v>
      </c>
      <c r="G1211" s="4" t="s">
        <v>1625</v>
      </c>
      <c r="H1211" s="4" t="s">
        <v>15</v>
      </c>
      <c r="I1211" s="4" t="s">
        <v>817</v>
      </c>
      <c r="J1211" s="4" t="s">
        <v>196</v>
      </c>
      <c r="K1211" s="4" t="s">
        <v>35</v>
      </c>
      <c r="L1211" s="4" t="s">
        <v>3742</v>
      </c>
      <c r="M1211" s="4" t="s">
        <v>3746</v>
      </c>
      <c r="N1211" s="4" t="s">
        <v>3747</v>
      </c>
      <c r="O1211" s="17" t="str">
        <f>INDEX('список ID из СУЭ с должностями'!$A:$F,MATCH(E1211,'список ID из СУЭ с должностями'!$B:$B,0),5)</f>
        <v>Инж смены</v>
      </c>
    </row>
    <row r="1212" spans="1:15" ht="120">
      <c r="A1212" s="3" t="s">
        <v>10</v>
      </c>
      <c r="B1212" s="3" t="s">
        <v>11</v>
      </c>
      <c r="C1212" s="4">
        <v>2026</v>
      </c>
      <c r="D1212" s="5" t="s">
        <v>12</v>
      </c>
      <c r="E1212" s="4">
        <v>170</v>
      </c>
      <c r="F1212" s="4" t="s">
        <v>193</v>
      </c>
      <c r="G1212" s="4" t="s">
        <v>1625</v>
      </c>
      <c r="H1212" s="4" t="s">
        <v>15</v>
      </c>
      <c r="I1212" s="4" t="s">
        <v>198</v>
      </c>
      <c r="J1212" s="4" t="s">
        <v>1628</v>
      </c>
      <c r="K1212" s="4" t="s">
        <v>20</v>
      </c>
      <c r="L1212" s="4" t="s">
        <v>3743</v>
      </c>
      <c r="M1212" s="4" t="s">
        <v>3746</v>
      </c>
      <c r="N1212" s="4" t="s">
        <v>3747</v>
      </c>
      <c r="O1212" s="17" t="str">
        <f>INDEX('список ID из СУЭ с должностями'!$A:$F,MATCH(E1212,'список ID из СУЭ с должностями'!$B:$B,0),5)</f>
        <v>Инж смены</v>
      </c>
    </row>
    <row r="1213" spans="1:15" ht="255">
      <c r="A1213" s="3" t="s">
        <v>10</v>
      </c>
      <c r="B1213" s="3" t="s">
        <v>11</v>
      </c>
      <c r="C1213" s="4">
        <v>2026</v>
      </c>
      <c r="D1213" s="5" t="s">
        <v>12</v>
      </c>
      <c r="E1213" s="4">
        <v>171</v>
      </c>
      <c r="F1213" s="4" t="s">
        <v>577</v>
      </c>
      <c r="G1213" s="4" t="s">
        <v>45</v>
      </c>
      <c r="H1213" s="4" t="s">
        <v>21</v>
      </c>
      <c r="I1213" s="4" t="s">
        <v>1629</v>
      </c>
      <c r="J1213" s="4" t="s">
        <v>1630</v>
      </c>
      <c r="K1213" s="4" t="s">
        <v>38</v>
      </c>
      <c r="L1213" s="4" t="s">
        <v>3743</v>
      </c>
      <c r="M1213" s="4" t="s">
        <v>3746</v>
      </c>
      <c r="N1213" s="4" t="s">
        <v>3747</v>
      </c>
      <c r="O1213" s="17" t="str">
        <f>INDEX('список ID из СУЭ с должностями'!$A:$F,MATCH(E1213,'список ID из СУЭ с должностями'!$B:$B,0),5)</f>
        <v>ИПРО</v>
      </c>
    </row>
    <row r="1214" spans="1:15" ht="75">
      <c r="A1214" s="3" t="s">
        <v>10</v>
      </c>
      <c r="B1214" s="3" t="s">
        <v>11</v>
      </c>
      <c r="C1214" s="4">
        <v>2026</v>
      </c>
      <c r="D1214" s="5" t="s">
        <v>12</v>
      </c>
      <c r="E1214" s="4">
        <v>171</v>
      </c>
      <c r="F1214" s="4" t="s">
        <v>577</v>
      </c>
      <c r="G1214" s="4" t="s">
        <v>45</v>
      </c>
      <c r="H1214" s="4" t="s">
        <v>15</v>
      </c>
      <c r="I1214" s="4" t="s">
        <v>48</v>
      </c>
      <c r="J1214" s="4" t="s">
        <v>581</v>
      </c>
      <c r="K1214" s="4" t="s">
        <v>35</v>
      </c>
      <c r="L1214" s="4" t="s">
        <v>3742</v>
      </c>
      <c r="M1214" s="4" t="s">
        <v>3746</v>
      </c>
      <c r="N1214" s="4" t="s">
        <v>3747</v>
      </c>
      <c r="O1214" s="17" t="str">
        <f>INDEX('список ID из СУЭ с должностями'!$A:$F,MATCH(E1214,'список ID из СУЭ с должностями'!$B:$B,0),5)</f>
        <v>ИПРО</v>
      </c>
    </row>
    <row r="1215" spans="1:15" ht="75">
      <c r="A1215" s="3" t="s">
        <v>10</v>
      </c>
      <c r="B1215" s="3" t="s">
        <v>11</v>
      </c>
      <c r="C1215" s="4">
        <v>2026</v>
      </c>
      <c r="D1215" s="5" t="s">
        <v>12</v>
      </c>
      <c r="E1215" s="4">
        <v>171</v>
      </c>
      <c r="F1215" s="4" t="s">
        <v>577</v>
      </c>
      <c r="G1215" s="4" t="s">
        <v>45</v>
      </c>
      <c r="H1215" s="4" t="s">
        <v>15</v>
      </c>
      <c r="I1215" s="4" t="s">
        <v>1631</v>
      </c>
      <c r="J1215" s="4" t="s">
        <v>1632</v>
      </c>
      <c r="K1215" s="4" t="s">
        <v>38</v>
      </c>
      <c r="L1215" s="4" t="s">
        <v>3743</v>
      </c>
      <c r="M1215" s="4" t="s">
        <v>3746</v>
      </c>
      <c r="N1215" s="4" t="s">
        <v>3747</v>
      </c>
      <c r="O1215" s="17" t="str">
        <f>INDEX('список ID из СУЭ с должностями'!$A:$F,MATCH(E1215,'список ID из СУЭ с должностями'!$B:$B,0),5)</f>
        <v>ИПРО</v>
      </c>
    </row>
    <row r="1216" spans="1:15" ht="75">
      <c r="A1216" s="3" t="s">
        <v>10</v>
      </c>
      <c r="B1216" s="3" t="s">
        <v>11</v>
      </c>
      <c r="C1216" s="4">
        <v>2026</v>
      </c>
      <c r="D1216" s="5" t="s">
        <v>12</v>
      </c>
      <c r="E1216" s="4">
        <v>171</v>
      </c>
      <c r="F1216" s="4" t="s">
        <v>577</v>
      </c>
      <c r="G1216" s="4" t="s">
        <v>45</v>
      </c>
      <c r="H1216" s="4" t="s">
        <v>15</v>
      </c>
      <c r="I1216" s="4" t="s">
        <v>588</v>
      </c>
      <c r="J1216" s="4" t="s">
        <v>589</v>
      </c>
      <c r="K1216" s="4" t="s">
        <v>20</v>
      </c>
      <c r="L1216" s="4" t="s">
        <v>3743</v>
      </c>
      <c r="M1216" s="4" t="s">
        <v>3746</v>
      </c>
      <c r="N1216" s="4" t="s">
        <v>3747</v>
      </c>
      <c r="O1216" s="17" t="str">
        <f>INDEX('список ID из СУЭ с должностями'!$A:$F,MATCH(E1216,'список ID из СУЭ с должностями'!$B:$B,0),5)</f>
        <v>ИПРО</v>
      </c>
    </row>
    <row r="1217" spans="1:15" ht="75">
      <c r="A1217" s="3" t="s">
        <v>10</v>
      </c>
      <c r="B1217" s="3" t="s">
        <v>11</v>
      </c>
      <c r="C1217" s="4">
        <v>2026</v>
      </c>
      <c r="D1217" s="5" t="s">
        <v>12</v>
      </c>
      <c r="E1217" s="4">
        <v>171</v>
      </c>
      <c r="F1217" s="4" t="s">
        <v>577</v>
      </c>
      <c r="G1217" s="4" t="s">
        <v>45</v>
      </c>
      <c r="H1217" s="4" t="s">
        <v>15</v>
      </c>
      <c r="I1217" s="4" t="s">
        <v>584</v>
      </c>
      <c r="J1217" s="4" t="s">
        <v>633</v>
      </c>
      <c r="K1217" s="4" t="s">
        <v>30</v>
      </c>
      <c r="L1217" s="4" t="s">
        <v>3743</v>
      </c>
      <c r="M1217" s="4" t="s">
        <v>3746</v>
      </c>
      <c r="N1217" s="4" t="s">
        <v>3747</v>
      </c>
      <c r="O1217" s="17" t="str">
        <f>INDEX('список ID из СУЭ с должностями'!$A:$F,MATCH(E1217,'список ID из СУЭ с должностями'!$B:$B,0),5)</f>
        <v>ИПРО</v>
      </c>
    </row>
    <row r="1218" spans="1:15" ht="135">
      <c r="A1218" s="3" t="s">
        <v>10</v>
      </c>
      <c r="B1218" s="3" t="s">
        <v>11</v>
      </c>
      <c r="C1218" s="4">
        <v>2026</v>
      </c>
      <c r="D1218" s="5" t="s">
        <v>12</v>
      </c>
      <c r="E1218" s="4">
        <v>171</v>
      </c>
      <c r="F1218" s="4" t="s">
        <v>577</v>
      </c>
      <c r="G1218" s="4" t="s">
        <v>45</v>
      </c>
      <c r="H1218" s="4" t="s">
        <v>15</v>
      </c>
      <c r="I1218" s="4" t="s">
        <v>582</v>
      </c>
      <c r="J1218" s="4" t="s">
        <v>583</v>
      </c>
      <c r="K1218" s="4" t="s">
        <v>30</v>
      </c>
      <c r="L1218" s="4" t="s">
        <v>3743</v>
      </c>
      <c r="M1218" s="4" t="s">
        <v>3746</v>
      </c>
      <c r="N1218" s="4" t="s">
        <v>3747</v>
      </c>
      <c r="O1218" s="17" t="str">
        <f>INDEX('список ID из СУЭ с должностями'!$A:$F,MATCH(E1218,'список ID из СУЭ с должностями'!$B:$B,0),5)</f>
        <v>ИПРО</v>
      </c>
    </row>
    <row r="1219" spans="1:15" ht="75">
      <c r="A1219" s="3" t="s">
        <v>10</v>
      </c>
      <c r="B1219" s="3" t="s">
        <v>11</v>
      </c>
      <c r="C1219" s="4">
        <v>2026</v>
      </c>
      <c r="D1219" s="5" t="s">
        <v>12</v>
      </c>
      <c r="E1219" s="4">
        <v>171</v>
      </c>
      <c r="F1219" s="4" t="s">
        <v>577</v>
      </c>
      <c r="G1219" s="4" t="s">
        <v>45</v>
      </c>
      <c r="H1219" s="4" t="s">
        <v>15</v>
      </c>
      <c r="I1219" s="4" t="s">
        <v>631</v>
      </c>
      <c r="J1219" s="4" t="s">
        <v>632</v>
      </c>
      <c r="K1219" s="4" t="s">
        <v>30</v>
      </c>
      <c r="L1219" s="4" t="s">
        <v>3743</v>
      </c>
      <c r="M1219" s="4" t="s">
        <v>3746</v>
      </c>
      <c r="N1219" s="4" t="s">
        <v>3747</v>
      </c>
      <c r="O1219" s="17" t="str">
        <f>INDEX('список ID из СУЭ с должностями'!$A:$F,MATCH(E1219,'список ID из СУЭ с должностями'!$B:$B,0),5)</f>
        <v>ИПРО</v>
      </c>
    </row>
    <row r="1220" spans="1:15" ht="120">
      <c r="A1220" s="3" t="s">
        <v>10</v>
      </c>
      <c r="B1220" s="3" t="s">
        <v>11</v>
      </c>
      <c r="C1220" s="4">
        <v>2026</v>
      </c>
      <c r="D1220" s="5" t="s">
        <v>12</v>
      </c>
      <c r="E1220" s="4">
        <v>172</v>
      </c>
      <c r="F1220" s="4" t="s">
        <v>84</v>
      </c>
      <c r="G1220" s="4" t="s">
        <v>85</v>
      </c>
      <c r="H1220" s="4" t="s">
        <v>15</v>
      </c>
      <c r="I1220" s="4" t="s">
        <v>86</v>
      </c>
      <c r="J1220" s="4" t="s">
        <v>267</v>
      </c>
      <c r="K1220" s="4" t="s">
        <v>35</v>
      </c>
      <c r="L1220" s="4" t="s">
        <v>3743</v>
      </c>
      <c r="M1220" s="4" t="s">
        <v>3746</v>
      </c>
      <c r="N1220" s="4" t="s">
        <v>3747</v>
      </c>
      <c r="O1220" s="17">
        <f>INDEX('список ID из СУЭ с должностями'!$A:$F,MATCH(E1220,'список ID из СУЭ с должностями'!$B:$B,0),5)</f>
        <v>0</v>
      </c>
    </row>
    <row r="1221" spans="1:15" ht="75">
      <c r="A1221" s="3" t="s">
        <v>10</v>
      </c>
      <c r="B1221" s="3" t="s">
        <v>11</v>
      </c>
      <c r="C1221" s="4">
        <v>2026</v>
      </c>
      <c r="D1221" s="5" t="s">
        <v>12</v>
      </c>
      <c r="E1221" s="4">
        <v>172</v>
      </c>
      <c r="F1221" s="4" t="s">
        <v>84</v>
      </c>
      <c r="G1221" s="4" t="s">
        <v>85</v>
      </c>
      <c r="H1221" s="4" t="s">
        <v>41</v>
      </c>
      <c r="I1221" s="4" t="s">
        <v>268</v>
      </c>
      <c r="J1221" s="4" t="s">
        <v>1633</v>
      </c>
      <c r="K1221" s="4" t="s">
        <v>30</v>
      </c>
      <c r="L1221" s="4" t="s">
        <v>3743</v>
      </c>
      <c r="M1221" s="4" t="s">
        <v>3746</v>
      </c>
      <c r="N1221" s="4" t="s">
        <v>3747</v>
      </c>
      <c r="O1221" s="17">
        <f>INDEX('список ID из СУЭ с должностями'!$A:$F,MATCH(E1221,'список ID из СУЭ с должностями'!$B:$B,0),5)</f>
        <v>0</v>
      </c>
    </row>
    <row r="1222" spans="1:15" ht="75">
      <c r="A1222" s="3" t="s">
        <v>10</v>
      </c>
      <c r="B1222" s="3" t="s">
        <v>11</v>
      </c>
      <c r="C1222" s="4">
        <v>2026</v>
      </c>
      <c r="D1222" s="5" t="s">
        <v>12</v>
      </c>
      <c r="E1222" s="4">
        <v>172</v>
      </c>
      <c r="F1222" s="4" t="s">
        <v>84</v>
      </c>
      <c r="G1222" s="4" t="s">
        <v>85</v>
      </c>
      <c r="H1222" s="4" t="s">
        <v>21</v>
      </c>
      <c r="I1222" s="4" t="s">
        <v>1113</v>
      </c>
      <c r="J1222" s="4" t="s">
        <v>277</v>
      </c>
      <c r="K1222" s="4" t="s">
        <v>30</v>
      </c>
      <c r="L1222" s="4" t="s">
        <v>3743</v>
      </c>
      <c r="M1222" s="4" t="s">
        <v>3746</v>
      </c>
      <c r="N1222" s="4" t="s">
        <v>3747</v>
      </c>
      <c r="O1222" s="17">
        <f>INDEX('список ID из СУЭ с должностями'!$A:$F,MATCH(E1222,'список ID из СУЭ с должностями'!$B:$B,0),5)</f>
        <v>0</v>
      </c>
    </row>
    <row r="1223" spans="1:15" ht="75">
      <c r="A1223" s="3" t="s">
        <v>10</v>
      </c>
      <c r="B1223" s="3" t="s">
        <v>11</v>
      </c>
      <c r="C1223" s="4">
        <v>2026</v>
      </c>
      <c r="D1223" s="5" t="s">
        <v>12</v>
      </c>
      <c r="E1223" s="4">
        <v>172</v>
      </c>
      <c r="F1223" s="4" t="s">
        <v>84</v>
      </c>
      <c r="G1223" s="4" t="s">
        <v>85</v>
      </c>
      <c r="H1223" s="4" t="s">
        <v>15</v>
      </c>
      <c r="I1223" s="4" t="s">
        <v>1634</v>
      </c>
      <c r="J1223" s="4" t="s">
        <v>378</v>
      </c>
      <c r="K1223" s="4" t="s">
        <v>30</v>
      </c>
      <c r="L1223" s="4" t="s">
        <v>3742</v>
      </c>
      <c r="M1223" s="4" t="s">
        <v>3746</v>
      </c>
      <c r="N1223" s="4" t="s">
        <v>3747</v>
      </c>
      <c r="O1223" s="17">
        <f>INDEX('список ID из СУЭ с должностями'!$A:$F,MATCH(E1223,'список ID из СУЭ с должностями'!$B:$B,0),5)</f>
        <v>0</v>
      </c>
    </row>
    <row r="1224" spans="1:15" ht="75">
      <c r="A1224" s="3" t="s">
        <v>10</v>
      </c>
      <c r="B1224" s="3" t="s">
        <v>11</v>
      </c>
      <c r="C1224" s="4">
        <v>2026</v>
      </c>
      <c r="D1224" s="5" t="s">
        <v>12</v>
      </c>
      <c r="E1224" s="4">
        <v>172</v>
      </c>
      <c r="F1224" s="4" t="s">
        <v>84</v>
      </c>
      <c r="G1224" s="4" t="s">
        <v>85</v>
      </c>
      <c r="H1224" s="4" t="s">
        <v>21</v>
      </c>
      <c r="I1224" s="4" t="s">
        <v>1635</v>
      </c>
      <c r="J1224" s="4" t="s">
        <v>1636</v>
      </c>
      <c r="K1224" s="4" t="s">
        <v>30</v>
      </c>
      <c r="L1224" s="4" t="s">
        <v>3743</v>
      </c>
      <c r="M1224" s="4" t="s">
        <v>3746</v>
      </c>
      <c r="N1224" s="4" t="s">
        <v>3747</v>
      </c>
      <c r="O1224" s="17">
        <f>INDEX('список ID из СУЭ с должностями'!$A:$F,MATCH(E1224,'список ID из СУЭ с должностями'!$B:$B,0),5)</f>
        <v>0</v>
      </c>
    </row>
    <row r="1225" spans="1:15" ht="75">
      <c r="A1225" s="3" t="s">
        <v>10</v>
      </c>
      <c r="B1225" s="3" t="s">
        <v>11</v>
      </c>
      <c r="C1225" s="4">
        <v>2026</v>
      </c>
      <c r="D1225" s="5" t="s">
        <v>12</v>
      </c>
      <c r="E1225" s="4">
        <v>172</v>
      </c>
      <c r="F1225" s="4" t="s">
        <v>84</v>
      </c>
      <c r="G1225" s="4" t="s">
        <v>85</v>
      </c>
      <c r="H1225" s="4" t="s">
        <v>21</v>
      </c>
      <c r="I1225" s="4" t="s">
        <v>1637</v>
      </c>
      <c r="J1225" s="4" t="s">
        <v>1638</v>
      </c>
      <c r="K1225" s="4" t="s">
        <v>30</v>
      </c>
      <c r="L1225" s="4" t="s">
        <v>3743</v>
      </c>
      <c r="M1225" s="4" t="s">
        <v>3746</v>
      </c>
      <c r="N1225" s="4" t="s">
        <v>3747</v>
      </c>
      <c r="O1225" s="17">
        <f>INDEX('список ID из СУЭ с должностями'!$A:$F,MATCH(E1225,'список ID из СУЭ с должностями'!$B:$B,0),5)</f>
        <v>0</v>
      </c>
    </row>
    <row r="1226" spans="1:15" ht="90">
      <c r="A1226" s="3" t="s">
        <v>10</v>
      </c>
      <c r="B1226" s="3" t="s">
        <v>11</v>
      </c>
      <c r="C1226" s="4">
        <v>2026</v>
      </c>
      <c r="D1226" s="5" t="s">
        <v>12</v>
      </c>
      <c r="E1226" s="4">
        <v>173</v>
      </c>
      <c r="F1226" s="4" t="s">
        <v>766</v>
      </c>
      <c r="G1226" s="4" t="s">
        <v>725</v>
      </c>
      <c r="H1226" s="4" t="s">
        <v>15</v>
      </c>
      <c r="I1226" s="4" t="s">
        <v>767</v>
      </c>
      <c r="J1226" s="4" t="s">
        <v>196</v>
      </c>
      <c r="K1226" s="4" t="s">
        <v>30</v>
      </c>
      <c r="L1226" s="4" t="s">
        <v>3742</v>
      </c>
      <c r="M1226" s="4" t="s">
        <v>3746</v>
      </c>
      <c r="N1226" s="4" t="s">
        <v>3747</v>
      </c>
      <c r="O1226" s="17">
        <f>INDEX('список ID из СУЭ с должностями'!$A:$F,MATCH(E1226,'список ID из СУЭ с должностями'!$B:$B,0),5)</f>
        <v>0</v>
      </c>
    </row>
    <row r="1227" spans="1:15" ht="90">
      <c r="A1227" s="3" t="s">
        <v>10</v>
      </c>
      <c r="B1227" s="3" t="s">
        <v>11</v>
      </c>
      <c r="C1227" s="4">
        <v>2026</v>
      </c>
      <c r="D1227" s="5" t="s">
        <v>12</v>
      </c>
      <c r="E1227" s="4">
        <v>173</v>
      </c>
      <c r="F1227" s="4" t="s">
        <v>766</v>
      </c>
      <c r="G1227" s="4" t="s">
        <v>725</v>
      </c>
      <c r="H1227" s="4" t="s">
        <v>15</v>
      </c>
      <c r="I1227" s="4" t="s">
        <v>768</v>
      </c>
      <c r="J1227" s="4" t="s">
        <v>182</v>
      </c>
      <c r="K1227" s="4" t="s">
        <v>30</v>
      </c>
      <c r="L1227" s="4" t="s">
        <v>3742</v>
      </c>
      <c r="M1227" s="4" t="s">
        <v>3746</v>
      </c>
      <c r="N1227" s="4" t="s">
        <v>3747</v>
      </c>
      <c r="O1227" s="17">
        <f>INDEX('список ID из СУЭ с должностями'!$A:$F,MATCH(E1227,'список ID из СУЭ с должностями'!$B:$B,0),5)</f>
        <v>0</v>
      </c>
    </row>
    <row r="1228" spans="1:15" ht="90">
      <c r="A1228" s="3" t="s">
        <v>10</v>
      </c>
      <c r="B1228" s="3" t="s">
        <v>11</v>
      </c>
      <c r="C1228" s="4">
        <v>2026</v>
      </c>
      <c r="D1228" s="5" t="s">
        <v>12</v>
      </c>
      <c r="E1228" s="4">
        <v>173</v>
      </c>
      <c r="F1228" s="4" t="s">
        <v>766</v>
      </c>
      <c r="G1228" s="4" t="s">
        <v>725</v>
      </c>
      <c r="H1228" s="4" t="s">
        <v>15</v>
      </c>
      <c r="I1228" s="4" t="s">
        <v>769</v>
      </c>
      <c r="J1228" s="4" t="s">
        <v>182</v>
      </c>
      <c r="K1228" s="4" t="s">
        <v>30</v>
      </c>
      <c r="L1228" s="4" t="s">
        <v>3742</v>
      </c>
      <c r="M1228" s="4" t="s">
        <v>3746</v>
      </c>
      <c r="N1228" s="4" t="s">
        <v>3747</v>
      </c>
      <c r="O1228" s="17">
        <f>INDEX('список ID из СУЭ с должностями'!$A:$F,MATCH(E1228,'список ID из СУЭ с должностями'!$B:$B,0),5)</f>
        <v>0</v>
      </c>
    </row>
    <row r="1229" spans="1:15" ht="90">
      <c r="A1229" s="3" t="s">
        <v>10</v>
      </c>
      <c r="B1229" s="3" t="s">
        <v>11</v>
      </c>
      <c r="C1229" s="4">
        <v>2026</v>
      </c>
      <c r="D1229" s="5" t="s">
        <v>12</v>
      </c>
      <c r="E1229" s="4">
        <v>173</v>
      </c>
      <c r="F1229" s="4" t="s">
        <v>766</v>
      </c>
      <c r="G1229" s="4" t="s">
        <v>725</v>
      </c>
      <c r="H1229" s="4" t="s">
        <v>15</v>
      </c>
      <c r="I1229" s="4" t="s">
        <v>770</v>
      </c>
      <c r="J1229" s="4" t="s">
        <v>771</v>
      </c>
      <c r="K1229" s="4" t="s">
        <v>35</v>
      </c>
      <c r="L1229" s="4" t="s">
        <v>3742</v>
      </c>
      <c r="M1229" s="4" t="s">
        <v>3746</v>
      </c>
      <c r="N1229" s="4" t="s">
        <v>3747</v>
      </c>
      <c r="O1229" s="17">
        <f>INDEX('список ID из СУЭ с должностями'!$A:$F,MATCH(E1229,'список ID из СУЭ с должностями'!$B:$B,0),5)</f>
        <v>0</v>
      </c>
    </row>
    <row r="1230" spans="1:15" ht="105">
      <c r="A1230" s="3" t="s">
        <v>10</v>
      </c>
      <c r="B1230" s="3" t="s">
        <v>11</v>
      </c>
      <c r="C1230" s="4">
        <v>2026</v>
      </c>
      <c r="D1230" s="5" t="s">
        <v>12</v>
      </c>
      <c r="E1230" s="4">
        <v>173</v>
      </c>
      <c r="F1230" s="4" t="s">
        <v>766</v>
      </c>
      <c r="G1230" s="4" t="s">
        <v>725</v>
      </c>
      <c r="H1230" s="4" t="s">
        <v>15</v>
      </c>
      <c r="I1230" s="4" t="s">
        <v>772</v>
      </c>
      <c r="J1230" s="4" t="s">
        <v>773</v>
      </c>
      <c r="K1230" s="4" t="s">
        <v>30</v>
      </c>
      <c r="L1230" s="4" t="s">
        <v>3743</v>
      </c>
      <c r="M1230" s="4" t="s">
        <v>3746</v>
      </c>
      <c r="N1230" s="4" t="s">
        <v>3747</v>
      </c>
      <c r="O1230" s="17">
        <f>INDEX('список ID из СУЭ с должностями'!$A:$F,MATCH(E1230,'список ID из СУЭ с должностями'!$B:$B,0),5)</f>
        <v>0</v>
      </c>
    </row>
    <row r="1231" spans="1:15" ht="90">
      <c r="A1231" s="3" t="s">
        <v>10</v>
      </c>
      <c r="B1231" s="3" t="s">
        <v>11</v>
      </c>
      <c r="C1231" s="4">
        <v>2026</v>
      </c>
      <c r="D1231" s="5" t="s">
        <v>12</v>
      </c>
      <c r="E1231" s="4">
        <v>173</v>
      </c>
      <c r="F1231" s="4" t="s">
        <v>766</v>
      </c>
      <c r="G1231" s="4" t="s">
        <v>725</v>
      </c>
      <c r="H1231" s="4" t="s">
        <v>15</v>
      </c>
      <c r="I1231" s="4" t="s">
        <v>774</v>
      </c>
      <c r="J1231" s="4" t="s">
        <v>182</v>
      </c>
      <c r="K1231" s="4" t="s">
        <v>30</v>
      </c>
      <c r="L1231" s="4" t="s">
        <v>3742</v>
      </c>
      <c r="M1231" s="4" t="s">
        <v>3746</v>
      </c>
      <c r="N1231" s="4" t="s">
        <v>3747</v>
      </c>
      <c r="O1231" s="17">
        <f>INDEX('список ID из СУЭ с должностями'!$A:$F,MATCH(E1231,'список ID из СУЭ с должностями'!$B:$B,0),5)</f>
        <v>0</v>
      </c>
    </row>
    <row r="1232" spans="1:15" ht="90">
      <c r="A1232" s="3" t="s">
        <v>10</v>
      </c>
      <c r="B1232" s="3" t="s">
        <v>11</v>
      </c>
      <c r="C1232" s="4">
        <v>2026</v>
      </c>
      <c r="D1232" s="5" t="s">
        <v>12</v>
      </c>
      <c r="E1232" s="4">
        <v>173</v>
      </c>
      <c r="F1232" s="4" t="s">
        <v>766</v>
      </c>
      <c r="G1232" s="4" t="s">
        <v>725</v>
      </c>
      <c r="H1232" s="4" t="s">
        <v>15</v>
      </c>
      <c r="I1232" s="4" t="s">
        <v>775</v>
      </c>
      <c r="J1232" s="4" t="s">
        <v>776</v>
      </c>
      <c r="K1232" s="4" t="s">
        <v>30</v>
      </c>
      <c r="L1232" s="4" t="s">
        <v>3743</v>
      </c>
      <c r="M1232" s="4" t="s">
        <v>3746</v>
      </c>
      <c r="N1232" s="4" t="s">
        <v>3747</v>
      </c>
      <c r="O1232" s="17">
        <f>INDEX('список ID из СУЭ с должностями'!$A:$F,MATCH(E1232,'список ID из СУЭ с должностями'!$B:$B,0),5)</f>
        <v>0</v>
      </c>
    </row>
    <row r="1233" spans="1:15" ht="90">
      <c r="A1233" s="3" t="s">
        <v>10</v>
      </c>
      <c r="B1233" s="3" t="s">
        <v>11</v>
      </c>
      <c r="C1233" s="4">
        <v>2026</v>
      </c>
      <c r="D1233" s="5" t="s">
        <v>12</v>
      </c>
      <c r="E1233" s="4">
        <v>173</v>
      </c>
      <c r="F1233" s="4" t="s">
        <v>766</v>
      </c>
      <c r="G1233" s="4" t="s">
        <v>725</v>
      </c>
      <c r="H1233" s="4" t="s">
        <v>15</v>
      </c>
      <c r="I1233" s="4" t="s">
        <v>804</v>
      </c>
      <c r="J1233" s="4" t="s">
        <v>132</v>
      </c>
      <c r="K1233" s="4" t="s">
        <v>30</v>
      </c>
      <c r="L1233" s="4" t="s">
        <v>3742</v>
      </c>
      <c r="M1233" s="4" t="s">
        <v>3746</v>
      </c>
      <c r="N1233" s="4" t="s">
        <v>3747</v>
      </c>
      <c r="O1233" s="17">
        <f>INDEX('список ID из СУЭ с должностями'!$A:$F,MATCH(E1233,'список ID из СУЭ с должностями'!$B:$B,0),5)</f>
        <v>0</v>
      </c>
    </row>
    <row r="1234" spans="1:15" ht="90">
      <c r="A1234" s="3" t="s">
        <v>10</v>
      </c>
      <c r="B1234" s="3" t="s">
        <v>11</v>
      </c>
      <c r="C1234" s="4">
        <v>2026</v>
      </c>
      <c r="D1234" s="5" t="s">
        <v>12</v>
      </c>
      <c r="E1234" s="4">
        <v>173</v>
      </c>
      <c r="F1234" s="4" t="s">
        <v>766</v>
      </c>
      <c r="G1234" s="4" t="s">
        <v>725</v>
      </c>
      <c r="H1234" s="4" t="s">
        <v>15</v>
      </c>
      <c r="I1234" s="4" t="s">
        <v>778</v>
      </c>
      <c r="J1234" s="4" t="s">
        <v>132</v>
      </c>
      <c r="K1234" s="4" t="s">
        <v>30</v>
      </c>
      <c r="L1234" s="4" t="s">
        <v>3742</v>
      </c>
      <c r="M1234" s="4" t="s">
        <v>3746</v>
      </c>
      <c r="N1234" s="4" t="s">
        <v>3747</v>
      </c>
      <c r="O1234" s="17">
        <f>INDEX('список ID из СУЭ с должностями'!$A:$F,MATCH(E1234,'список ID из СУЭ с должностями'!$B:$B,0),5)</f>
        <v>0</v>
      </c>
    </row>
    <row r="1235" spans="1:15" ht="90">
      <c r="A1235" s="3" t="s">
        <v>10</v>
      </c>
      <c r="B1235" s="3" t="s">
        <v>11</v>
      </c>
      <c r="C1235" s="4">
        <v>2026</v>
      </c>
      <c r="D1235" s="5" t="s">
        <v>12</v>
      </c>
      <c r="E1235" s="4">
        <v>173</v>
      </c>
      <c r="F1235" s="4" t="s">
        <v>766</v>
      </c>
      <c r="G1235" s="4" t="s">
        <v>725</v>
      </c>
      <c r="H1235" s="4" t="s">
        <v>21</v>
      </c>
      <c r="I1235" s="4" t="s">
        <v>779</v>
      </c>
      <c r="J1235" s="4" t="s">
        <v>132</v>
      </c>
      <c r="K1235" s="4" t="s">
        <v>25</v>
      </c>
      <c r="L1235" s="4" t="s">
        <v>3742</v>
      </c>
      <c r="M1235" s="4" t="s">
        <v>3746</v>
      </c>
      <c r="N1235" s="4" t="s">
        <v>3747</v>
      </c>
      <c r="O1235" s="17">
        <f>INDEX('список ID из СУЭ с должностями'!$A:$F,MATCH(E1235,'список ID из СУЭ с должностями'!$B:$B,0),5)</f>
        <v>0</v>
      </c>
    </row>
    <row r="1236" spans="1:15" ht="120">
      <c r="A1236" s="3" t="s">
        <v>10</v>
      </c>
      <c r="B1236" s="3" t="s">
        <v>11</v>
      </c>
      <c r="C1236" s="4">
        <v>2026</v>
      </c>
      <c r="D1236" s="5" t="s">
        <v>12</v>
      </c>
      <c r="E1236" s="4">
        <v>174</v>
      </c>
      <c r="F1236" s="4" t="s">
        <v>67</v>
      </c>
      <c r="G1236" s="4" t="s">
        <v>85</v>
      </c>
      <c r="H1236" s="4" t="s">
        <v>15</v>
      </c>
      <c r="I1236" s="4" t="s">
        <v>86</v>
      </c>
      <c r="J1236" s="4" t="s">
        <v>87</v>
      </c>
      <c r="K1236" s="4" t="s">
        <v>35</v>
      </c>
      <c r="L1236" s="4" t="s">
        <v>3743</v>
      </c>
      <c r="M1236" s="4" t="s">
        <v>3746</v>
      </c>
      <c r="N1236" s="4" t="s">
        <v>3747</v>
      </c>
      <c r="O1236" s="17">
        <f>INDEX('список ID из СУЭ с должностями'!$A:$F,MATCH(E1236,'список ID из СУЭ с должностями'!$B:$B,0),5)</f>
        <v>0</v>
      </c>
    </row>
    <row r="1237" spans="1:15" ht="90">
      <c r="A1237" s="3" t="s">
        <v>10</v>
      </c>
      <c r="B1237" s="3" t="s">
        <v>11</v>
      </c>
      <c r="C1237" s="4">
        <v>2026</v>
      </c>
      <c r="D1237" s="5" t="s">
        <v>12</v>
      </c>
      <c r="E1237" s="4">
        <v>174</v>
      </c>
      <c r="F1237" s="4" t="s">
        <v>67</v>
      </c>
      <c r="G1237" s="4" t="s">
        <v>85</v>
      </c>
      <c r="H1237" s="4" t="s">
        <v>21</v>
      </c>
      <c r="I1237" s="4" t="s">
        <v>89</v>
      </c>
      <c r="J1237" s="4" t="s">
        <v>90</v>
      </c>
      <c r="K1237" s="4" t="s">
        <v>30</v>
      </c>
      <c r="L1237" s="4" t="s">
        <v>3743</v>
      </c>
      <c r="M1237" s="4" t="s">
        <v>3746</v>
      </c>
      <c r="N1237" s="4" t="s">
        <v>3747</v>
      </c>
      <c r="O1237" s="17">
        <f>INDEX('список ID из СУЭ с должностями'!$A:$F,MATCH(E1237,'список ID из СУЭ с должностями'!$B:$B,0),5)</f>
        <v>0</v>
      </c>
    </row>
    <row r="1238" spans="1:15" ht="195">
      <c r="A1238" s="3" t="s">
        <v>10</v>
      </c>
      <c r="B1238" s="3" t="s">
        <v>11</v>
      </c>
      <c r="C1238" s="4">
        <v>2026</v>
      </c>
      <c r="D1238" s="5" t="s">
        <v>12</v>
      </c>
      <c r="E1238" s="4">
        <v>174</v>
      </c>
      <c r="F1238" s="4" t="s">
        <v>67</v>
      </c>
      <c r="G1238" s="4" t="s">
        <v>85</v>
      </c>
      <c r="H1238" s="4" t="s">
        <v>21</v>
      </c>
      <c r="I1238" s="4" t="s">
        <v>91</v>
      </c>
      <c r="J1238" s="4" t="s">
        <v>92</v>
      </c>
      <c r="K1238" s="4" t="s">
        <v>30</v>
      </c>
      <c r="L1238" s="4" t="s">
        <v>3743</v>
      </c>
      <c r="M1238" s="4" t="s">
        <v>3746</v>
      </c>
      <c r="N1238" s="4" t="s">
        <v>3747</v>
      </c>
      <c r="O1238" s="17">
        <f>INDEX('список ID из СУЭ с должностями'!$A:$F,MATCH(E1238,'список ID из СУЭ с должностями'!$B:$B,0),5)</f>
        <v>0</v>
      </c>
    </row>
    <row r="1239" spans="1:15" ht="75">
      <c r="A1239" s="3" t="s">
        <v>10</v>
      </c>
      <c r="B1239" s="3" t="s">
        <v>11</v>
      </c>
      <c r="C1239" s="4">
        <v>2026</v>
      </c>
      <c r="D1239" s="5" t="s">
        <v>12</v>
      </c>
      <c r="E1239" s="4">
        <v>174</v>
      </c>
      <c r="F1239" s="4" t="s">
        <v>67</v>
      </c>
      <c r="G1239" s="4" t="s">
        <v>85</v>
      </c>
      <c r="H1239" s="4" t="s">
        <v>21</v>
      </c>
      <c r="I1239" s="4" t="s">
        <v>93</v>
      </c>
      <c r="J1239" s="4" t="s">
        <v>94</v>
      </c>
      <c r="K1239" s="4" t="s">
        <v>30</v>
      </c>
      <c r="L1239" s="4" t="s">
        <v>3743</v>
      </c>
      <c r="M1239" s="4" t="s">
        <v>3746</v>
      </c>
      <c r="N1239" s="4" t="s">
        <v>3747</v>
      </c>
      <c r="O1239" s="17">
        <f>INDEX('список ID из СУЭ с должностями'!$A:$F,MATCH(E1239,'список ID из СУЭ с должностями'!$B:$B,0),5)</f>
        <v>0</v>
      </c>
    </row>
    <row r="1240" spans="1:15" ht="165">
      <c r="A1240" s="3" t="s">
        <v>10</v>
      </c>
      <c r="B1240" s="3" t="s">
        <v>11</v>
      </c>
      <c r="C1240" s="4">
        <v>2026</v>
      </c>
      <c r="D1240" s="5" t="s">
        <v>12</v>
      </c>
      <c r="E1240" s="4">
        <v>174</v>
      </c>
      <c r="F1240" s="4" t="s">
        <v>67</v>
      </c>
      <c r="G1240" s="4" t="s">
        <v>85</v>
      </c>
      <c r="H1240" s="4" t="s">
        <v>21</v>
      </c>
      <c r="I1240" s="4" t="s">
        <v>95</v>
      </c>
      <c r="J1240" s="4" t="s">
        <v>96</v>
      </c>
      <c r="K1240" s="4" t="s">
        <v>30</v>
      </c>
      <c r="L1240" s="4" t="s">
        <v>3743</v>
      </c>
      <c r="M1240" s="4" t="s">
        <v>3746</v>
      </c>
      <c r="N1240" s="4" t="s">
        <v>3747</v>
      </c>
      <c r="O1240" s="17">
        <f>INDEX('список ID из СУЭ с должностями'!$A:$F,MATCH(E1240,'список ID из СУЭ с должностями'!$B:$B,0),5)</f>
        <v>0</v>
      </c>
    </row>
    <row r="1241" spans="1:15" ht="105">
      <c r="A1241" s="3" t="s">
        <v>10</v>
      </c>
      <c r="B1241" s="3" t="s">
        <v>11</v>
      </c>
      <c r="C1241" s="4">
        <v>2026</v>
      </c>
      <c r="D1241" s="5" t="s">
        <v>12</v>
      </c>
      <c r="E1241" s="4">
        <v>174</v>
      </c>
      <c r="F1241" s="4" t="s">
        <v>67</v>
      </c>
      <c r="G1241" s="4" t="s">
        <v>85</v>
      </c>
      <c r="H1241" s="4" t="s">
        <v>21</v>
      </c>
      <c r="I1241" s="4" t="s">
        <v>97</v>
      </c>
      <c r="J1241" s="4" t="s">
        <v>98</v>
      </c>
      <c r="K1241" s="4" t="s">
        <v>30</v>
      </c>
      <c r="L1241" s="4" t="s">
        <v>3743</v>
      </c>
      <c r="M1241" s="4" t="s">
        <v>3746</v>
      </c>
      <c r="N1241" s="4" t="s">
        <v>3747</v>
      </c>
      <c r="O1241" s="17">
        <f>INDEX('список ID из СУЭ с должностями'!$A:$F,MATCH(E1241,'список ID из СУЭ с должностями'!$B:$B,0),5)</f>
        <v>0</v>
      </c>
    </row>
    <row r="1242" spans="1:15" ht="90">
      <c r="A1242" s="3" t="s">
        <v>10</v>
      </c>
      <c r="B1242" s="3" t="s">
        <v>11</v>
      </c>
      <c r="C1242" s="4">
        <v>2026</v>
      </c>
      <c r="D1242" s="5" t="s">
        <v>12</v>
      </c>
      <c r="E1242" s="4">
        <v>175</v>
      </c>
      <c r="F1242" s="4" t="s">
        <v>1639</v>
      </c>
      <c r="G1242" s="4" t="s">
        <v>1640</v>
      </c>
      <c r="H1242" s="4" t="s">
        <v>15</v>
      </c>
      <c r="I1242" s="4" t="s">
        <v>1641</v>
      </c>
      <c r="J1242" s="4" t="s">
        <v>1642</v>
      </c>
      <c r="K1242" s="4" t="s">
        <v>23</v>
      </c>
      <c r="L1242" s="4" t="s">
        <v>3743</v>
      </c>
      <c r="M1242" s="4" t="s">
        <v>3748</v>
      </c>
      <c r="N1242" s="4" t="s">
        <v>3752</v>
      </c>
      <c r="O1242" s="17">
        <f>INDEX('список ID из СУЭ с должностями'!$A:$F,MATCH(E1242,'список ID из СУЭ с должностями'!$B:$B,0),5)</f>
        <v>0</v>
      </c>
    </row>
    <row r="1243" spans="1:15" ht="90">
      <c r="A1243" s="3" t="s">
        <v>10</v>
      </c>
      <c r="B1243" s="3" t="s">
        <v>11</v>
      </c>
      <c r="C1243" s="4">
        <v>2026</v>
      </c>
      <c r="D1243" s="5" t="s">
        <v>12</v>
      </c>
      <c r="E1243" s="4">
        <v>175</v>
      </c>
      <c r="F1243" s="4" t="s">
        <v>1639</v>
      </c>
      <c r="G1243" s="4" t="s">
        <v>1640</v>
      </c>
      <c r="H1243" s="4" t="s">
        <v>15</v>
      </c>
      <c r="I1243" s="4" t="s">
        <v>1644</v>
      </c>
      <c r="J1243" s="4" t="s">
        <v>711</v>
      </c>
      <c r="K1243" s="4" t="s">
        <v>23</v>
      </c>
      <c r="L1243" s="4" t="s">
        <v>3742</v>
      </c>
      <c r="M1243" s="4" t="s">
        <v>3748</v>
      </c>
      <c r="N1243" s="4" t="s">
        <v>3752</v>
      </c>
      <c r="O1243" s="17">
        <f>INDEX('список ID из СУЭ с должностями'!$A:$F,MATCH(E1243,'список ID из СУЭ с должностями'!$B:$B,0),5)</f>
        <v>0</v>
      </c>
    </row>
    <row r="1244" spans="1:15" ht="90">
      <c r="A1244" s="3" t="s">
        <v>10</v>
      </c>
      <c r="B1244" s="3" t="s">
        <v>11</v>
      </c>
      <c r="C1244" s="4">
        <v>2026</v>
      </c>
      <c r="D1244" s="5" t="s">
        <v>12</v>
      </c>
      <c r="E1244" s="4">
        <v>175</v>
      </c>
      <c r="F1244" s="4" t="s">
        <v>1639</v>
      </c>
      <c r="G1244" s="4" t="s">
        <v>1640</v>
      </c>
      <c r="H1244" s="4" t="s">
        <v>15</v>
      </c>
      <c r="I1244" s="4" t="s">
        <v>1645</v>
      </c>
      <c r="J1244" s="4" t="s">
        <v>1646</v>
      </c>
      <c r="K1244" s="4" t="s">
        <v>23</v>
      </c>
      <c r="L1244" s="4" t="s">
        <v>3742</v>
      </c>
      <c r="M1244" s="4" t="s">
        <v>3748</v>
      </c>
      <c r="N1244" s="4" t="s">
        <v>3752</v>
      </c>
      <c r="O1244" s="17">
        <f>INDEX('список ID из СУЭ с должностями'!$A:$F,MATCH(E1244,'список ID из СУЭ с должностями'!$B:$B,0),5)</f>
        <v>0</v>
      </c>
    </row>
    <row r="1245" spans="1:15" ht="90">
      <c r="A1245" s="3" t="s">
        <v>10</v>
      </c>
      <c r="B1245" s="3" t="s">
        <v>11</v>
      </c>
      <c r="C1245" s="4">
        <v>2026</v>
      </c>
      <c r="D1245" s="5" t="s">
        <v>12</v>
      </c>
      <c r="E1245" s="4">
        <v>175</v>
      </c>
      <c r="F1245" s="4" t="s">
        <v>1639</v>
      </c>
      <c r="G1245" s="4" t="s">
        <v>1640</v>
      </c>
      <c r="H1245" s="4" t="s">
        <v>15</v>
      </c>
      <c r="I1245" s="4" t="s">
        <v>1647</v>
      </c>
      <c r="J1245" s="4" t="s">
        <v>1648</v>
      </c>
      <c r="K1245" s="4" t="s">
        <v>23</v>
      </c>
      <c r="L1245" s="4" t="s">
        <v>3743</v>
      </c>
      <c r="M1245" s="4" t="s">
        <v>3748</v>
      </c>
      <c r="N1245" s="4" t="s">
        <v>3752</v>
      </c>
      <c r="O1245" s="17">
        <f>INDEX('список ID из СУЭ с должностями'!$A:$F,MATCH(E1245,'список ID из СУЭ с должностями'!$B:$B,0),5)</f>
        <v>0</v>
      </c>
    </row>
    <row r="1246" spans="1:15" ht="90">
      <c r="A1246" s="3" t="s">
        <v>10</v>
      </c>
      <c r="B1246" s="3" t="s">
        <v>11</v>
      </c>
      <c r="C1246" s="4">
        <v>2026</v>
      </c>
      <c r="D1246" s="5" t="s">
        <v>12</v>
      </c>
      <c r="E1246" s="4">
        <v>175</v>
      </c>
      <c r="F1246" s="4" t="s">
        <v>1639</v>
      </c>
      <c r="G1246" s="4" t="s">
        <v>1640</v>
      </c>
      <c r="H1246" s="4" t="s">
        <v>15</v>
      </c>
      <c r="I1246" s="4" t="s">
        <v>1649</v>
      </c>
      <c r="J1246" s="4" t="s">
        <v>1650</v>
      </c>
      <c r="K1246" s="4" t="s">
        <v>23</v>
      </c>
      <c r="L1246" s="4" t="s">
        <v>3743</v>
      </c>
      <c r="M1246" s="4" t="s">
        <v>3748</v>
      </c>
      <c r="N1246" s="4" t="s">
        <v>3752</v>
      </c>
      <c r="O1246" s="17">
        <f>INDEX('список ID из СУЭ с должностями'!$A:$F,MATCH(E1246,'список ID из СУЭ с должностями'!$B:$B,0),5)</f>
        <v>0</v>
      </c>
    </row>
    <row r="1247" spans="1:15" ht="90">
      <c r="A1247" s="3" t="s">
        <v>10</v>
      </c>
      <c r="B1247" s="3" t="s">
        <v>11</v>
      </c>
      <c r="C1247" s="4">
        <v>2026</v>
      </c>
      <c r="D1247" s="5" t="s">
        <v>12</v>
      </c>
      <c r="E1247" s="4">
        <v>175</v>
      </c>
      <c r="F1247" s="4" t="s">
        <v>1639</v>
      </c>
      <c r="G1247" s="4" t="s">
        <v>1640</v>
      </c>
      <c r="H1247" s="4" t="s">
        <v>15</v>
      </c>
      <c r="I1247" s="4" t="s">
        <v>1651</v>
      </c>
      <c r="J1247" s="4" t="s">
        <v>1652</v>
      </c>
      <c r="K1247" s="4" t="s">
        <v>23</v>
      </c>
      <c r="L1247" s="4" t="s">
        <v>3743</v>
      </c>
      <c r="M1247" s="4" t="s">
        <v>3748</v>
      </c>
      <c r="N1247" s="4" t="s">
        <v>3752</v>
      </c>
      <c r="O1247" s="17">
        <f>INDEX('список ID из СУЭ с должностями'!$A:$F,MATCH(E1247,'список ID из СУЭ с должностями'!$B:$B,0),5)</f>
        <v>0</v>
      </c>
    </row>
    <row r="1248" spans="1:15" ht="75">
      <c r="A1248" s="3" t="s">
        <v>10</v>
      </c>
      <c r="B1248" s="3" t="s">
        <v>11</v>
      </c>
      <c r="C1248" s="4">
        <v>2026</v>
      </c>
      <c r="D1248" s="5" t="s">
        <v>12</v>
      </c>
      <c r="E1248" s="4">
        <v>176</v>
      </c>
      <c r="F1248" s="4" t="s">
        <v>780</v>
      </c>
      <c r="G1248" s="4" t="s">
        <v>781</v>
      </c>
      <c r="H1248" s="4" t="s">
        <v>15</v>
      </c>
      <c r="I1248" s="4" t="s">
        <v>1653</v>
      </c>
      <c r="J1248" s="4" t="s">
        <v>1654</v>
      </c>
      <c r="K1248" s="4" t="s">
        <v>35</v>
      </c>
      <c r="L1248" s="4" t="s">
        <v>3743</v>
      </c>
      <c r="M1248" s="4" t="s">
        <v>3746</v>
      </c>
      <c r="N1248" s="4" t="s">
        <v>3747</v>
      </c>
      <c r="O1248" s="17">
        <f>INDEX('список ID из СУЭ с должностями'!$A:$F,MATCH(E1248,'список ID из СУЭ с должностями'!$B:$B,0),5)</f>
        <v>0</v>
      </c>
    </row>
    <row r="1249" spans="1:15" ht="165">
      <c r="A1249" s="3" t="s">
        <v>10</v>
      </c>
      <c r="B1249" s="3" t="s">
        <v>11</v>
      </c>
      <c r="C1249" s="4">
        <v>2026</v>
      </c>
      <c r="D1249" s="5" t="s">
        <v>12</v>
      </c>
      <c r="E1249" s="4">
        <v>176</v>
      </c>
      <c r="F1249" s="4" t="s">
        <v>780</v>
      </c>
      <c r="G1249" s="4" t="s">
        <v>781</v>
      </c>
      <c r="H1249" s="4" t="s">
        <v>15</v>
      </c>
      <c r="I1249" s="4" t="s">
        <v>1655</v>
      </c>
      <c r="J1249" s="4" t="s">
        <v>1656</v>
      </c>
      <c r="K1249" s="4" t="s">
        <v>52</v>
      </c>
      <c r="L1249" s="4" t="s">
        <v>3743</v>
      </c>
      <c r="M1249" s="4" t="s">
        <v>3746</v>
      </c>
      <c r="N1249" s="4" t="s">
        <v>3747</v>
      </c>
      <c r="O1249" s="17">
        <f>INDEX('список ID из СУЭ с должностями'!$A:$F,MATCH(E1249,'список ID из СУЭ с должностями'!$B:$B,0),5)</f>
        <v>0</v>
      </c>
    </row>
    <row r="1250" spans="1:15" ht="75">
      <c r="A1250" s="3" t="s">
        <v>10</v>
      </c>
      <c r="B1250" s="3" t="s">
        <v>11</v>
      </c>
      <c r="C1250" s="4">
        <v>2026</v>
      </c>
      <c r="D1250" s="5" t="s">
        <v>12</v>
      </c>
      <c r="E1250" s="4">
        <v>176</v>
      </c>
      <c r="F1250" s="4" t="s">
        <v>780</v>
      </c>
      <c r="G1250" s="4" t="s">
        <v>781</v>
      </c>
      <c r="H1250" s="4" t="s">
        <v>15</v>
      </c>
      <c r="I1250" s="4" t="s">
        <v>1657</v>
      </c>
      <c r="J1250" s="4" t="s">
        <v>1658</v>
      </c>
      <c r="K1250" s="4" t="s">
        <v>20</v>
      </c>
      <c r="L1250" s="4" t="s">
        <v>3743</v>
      </c>
      <c r="M1250" s="4" t="s">
        <v>3746</v>
      </c>
      <c r="N1250" s="4" t="s">
        <v>3747</v>
      </c>
      <c r="O1250" s="17">
        <f>INDEX('список ID из СУЭ с должностями'!$A:$F,MATCH(E1250,'список ID из СУЭ с должностями'!$B:$B,0),5)</f>
        <v>0</v>
      </c>
    </row>
    <row r="1251" spans="1:15" ht="120">
      <c r="A1251" s="3" t="s">
        <v>10</v>
      </c>
      <c r="B1251" s="3" t="s">
        <v>11</v>
      </c>
      <c r="C1251" s="4">
        <v>2026</v>
      </c>
      <c r="D1251" s="5" t="s">
        <v>12</v>
      </c>
      <c r="E1251" s="4">
        <v>176</v>
      </c>
      <c r="F1251" s="4" t="s">
        <v>780</v>
      </c>
      <c r="G1251" s="4" t="s">
        <v>781</v>
      </c>
      <c r="H1251" s="4" t="s">
        <v>41</v>
      </c>
      <c r="I1251" s="4" t="s">
        <v>52</v>
      </c>
      <c r="J1251" s="4" t="s">
        <v>978</v>
      </c>
      <c r="K1251" s="4" t="s">
        <v>30</v>
      </c>
      <c r="L1251" s="4" t="s">
        <v>3743</v>
      </c>
      <c r="M1251" s="4" t="s">
        <v>3746</v>
      </c>
      <c r="N1251" s="4" t="s">
        <v>3747</v>
      </c>
      <c r="O1251" s="17">
        <f>INDEX('список ID из СУЭ с должностями'!$A:$F,MATCH(E1251,'список ID из СУЭ с должностями'!$B:$B,0),5)</f>
        <v>0</v>
      </c>
    </row>
    <row r="1252" spans="1:15" ht="165">
      <c r="A1252" s="3" t="s">
        <v>10</v>
      </c>
      <c r="B1252" s="3" t="s">
        <v>11</v>
      </c>
      <c r="C1252" s="4">
        <v>2026</v>
      </c>
      <c r="D1252" s="5" t="s">
        <v>12</v>
      </c>
      <c r="E1252" s="4">
        <v>176</v>
      </c>
      <c r="F1252" s="4" t="s">
        <v>780</v>
      </c>
      <c r="G1252" s="4" t="s">
        <v>781</v>
      </c>
      <c r="H1252" s="4" t="s">
        <v>41</v>
      </c>
      <c r="I1252" s="4" t="s">
        <v>788</v>
      </c>
      <c r="J1252" s="4" t="s">
        <v>789</v>
      </c>
      <c r="K1252" s="4" t="s">
        <v>30</v>
      </c>
      <c r="L1252" s="4" t="s">
        <v>3743</v>
      </c>
      <c r="M1252" s="4" t="s">
        <v>3746</v>
      </c>
      <c r="N1252" s="4" t="s">
        <v>3747</v>
      </c>
      <c r="O1252" s="17">
        <f>INDEX('список ID из СУЭ с должностями'!$A:$F,MATCH(E1252,'список ID из СУЭ с должностями'!$B:$B,0),5)</f>
        <v>0</v>
      </c>
    </row>
    <row r="1253" spans="1:15" ht="90">
      <c r="A1253" s="3" t="s">
        <v>10</v>
      </c>
      <c r="B1253" s="3" t="s">
        <v>11</v>
      </c>
      <c r="C1253" s="4">
        <v>2026</v>
      </c>
      <c r="D1253" s="5" t="s">
        <v>264</v>
      </c>
      <c r="E1253" s="4">
        <v>177</v>
      </c>
      <c r="F1253" s="4" t="s">
        <v>727</v>
      </c>
      <c r="G1253" s="4" t="s">
        <v>725</v>
      </c>
      <c r="H1253" s="4" t="s">
        <v>15</v>
      </c>
      <c r="I1253" s="4" t="s">
        <v>1067</v>
      </c>
      <c r="J1253" s="4" t="s">
        <v>182</v>
      </c>
      <c r="K1253" s="4" t="s">
        <v>52</v>
      </c>
      <c r="L1253" s="4" t="s">
        <v>3742</v>
      </c>
      <c r="M1253" s="4" t="s">
        <v>3746</v>
      </c>
      <c r="N1253" s="4" t="s">
        <v>3747</v>
      </c>
      <c r="O1253" s="17">
        <f>INDEX('список ID из СУЭ с должностями'!$A:$F,MATCH(E1253,'список ID из СУЭ с должностями'!$B:$B,0),5)</f>
        <v>0</v>
      </c>
    </row>
    <row r="1254" spans="1:15" ht="90">
      <c r="A1254" s="3" t="s">
        <v>10</v>
      </c>
      <c r="B1254" s="3" t="s">
        <v>11</v>
      </c>
      <c r="C1254" s="4">
        <v>2026</v>
      </c>
      <c r="D1254" s="5" t="s">
        <v>264</v>
      </c>
      <c r="E1254" s="4">
        <v>177</v>
      </c>
      <c r="F1254" s="4" t="s">
        <v>727</v>
      </c>
      <c r="G1254" s="4" t="s">
        <v>725</v>
      </c>
      <c r="H1254" s="4" t="s">
        <v>15</v>
      </c>
      <c r="I1254" s="4" t="s">
        <v>1660</v>
      </c>
      <c r="J1254" s="4" t="s">
        <v>196</v>
      </c>
      <c r="K1254" s="4" t="s">
        <v>52</v>
      </c>
      <c r="L1254" s="4" t="s">
        <v>3742</v>
      </c>
      <c r="M1254" s="4" t="s">
        <v>3746</v>
      </c>
      <c r="N1254" s="4" t="s">
        <v>3747</v>
      </c>
      <c r="O1254" s="17">
        <f>INDEX('список ID из СУЭ с должностями'!$A:$F,MATCH(E1254,'список ID из СУЭ с должностями'!$B:$B,0),5)</f>
        <v>0</v>
      </c>
    </row>
    <row r="1255" spans="1:15" ht="90">
      <c r="A1255" s="3" t="s">
        <v>10</v>
      </c>
      <c r="B1255" s="3" t="s">
        <v>11</v>
      </c>
      <c r="C1255" s="4">
        <v>2026</v>
      </c>
      <c r="D1255" s="5" t="s">
        <v>264</v>
      </c>
      <c r="E1255" s="4">
        <v>177</v>
      </c>
      <c r="F1255" s="4" t="s">
        <v>727</v>
      </c>
      <c r="G1255" s="4" t="s">
        <v>725</v>
      </c>
      <c r="H1255" s="4" t="s">
        <v>15</v>
      </c>
      <c r="I1255" s="4" t="s">
        <v>1661</v>
      </c>
      <c r="J1255" s="4" t="s">
        <v>182</v>
      </c>
      <c r="K1255" s="4" t="s">
        <v>52</v>
      </c>
      <c r="L1255" s="4" t="s">
        <v>3742</v>
      </c>
      <c r="M1255" s="4" t="s">
        <v>3746</v>
      </c>
      <c r="N1255" s="4" t="s">
        <v>3747</v>
      </c>
      <c r="O1255" s="17">
        <f>INDEX('список ID из СУЭ с должностями'!$A:$F,MATCH(E1255,'список ID из СУЭ с должностями'!$B:$B,0),5)</f>
        <v>0</v>
      </c>
    </row>
    <row r="1256" spans="1:15" ht="90">
      <c r="A1256" s="3" t="s">
        <v>10</v>
      </c>
      <c r="B1256" s="3" t="s">
        <v>11</v>
      </c>
      <c r="C1256" s="4">
        <v>2026</v>
      </c>
      <c r="D1256" s="5" t="s">
        <v>264</v>
      </c>
      <c r="E1256" s="4">
        <v>177</v>
      </c>
      <c r="F1256" s="4" t="s">
        <v>727</v>
      </c>
      <c r="G1256" s="4" t="s">
        <v>725</v>
      </c>
      <c r="H1256" s="4" t="s">
        <v>15</v>
      </c>
      <c r="I1256" s="4" t="s">
        <v>1662</v>
      </c>
      <c r="J1256" s="4" t="s">
        <v>196</v>
      </c>
      <c r="K1256" s="4" t="s">
        <v>52</v>
      </c>
      <c r="L1256" s="4" t="s">
        <v>3742</v>
      </c>
      <c r="M1256" s="4" t="s">
        <v>3746</v>
      </c>
      <c r="N1256" s="4" t="s">
        <v>3747</v>
      </c>
      <c r="O1256" s="17">
        <f>INDEX('список ID из СУЭ с должностями'!$A:$F,MATCH(E1256,'список ID из СУЭ с должностями'!$B:$B,0),5)</f>
        <v>0</v>
      </c>
    </row>
    <row r="1257" spans="1:15" ht="90">
      <c r="A1257" s="3" t="s">
        <v>10</v>
      </c>
      <c r="B1257" s="3" t="s">
        <v>11</v>
      </c>
      <c r="C1257" s="4">
        <v>2026</v>
      </c>
      <c r="D1257" s="5" t="s">
        <v>264</v>
      </c>
      <c r="E1257" s="4">
        <v>177</v>
      </c>
      <c r="F1257" s="4" t="s">
        <v>727</v>
      </c>
      <c r="G1257" s="4" t="s">
        <v>725</v>
      </c>
      <c r="H1257" s="4" t="s">
        <v>15</v>
      </c>
      <c r="I1257" s="4" t="s">
        <v>1663</v>
      </c>
      <c r="J1257" s="4" t="s">
        <v>731</v>
      </c>
      <c r="K1257" s="4" t="s">
        <v>52</v>
      </c>
      <c r="L1257" s="4" t="s">
        <v>3742</v>
      </c>
      <c r="M1257" s="4" t="s">
        <v>3746</v>
      </c>
      <c r="N1257" s="4" t="s">
        <v>3747</v>
      </c>
      <c r="O1257" s="17">
        <f>INDEX('список ID из СУЭ с должностями'!$A:$F,MATCH(E1257,'список ID из СУЭ с должностями'!$B:$B,0),5)</f>
        <v>0</v>
      </c>
    </row>
    <row r="1258" spans="1:15" ht="90">
      <c r="A1258" s="3" t="s">
        <v>10</v>
      </c>
      <c r="B1258" s="3" t="s">
        <v>11</v>
      </c>
      <c r="C1258" s="4">
        <v>2026</v>
      </c>
      <c r="D1258" s="5" t="s">
        <v>264</v>
      </c>
      <c r="E1258" s="4">
        <v>177</v>
      </c>
      <c r="F1258" s="4" t="s">
        <v>727</v>
      </c>
      <c r="G1258" s="4" t="s">
        <v>725</v>
      </c>
      <c r="H1258" s="4" t="s">
        <v>15</v>
      </c>
      <c r="I1258" s="4" t="s">
        <v>1664</v>
      </c>
      <c r="J1258" s="4" t="s">
        <v>182</v>
      </c>
      <c r="K1258" s="4" t="s">
        <v>151</v>
      </c>
      <c r="L1258" s="4" t="s">
        <v>3742</v>
      </c>
      <c r="M1258" s="4" t="s">
        <v>3746</v>
      </c>
      <c r="N1258" s="4" t="s">
        <v>3747</v>
      </c>
      <c r="O1258" s="17">
        <f>INDEX('список ID из СУЭ с должностями'!$A:$F,MATCH(E1258,'список ID из СУЭ с должностями'!$B:$B,0),5)</f>
        <v>0</v>
      </c>
    </row>
    <row r="1259" spans="1:15" ht="90">
      <c r="A1259" s="3" t="s">
        <v>10</v>
      </c>
      <c r="B1259" s="3" t="s">
        <v>11</v>
      </c>
      <c r="C1259" s="4">
        <v>2026</v>
      </c>
      <c r="D1259" s="5" t="s">
        <v>264</v>
      </c>
      <c r="E1259" s="4">
        <v>177</v>
      </c>
      <c r="F1259" s="4" t="s">
        <v>727</v>
      </c>
      <c r="G1259" s="4" t="s">
        <v>725</v>
      </c>
      <c r="H1259" s="4" t="s">
        <v>15</v>
      </c>
      <c r="I1259" s="4" t="s">
        <v>1665</v>
      </c>
      <c r="J1259" s="4" t="s">
        <v>1666</v>
      </c>
      <c r="K1259" s="4" t="s">
        <v>52</v>
      </c>
      <c r="L1259" s="4" t="s">
        <v>3742</v>
      </c>
      <c r="M1259" s="4" t="s">
        <v>3746</v>
      </c>
      <c r="N1259" s="4" t="s">
        <v>3747</v>
      </c>
      <c r="O1259" s="17">
        <f>INDEX('список ID из СУЭ с должностями'!$A:$F,MATCH(E1259,'список ID из СУЭ с должностями'!$B:$B,0),5)</f>
        <v>0</v>
      </c>
    </row>
    <row r="1260" spans="1:15" ht="90">
      <c r="A1260" s="3" t="s">
        <v>10</v>
      </c>
      <c r="B1260" s="3" t="s">
        <v>11</v>
      </c>
      <c r="C1260" s="4">
        <v>2026</v>
      </c>
      <c r="D1260" s="5" t="s">
        <v>264</v>
      </c>
      <c r="E1260" s="4">
        <v>177</v>
      </c>
      <c r="F1260" s="4" t="s">
        <v>727</v>
      </c>
      <c r="G1260" s="4" t="s">
        <v>725</v>
      </c>
      <c r="H1260" s="4" t="s">
        <v>15</v>
      </c>
      <c r="I1260" s="4" t="s">
        <v>1667</v>
      </c>
      <c r="J1260" s="4" t="s">
        <v>1667</v>
      </c>
      <c r="K1260" s="4" t="s">
        <v>52</v>
      </c>
      <c r="L1260" s="4" t="s">
        <v>3743</v>
      </c>
      <c r="M1260" s="4" t="s">
        <v>3746</v>
      </c>
      <c r="N1260" s="4" t="s">
        <v>3747</v>
      </c>
      <c r="O1260" s="17">
        <f>INDEX('список ID из СУЭ с должностями'!$A:$F,MATCH(E1260,'список ID из СУЭ с должностями'!$B:$B,0),5)</f>
        <v>0</v>
      </c>
    </row>
    <row r="1261" spans="1:15" ht="90">
      <c r="A1261" s="3" t="s">
        <v>10</v>
      </c>
      <c r="B1261" s="3" t="s">
        <v>11</v>
      </c>
      <c r="C1261" s="4">
        <v>2026</v>
      </c>
      <c r="D1261" s="5" t="s">
        <v>264</v>
      </c>
      <c r="E1261" s="4">
        <v>177</v>
      </c>
      <c r="F1261" s="4" t="s">
        <v>727</v>
      </c>
      <c r="G1261" s="4" t="s">
        <v>725</v>
      </c>
      <c r="H1261" s="4" t="s">
        <v>15</v>
      </c>
      <c r="I1261" s="4" t="s">
        <v>1668</v>
      </c>
      <c r="J1261" s="4" t="s">
        <v>132</v>
      </c>
      <c r="K1261" s="4" t="s">
        <v>52</v>
      </c>
      <c r="L1261" s="4" t="s">
        <v>3742</v>
      </c>
      <c r="M1261" s="4" t="s">
        <v>3746</v>
      </c>
      <c r="N1261" s="4" t="s">
        <v>3747</v>
      </c>
      <c r="O1261" s="17">
        <f>INDEX('список ID из СУЭ с должностями'!$A:$F,MATCH(E1261,'список ID из СУЭ с должностями'!$B:$B,0),5)</f>
        <v>0</v>
      </c>
    </row>
    <row r="1262" spans="1:15" ht="90">
      <c r="A1262" s="3" t="s">
        <v>10</v>
      </c>
      <c r="B1262" s="3" t="s">
        <v>11</v>
      </c>
      <c r="C1262" s="4">
        <v>2026</v>
      </c>
      <c r="D1262" s="5" t="s">
        <v>264</v>
      </c>
      <c r="E1262" s="4">
        <v>177</v>
      </c>
      <c r="F1262" s="4" t="s">
        <v>727</v>
      </c>
      <c r="G1262" s="4" t="s">
        <v>725</v>
      </c>
      <c r="H1262" s="4" t="s">
        <v>41</v>
      </c>
      <c r="I1262" s="4" t="s">
        <v>1669</v>
      </c>
      <c r="J1262" s="4" t="s">
        <v>1072</v>
      </c>
      <c r="K1262" s="4" t="s">
        <v>35</v>
      </c>
      <c r="L1262" s="4" t="s">
        <v>3742</v>
      </c>
      <c r="M1262" s="4" t="s">
        <v>3746</v>
      </c>
      <c r="N1262" s="4" t="s">
        <v>3747</v>
      </c>
      <c r="O1262" s="17">
        <f>INDEX('список ID из СУЭ с должностями'!$A:$F,MATCH(E1262,'список ID из СУЭ с должностями'!$B:$B,0),5)</f>
        <v>0</v>
      </c>
    </row>
    <row r="1263" spans="1:15" ht="150">
      <c r="A1263" s="3" t="s">
        <v>10</v>
      </c>
      <c r="B1263" s="3" t="s">
        <v>11</v>
      </c>
      <c r="C1263" s="4">
        <v>2026</v>
      </c>
      <c r="D1263" s="5" t="s">
        <v>12</v>
      </c>
      <c r="E1263" s="4">
        <v>178</v>
      </c>
      <c r="F1263" s="4" t="s">
        <v>1670</v>
      </c>
      <c r="G1263" s="4" t="s">
        <v>241</v>
      </c>
      <c r="H1263" s="4" t="s">
        <v>41</v>
      </c>
      <c r="I1263" s="4" t="s">
        <v>1671</v>
      </c>
      <c r="J1263" s="4" t="s">
        <v>1672</v>
      </c>
      <c r="K1263" s="4" t="s">
        <v>66</v>
      </c>
      <c r="L1263" s="4" t="s">
        <v>3743</v>
      </c>
      <c r="M1263" s="4" t="s">
        <v>3746</v>
      </c>
      <c r="N1263" s="4" t="s">
        <v>3747</v>
      </c>
      <c r="O1263" s="17" t="str">
        <f>INDEX('список ID из СУЭ с должностями'!$A:$F,MATCH(E1263,'список ID из СУЭ с должностями'!$B:$B,0),5)</f>
        <v>СМП</v>
      </c>
    </row>
    <row r="1264" spans="1:15" ht="409.5">
      <c r="A1264" s="3" t="s">
        <v>10</v>
      </c>
      <c r="B1264" s="3" t="s">
        <v>11</v>
      </c>
      <c r="C1264" s="4">
        <v>2026</v>
      </c>
      <c r="D1264" s="5" t="s">
        <v>12</v>
      </c>
      <c r="E1264" s="4">
        <v>178</v>
      </c>
      <c r="F1264" s="4" t="s">
        <v>1670</v>
      </c>
      <c r="G1264" s="4" t="s">
        <v>241</v>
      </c>
      <c r="H1264" s="4" t="s">
        <v>15</v>
      </c>
      <c r="I1264" s="4" t="s">
        <v>25</v>
      </c>
      <c r="J1264" s="4" t="s">
        <v>1673</v>
      </c>
      <c r="K1264" s="4" t="s">
        <v>25</v>
      </c>
      <c r="L1264" s="4" t="s">
        <v>3743</v>
      </c>
      <c r="M1264" s="4" t="s">
        <v>3746</v>
      </c>
      <c r="N1264" s="4" t="s">
        <v>3747</v>
      </c>
      <c r="O1264" s="17" t="str">
        <f>INDEX('список ID из СУЭ с должностями'!$A:$F,MATCH(E1264,'список ID из СУЭ с должностями'!$B:$B,0),5)</f>
        <v>СМП</v>
      </c>
    </row>
    <row r="1265" spans="1:15" ht="120">
      <c r="A1265" s="3" t="s">
        <v>10</v>
      </c>
      <c r="B1265" s="3" t="s">
        <v>11</v>
      </c>
      <c r="C1265" s="4">
        <v>2026</v>
      </c>
      <c r="D1265" s="5" t="s">
        <v>12</v>
      </c>
      <c r="E1265" s="4">
        <v>178</v>
      </c>
      <c r="F1265" s="4" t="s">
        <v>1670</v>
      </c>
      <c r="G1265" s="4" t="s">
        <v>241</v>
      </c>
      <c r="H1265" s="4" t="s">
        <v>21</v>
      </c>
      <c r="I1265" s="4" t="s">
        <v>1674</v>
      </c>
      <c r="J1265" s="4" t="s">
        <v>1675</v>
      </c>
      <c r="K1265" s="4" t="s">
        <v>52</v>
      </c>
      <c r="L1265" s="4" t="s">
        <v>3743</v>
      </c>
      <c r="M1265" s="4" t="s">
        <v>3746</v>
      </c>
      <c r="N1265" s="4" t="s">
        <v>3747</v>
      </c>
      <c r="O1265" s="17" t="str">
        <f>INDEX('список ID из СУЭ с должностями'!$A:$F,MATCH(E1265,'список ID из СУЭ с должностями'!$B:$B,0),5)</f>
        <v>СМП</v>
      </c>
    </row>
    <row r="1266" spans="1:15" ht="409.5">
      <c r="A1266" s="3" t="s">
        <v>10</v>
      </c>
      <c r="B1266" s="3" t="s">
        <v>11</v>
      </c>
      <c r="C1266" s="4">
        <v>2026</v>
      </c>
      <c r="D1266" s="5" t="s">
        <v>12</v>
      </c>
      <c r="E1266" s="4">
        <v>178</v>
      </c>
      <c r="F1266" s="4" t="s">
        <v>1670</v>
      </c>
      <c r="G1266" s="4" t="s">
        <v>241</v>
      </c>
      <c r="H1266" s="4" t="s">
        <v>15</v>
      </c>
      <c r="I1266" s="4" t="s">
        <v>1676</v>
      </c>
      <c r="J1266" s="4" t="s">
        <v>1677</v>
      </c>
      <c r="K1266" s="4" t="s">
        <v>35</v>
      </c>
      <c r="L1266" s="4" t="s">
        <v>3743</v>
      </c>
      <c r="M1266" s="4" t="s">
        <v>3746</v>
      </c>
      <c r="N1266" s="4" t="s">
        <v>3747</v>
      </c>
      <c r="O1266" s="17" t="str">
        <f>INDEX('список ID из СУЭ с должностями'!$A:$F,MATCH(E1266,'список ID из СУЭ с должностями'!$B:$B,0),5)</f>
        <v>СМП</v>
      </c>
    </row>
    <row r="1267" spans="1:15" ht="195">
      <c r="A1267" s="3" t="s">
        <v>10</v>
      </c>
      <c r="B1267" s="3" t="s">
        <v>11</v>
      </c>
      <c r="C1267" s="4">
        <v>2026</v>
      </c>
      <c r="D1267" s="5" t="s">
        <v>12</v>
      </c>
      <c r="E1267" s="4">
        <v>178</v>
      </c>
      <c r="F1267" s="4" t="s">
        <v>1670</v>
      </c>
      <c r="G1267" s="4" t="s">
        <v>241</v>
      </c>
      <c r="H1267" s="4" t="s">
        <v>41</v>
      </c>
      <c r="I1267" s="4" t="s">
        <v>189</v>
      </c>
      <c r="J1267" s="4" t="s">
        <v>1678</v>
      </c>
      <c r="K1267" s="4" t="s">
        <v>66</v>
      </c>
      <c r="L1267" s="4" t="s">
        <v>3743</v>
      </c>
      <c r="M1267" s="4" t="s">
        <v>3746</v>
      </c>
      <c r="N1267" s="4" t="s">
        <v>3747</v>
      </c>
      <c r="O1267" s="17" t="str">
        <f>INDEX('список ID из СУЭ с должностями'!$A:$F,MATCH(E1267,'список ID из СУЭ с должностями'!$B:$B,0),5)</f>
        <v>СМП</v>
      </c>
    </row>
    <row r="1268" spans="1:15" ht="45">
      <c r="A1268" s="3" t="s">
        <v>10</v>
      </c>
      <c r="B1268" s="3" t="s">
        <v>11</v>
      </c>
      <c r="C1268" s="4">
        <v>2026</v>
      </c>
      <c r="D1268" s="5" t="s">
        <v>12</v>
      </c>
      <c r="E1268" s="4">
        <v>178</v>
      </c>
      <c r="F1268" s="4" t="s">
        <v>1670</v>
      </c>
      <c r="G1268" s="4" t="s">
        <v>241</v>
      </c>
      <c r="H1268" s="4" t="s">
        <v>21</v>
      </c>
      <c r="I1268" s="4" t="s">
        <v>298</v>
      </c>
      <c r="J1268" s="4" t="s">
        <v>200</v>
      </c>
      <c r="K1268" s="4" t="s">
        <v>66</v>
      </c>
      <c r="L1268" s="4" t="s">
        <v>3742</v>
      </c>
      <c r="M1268" s="4" t="s">
        <v>3746</v>
      </c>
      <c r="N1268" s="4" t="s">
        <v>3747</v>
      </c>
      <c r="O1268" s="17" t="str">
        <f>INDEX('список ID из СУЭ с должностями'!$A:$F,MATCH(E1268,'список ID из СУЭ с должностями'!$B:$B,0),5)</f>
        <v>СМП</v>
      </c>
    </row>
    <row r="1269" spans="1:15" ht="45">
      <c r="A1269" s="3" t="s">
        <v>10</v>
      </c>
      <c r="B1269" s="3" t="s">
        <v>11</v>
      </c>
      <c r="C1269" s="4">
        <v>2026</v>
      </c>
      <c r="D1269" s="5" t="s">
        <v>12</v>
      </c>
      <c r="E1269" s="4">
        <v>178</v>
      </c>
      <c r="F1269" s="4" t="s">
        <v>1670</v>
      </c>
      <c r="G1269" s="4" t="s">
        <v>241</v>
      </c>
      <c r="H1269" s="4" t="s">
        <v>15</v>
      </c>
      <c r="I1269" s="4" t="s">
        <v>1679</v>
      </c>
      <c r="J1269" s="4" t="s">
        <v>1680</v>
      </c>
      <c r="K1269" s="4" t="s">
        <v>66</v>
      </c>
      <c r="L1269" s="4" t="s">
        <v>3743</v>
      </c>
      <c r="M1269" s="4" t="s">
        <v>3746</v>
      </c>
      <c r="N1269" s="4" t="s">
        <v>3747</v>
      </c>
      <c r="O1269" s="17" t="str">
        <f>INDEX('список ID из СУЭ с должностями'!$A:$F,MATCH(E1269,'список ID из СУЭ с должностями'!$B:$B,0),5)</f>
        <v>СМП</v>
      </c>
    </row>
    <row r="1270" spans="1:15" ht="135">
      <c r="A1270" s="3" t="s">
        <v>10</v>
      </c>
      <c r="B1270" s="3" t="s">
        <v>11</v>
      </c>
      <c r="C1270" s="4">
        <v>2026</v>
      </c>
      <c r="D1270" s="5" t="s">
        <v>12</v>
      </c>
      <c r="E1270" s="4">
        <v>178</v>
      </c>
      <c r="F1270" s="4" t="s">
        <v>1670</v>
      </c>
      <c r="G1270" s="4" t="s">
        <v>241</v>
      </c>
      <c r="H1270" s="4" t="s">
        <v>15</v>
      </c>
      <c r="I1270" s="4" t="s">
        <v>1681</v>
      </c>
      <c r="J1270" s="4" t="s">
        <v>1682</v>
      </c>
      <c r="K1270" s="4" t="s">
        <v>66</v>
      </c>
      <c r="L1270" s="4" t="s">
        <v>3743</v>
      </c>
      <c r="M1270" s="4" t="s">
        <v>3746</v>
      </c>
      <c r="N1270" s="4" t="s">
        <v>3747</v>
      </c>
      <c r="O1270" s="17" t="str">
        <f>INDEX('список ID из СУЭ с должностями'!$A:$F,MATCH(E1270,'список ID из СУЭ с должностями'!$B:$B,0),5)</f>
        <v>СМП</v>
      </c>
    </row>
    <row r="1271" spans="1:15" ht="90">
      <c r="A1271" s="3" t="s">
        <v>10</v>
      </c>
      <c r="B1271" s="3" t="s">
        <v>11</v>
      </c>
      <c r="C1271" s="4">
        <v>2026</v>
      </c>
      <c r="D1271" s="5" t="s">
        <v>12</v>
      </c>
      <c r="E1271" s="4">
        <v>178</v>
      </c>
      <c r="F1271" s="4" t="s">
        <v>1670</v>
      </c>
      <c r="G1271" s="4" t="s">
        <v>241</v>
      </c>
      <c r="H1271" s="4" t="s">
        <v>15</v>
      </c>
      <c r="I1271" s="4" t="s">
        <v>1683</v>
      </c>
      <c r="J1271" s="4" t="s">
        <v>1684</v>
      </c>
      <c r="K1271" s="4" t="s">
        <v>66</v>
      </c>
      <c r="L1271" s="4" t="s">
        <v>3743</v>
      </c>
      <c r="M1271" s="4" t="s">
        <v>3746</v>
      </c>
      <c r="N1271" s="4" t="s">
        <v>3747</v>
      </c>
      <c r="O1271" s="17" t="str">
        <f>INDEX('список ID из СУЭ с должностями'!$A:$F,MATCH(E1271,'список ID из СУЭ с должностями'!$B:$B,0),5)</f>
        <v>СМП</v>
      </c>
    </row>
    <row r="1272" spans="1:15" ht="90">
      <c r="A1272" s="3" t="s">
        <v>10</v>
      </c>
      <c r="B1272" s="3" t="s">
        <v>11</v>
      </c>
      <c r="C1272" s="4">
        <v>2026</v>
      </c>
      <c r="D1272" s="5" t="s">
        <v>12</v>
      </c>
      <c r="E1272" s="4">
        <v>178</v>
      </c>
      <c r="F1272" s="4" t="s">
        <v>1670</v>
      </c>
      <c r="G1272" s="4" t="s">
        <v>241</v>
      </c>
      <c r="H1272" s="4" t="s">
        <v>15</v>
      </c>
      <c r="I1272" s="4" t="s">
        <v>1685</v>
      </c>
      <c r="J1272" s="4" t="s">
        <v>1686</v>
      </c>
      <c r="K1272" s="4" t="s">
        <v>66</v>
      </c>
      <c r="L1272" s="4" t="s">
        <v>3743</v>
      </c>
      <c r="M1272" s="4" t="s">
        <v>3746</v>
      </c>
      <c r="N1272" s="4" t="s">
        <v>3747</v>
      </c>
      <c r="O1272" s="17" t="str">
        <f>INDEX('список ID из СУЭ с должностями'!$A:$F,MATCH(E1272,'список ID из СУЭ с должностями'!$B:$B,0),5)</f>
        <v>СМП</v>
      </c>
    </row>
    <row r="1273" spans="1:15" ht="75">
      <c r="A1273" s="3" t="s">
        <v>10</v>
      </c>
      <c r="B1273" s="3" t="s">
        <v>11</v>
      </c>
      <c r="C1273" s="4">
        <v>2026</v>
      </c>
      <c r="D1273" s="5" t="s">
        <v>12</v>
      </c>
      <c r="E1273" s="4">
        <v>179</v>
      </c>
      <c r="F1273" s="4" t="s">
        <v>687</v>
      </c>
      <c r="G1273" s="4" t="s">
        <v>558</v>
      </c>
      <c r="H1273" s="4" t="s">
        <v>15</v>
      </c>
      <c r="I1273" s="4" t="s">
        <v>35</v>
      </c>
      <c r="J1273" s="4">
        <v>0</v>
      </c>
      <c r="K1273" s="4" t="s">
        <v>35</v>
      </c>
      <c r="L1273" s="4" t="s">
        <v>3743</v>
      </c>
      <c r="M1273" s="4" t="s">
        <v>3746</v>
      </c>
      <c r="N1273" s="4" t="s">
        <v>3747</v>
      </c>
      <c r="O1273" s="17">
        <f>INDEX('список ID из СУЭ с должностями'!$A:$F,MATCH(E1273,'список ID из СУЭ с должностями'!$B:$B,0),5)</f>
        <v>0</v>
      </c>
    </row>
    <row r="1274" spans="1:15" ht="75">
      <c r="A1274" s="3" t="s">
        <v>10</v>
      </c>
      <c r="B1274" s="3" t="s">
        <v>11</v>
      </c>
      <c r="C1274" s="4">
        <v>2026</v>
      </c>
      <c r="D1274" s="5" t="s">
        <v>12</v>
      </c>
      <c r="E1274" s="4">
        <v>179</v>
      </c>
      <c r="F1274" s="4" t="s">
        <v>687</v>
      </c>
      <c r="G1274" s="4" t="s">
        <v>558</v>
      </c>
      <c r="H1274" s="4" t="s">
        <v>15</v>
      </c>
      <c r="I1274" s="4" t="s">
        <v>188</v>
      </c>
      <c r="J1274" s="4">
        <v>0</v>
      </c>
      <c r="K1274" s="4" t="s">
        <v>188</v>
      </c>
      <c r="L1274" s="4" t="s">
        <v>3743</v>
      </c>
      <c r="M1274" s="4" t="s">
        <v>3746</v>
      </c>
      <c r="N1274" s="4" t="s">
        <v>3747</v>
      </c>
      <c r="O1274" s="17">
        <f>INDEX('список ID из СУЭ с должностями'!$A:$F,MATCH(E1274,'список ID из СУЭ с должностями'!$B:$B,0),5)</f>
        <v>0</v>
      </c>
    </row>
    <row r="1275" spans="1:15" ht="75">
      <c r="A1275" s="3" t="s">
        <v>10</v>
      </c>
      <c r="B1275" s="3" t="s">
        <v>11</v>
      </c>
      <c r="C1275" s="4">
        <v>2026</v>
      </c>
      <c r="D1275" s="5" t="s">
        <v>12</v>
      </c>
      <c r="E1275" s="4">
        <v>179</v>
      </c>
      <c r="F1275" s="4" t="s">
        <v>687</v>
      </c>
      <c r="G1275" s="4" t="s">
        <v>558</v>
      </c>
      <c r="H1275" s="4" t="s">
        <v>21</v>
      </c>
      <c r="I1275" s="4" t="s">
        <v>559</v>
      </c>
      <c r="J1275" s="4" t="s">
        <v>560</v>
      </c>
      <c r="K1275" s="4" t="s">
        <v>25</v>
      </c>
      <c r="L1275" s="4" t="s">
        <v>3743</v>
      </c>
      <c r="M1275" s="4" t="s">
        <v>3746</v>
      </c>
      <c r="N1275" s="4" t="s">
        <v>3747</v>
      </c>
      <c r="O1275" s="17">
        <f>INDEX('список ID из СУЭ с должностями'!$A:$F,MATCH(E1275,'список ID из СУЭ с должностями'!$B:$B,0),5)</f>
        <v>0</v>
      </c>
    </row>
    <row r="1276" spans="1:15" ht="75">
      <c r="A1276" s="3" t="s">
        <v>10</v>
      </c>
      <c r="B1276" s="3" t="s">
        <v>11</v>
      </c>
      <c r="C1276" s="4">
        <v>2026</v>
      </c>
      <c r="D1276" s="5" t="s">
        <v>12</v>
      </c>
      <c r="E1276" s="4">
        <v>179</v>
      </c>
      <c r="F1276" s="4" t="s">
        <v>687</v>
      </c>
      <c r="G1276" s="4" t="s">
        <v>558</v>
      </c>
      <c r="H1276" s="4" t="s">
        <v>21</v>
      </c>
      <c r="I1276" s="4" t="s">
        <v>563</v>
      </c>
      <c r="J1276" s="4" t="s">
        <v>182</v>
      </c>
      <c r="K1276" s="4" t="s">
        <v>38</v>
      </c>
      <c r="L1276" s="4" t="s">
        <v>3742</v>
      </c>
      <c r="M1276" s="4" t="s">
        <v>3746</v>
      </c>
      <c r="N1276" s="4" t="s">
        <v>3747</v>
      </c>
      <c r="O1276" s="17">
        <f>INDEX('список ID из СУЭ с должностями'!$A:$F,MATCH(E1276,'список ID из СУЭ с должностями'!$B:$B,0),5)</f>
        <v>0</v>
      </c>
    </row>
    <row r="1277" spans="1:15" ht="75">
      <c r="A1277" s="3" t="s">
        <v>10</v>
      </c>
      <c r="B1277" s="3" t="s">
        <v>11</v>
      </c>
      <c r="C1277" s="4">
        <v>2026</v>
      </c>
      <c r="D1277" s="5" t="s">
        <v>12</v>
      </c>
      <c r="E1277" s="4">
        <v>179</v>
      </c>
      <c r="F1277" s="4" t="s">
        <v>687</v>
      </c>
      <c r="G1277" s="4" t="s">
        <v>558</v>
      </c>
      <c r="H1277" s="4" t="s">
        <v>15</v>
      </c>
      <c r="I1277" s="4" t="s">
        <v>35</v>
      </c>
      <c r="J1277" s="4" t="s">
        <v>1687</v>
      </c>
      <c r="K1277" s="4" t="s">
        <v>35</v>
      </c>
      <c r="L1277" s="4" t="s">
        <v>3743</v>
      </c>
      <c r="M1277" s="4" t="s">
        <v>3746</v>
      </c>
      <c r="N1277" s="4" t="s">
        <v>3747</v>
      </c>
      <c r="O1277" s="17">
        <f>INDEX('список ID из СУЭ с должностями'!$A:$F,MATCH(E1277,'список ID из СУЭ с должностями'!$B:$B,0),5)</f>
        <v>0</v>
      </c>
    </row>
    <row r="1278" spans="1:15" ht="75">
      <c r="A1278" s="3" t="s">
        <v>10</v>
      </c>
      <c r="B1278" s="3" t="s">
        <v>11</v>
      </c>
      <c r="C1278" s="4">
        <v>2026</v>
      </c>
      <c r="D1278" s="5" t="s">
        <v>12</v>
      </c>
      <c r="E1278" s="4">
        <v>179</v>
      </c>
      <c r="F1278" s="4" t="s">
        <v>687</v>
      </c>
      <c r="G1278" s="4" t="s">
        <v>558</v>
      </c>
      <c r="H1278" s="4" t="s">
        <v>41</v>
      </c>
      <c r="I1278" s="4" t="s">
        <v>1688</v>
      </c>
      <c r="J1278" s="4" t="s">
        <v>1689</v>
      </c>
      <c r="K1278" s="4" t="s">
        <v>52</v>
      </c>
      <c r="L1278" s="4" t="s">
        <v>3743</v>
      </c>
      <c r="M1278" s="4" t="s">
        <v>3746</v>
      </c>
      <c r="N1278" s="4" t="s">
        <v>3747</v>
      </c>
      <c r="O1278" s="17">
        <f>INDEX('список ID из СУЭ с должностями'!$A:$F,MATCH(E1278,'список ID из СУЭ с должностями'!$B:$B,0),5)</f>
        <v>0</v>
      </c>
    </row>
    <row r="1279" spans="1:15" ht="270">
      <c r="A1279" s="3" t="s">
        <v>10</v>
      </c>
      <c r="B1279" s="3" t="s">
        <v>11</v>
      </c>
      <c r="C1279" s="4">
        <v>2026</v>
      </c>
      <c r="D1279" s="5" t="s">
        <v>12</v>
      </c>
      <c r="E1279" s="4">
        <v>179</v>
      </c>
      <c r="F1279" s="4" t="s">
        <v>687</v>
      </c>
      <c r="G1279" s="4" t="s">
        <v>558</v>
      </c>
      <c r="H1279" s="4" t="s">
        <v>15</v>
      </c>
      <c r="I1279" s="4" t="s">
        <v>857</v>
      </c>
      <c r="J1279" s="4" t="s">
        <v>1690</v>
      </c>
      <c r="K1279" s="4" t="s">
        <v>35</v>
      </c>
      <c r="L1279" s="4" t="s">
        <v>3743</v>
      </c>
      <c r="M1279" s="4" t="s">
        <v>3746</v>
      </c>
      <c r="N1279" s="4" t="s">
        <v>3747</v>
      </c>
      <c r="O1279" s="17">
        <f>INDEX('список ID из СУЭ с должностями'!$A:$F,MATCH(E1279,'список ID из СУЭ с должностями'!$B:$B,0),5)</f>
        <v>0</v>
      </c>
    </row>
    <row r="1280" spans="1:15" ht="75">
      <c r="A1280" s="3" t="s">
        <v>10</v>
      </c>
      <c r="B1280" s="3" t="s">
        <v>11</v>
      </c>
      <c r="C1280" s="4">
        <v>2026</v>
      </c>
      <c r="D1280" s="5" t="s">
        <v>12</v>
      </c>
      <c r="E1280" s="4">
        <v>179</v>
      </c>
      <c r="F1280" s="4" t="s">
        <v>687</v>
      </c>
      <c r="G1280" s="4" t="s">
        <v>558</v>
      </c>
      <c r="H1280" s="4" t="s">
        <v>21</v>
      </c>
      <c r="I1280" s="4" t="s">
        <v>1612</v>
      </c>
      <c r="J1280" s="4" t="s">
        <v>182</v>
      </c>
      <c r="K1280" s="4" t="s">
        <v>23</v>
      </c>
      <c r="L1280" s="4" t="s">
        <v>3742</v>
      </c>
      <c r="M1280" s="4" t="s">
        <v>3748</v>
      </c>
      <c r="N1280" s="4" t="s">
        <v>3752</v>
      </c>
      <c r="O1280" s="17">
        <f>INDEX('список ID из СУЭ с должностями'!$A:$F,MATCH(E1280,'список ID из СУЭ с должностями'!$B:$B,0),5)</f>
        <v>0</v>
      </c>
    </row>
    <row r="1281" spans="1:15" ht="75">
      <c r="A1281" s="3" t="s">
        <v>10</v>
      </c>
      <c r="B1281" s="3" t="s">
        <v>11</v>
      </c>
      <c r="C1281" s="4">
        <v>2026</v>
      </c>
      <c r="D1281" s="5" t="s">
        <v>12</v>
      </c>
      <c r="E1281" s="4">
        <v>179</v>
      </c>
      <c r="F1281" s="4" t="s">
        <v>687</v>
      </c>
      <c r="G1281" s="4" t="s">
        <v>558</v>
      </c>
      <c r="H1281" s="4" t="s">
        <v>21</v>
      </c>
      <c r="I1281" s="4" t="s">
        <v>655</v>
      </c>
      <c r="J1281" s="4" t="s">
        <v>656</v>
      </c>
      <c r="K1281" s="4" t="s">
        <v>35</v>
      </c>
      <c r="L1281" s="4" t="s">
        <v>3743</v>
      </c>
      <c r="M1281" s="4" t="s">
        <v>3746</v>
      </c>
      <c r="N1281" s="4" t="s">
        <v>3747</v>
      </c>
      <c r="O1281" s="17">
        <f>INDEX('список ID из СУЭ с должностями'!$A:$F,MATCH(E1281,'список ID из СУЭ с должностями'!$B:$B,0),5)</f>
        <v>0</v>
      </c>
    </row>
    <row r="1282" spans="1:15" ht="105">
      <c r="A1282" s="3" t="s">
        <v>10</v>
      </c>
      <c r="B1282" s="3" t="s">
        <v>11</v>
      </c>
      <c r="C1282" s="4">
        <v>2026</v>
      </c>
      <c r="D1282" s="5" t="s">
        <v>12</v>
      </c>
      <c r="E1282" s="4">
        <v>180</v>
      </c>
      <c r="F1282" s="4" t="s">
        <v>67</v>
      </c>
      <c r="G1282" s="4" t="s">
        <v>68</v>
      </c>
      <c r="H1282" s="4" t="s">
        <v>15</v>
      </c>
      <c r="I1282" s="4" t="s">
        <v>1691</v>
      </c>
      <c r="J1282" s="4" t="s">
        <v>1692</v>
      </c>
      <c r="K1282" s="4" t="s">
        <v>52</v>
      </c>
      <c r="L1282" s="4" t="s">
        <v>3743</v>
      </c>
      <c r="M1282" s="4" t="s">
        <v>3746</v>
      </c>
      <c r="N1282" s="4" t="s">
        <v>3747</v>
      </c>
      <c r="O1282" s="17">
        <f>INDEX('список ID из СУЭ с должностями'!$A:$F,MATCH(E1282,'список ID из СУЭ с должностями'!$B:$B,0),5)</f>
        <v>0</v>
      </c>
    </row>
    <row r="1283" spans="1:15" ht="45">
      <c r="A1283" s="3" t="s">
        <v>10</v>
      </c>
      <c r="B1283" s="3" t="s">
        <v>11</v>
      </c>
      <c r="C1283" s="4">
        <v>2026</v>
      </c>
      <c r="D1283" s="5" t="s">
        <v>12</v>
      </c>
      <c r="E1283" s="4">
        <v>180</v>
      </c>
      <c r="F1283" s="4" t="s">
        <v>67</v>
      </c>
      <c r="G1283" s="4" t="s">
        <v>68</v>
      </c>
      <c r="H1283" s="4" t="s">
        <v>15</v>
      </c>
      <c r="I1283" s="4" t="s">
        <v>74</v>
      </c>
      <c r="J1283" s="4" t="s">
        <v>75</v>
      </c>
      <c r="K1283" s="4" t="s">
        <v>52</v>
      </c>
      <c r="L1283" s="4" t="s">
        <v>3743</v>
      </c>
      <c r="M1283" s="4" t="s">
        <v>3746</v>
      </c>
      <c r="N1283" s="4" t="s">
        <v>3747</v>
      </c>
      <c r="O1283" s="17">
        <f>INDEX('список ID из СУЭ с должностями'!$A:$F,MATCH(E1283,'список ID из СУЭ с должностями'!$B:$B,0),5)</f>
        <v>0</v>
      </c>
    </row>
    <row r="1284" spans="1:15" ht="60">
      <c r="A1284" s="3" t="s">
        <v>10</v>
      </c>
      <c r="B1284" s="3" t="s">
        <v>11</v>
      </c>
      <c r="C1284" s="4">
        <v>2026</v>
      </c>
      <c r="D1284" s="5" t="s">
        <v>12</v>
      </c>
      <c r="E1284" s="4">
        <v>180</v>
      </c>
      <c r="F1284" s="4" t="s">
        <v>67</v>
      </c>
      <c r="G1284" s="4" t="s">
        <v>68</v>
      </c>
      <c r="H1284" s="4" t="s">
        <v>15</v>
      </c>
      <c r="I1284" s="4" t="s">
        <v>1693</v>
      </c>
      <c r="J1284" s="4" t="s">
        <v>83</v>
      </c>
      <c r="K1284" s="4" t="s">
        <v>188</v>
      </c>
      <c r="L1284" s="4" t="s">
        <v>3743</v>
      </c>
      <c r="M1284" s="4" t="s">
        <v>3746</v>
      </c>
      <c r="N1284" s="4" t="s">
        <v>3747</v>
      </c>
      <c r="O1284" s="17">
        <f>INDEX('список ID из СУЭ с должностями'!$A:$F,MATCH(E1284,'список ID из СУЭ с должностями'!$B:$B,0),5)</f>
        <v>0</v>
      </c>
    </row>
    <row r="1285" spans="1:15" ht="45">
      <c r="A1285" s="3" t="s">
        <v>10</v>
      </c>
      <c r="B1285" s="3" t="s">
        <v>11</v>
      </c>
      <c r="C1285" s="4">
        <v>2026</v>
      </c>
      <c r="D1285" s="5" t="s">
        <v>12</v>
      </c>
      <c r="E1285" s="4">
        <v>180</v>
      </c>
      <c r="F1285" s="4" t="s">
        <v>67</v>
      </c>
      <c r="G1285" s="4" t="s">
        <v>68</v>
      </c>
      <c r="H1285" s="4" t="s">
        <v>15</v>
      </c>
      <c r="I1285" s="4" t="s">
        <v>69</v>
      </c>
      <c r="J1285" s="4" t="s">
        <v>79</v>
      </c>
      <c r="K1285" s="4" t="s">
        <v>52</v>
      </c>
      <c r="L1285" s="4" t="s">
        <v>3742</v>
      </c>
      <c r="M1285" s="4" t="s">
        <v>3746</v>
      </c>
      <c r="N1285" s="4" t="s">
        <v>3747</v>
      </c>
      <c r="O1285" s="17">
        <f>INDEX('список ID из СУЭ с должностями'!$A:$F,MATCH(E1285,'список ID из СУЭ с должностями'!$B:$B,0),5)</f>
        <v>0</v>
      </c>
    </row>
    <row r="1286" spans="1:15" ht="135">
      <c r="A1286" s="3" t="s">
        <v>10</v>
      </c>
      <c r="B1286" s="3" t="s">
        <v>11</v>
      </c>
      <c r="C1286" s="4">
        <v>2026</v>
      </c>
      <c r="D1286" s="5" t="s">
        <v>12</v>
      </c>
      <c r="E1286" s="4">
        <v>180</v>
      </c>
      <c r="F1286" s="4" t="s">
        <v>67</v>
      </c>
      <c r="G1286" s="4" t="s">
        <v>68</v>
      </c>
      <c r="H1286" s="4" t="s">
        <v>15</v>
      </c>
      <c r="I1286" s="4" t="s">
        <v>1694</v>
      </c>
      <c r="J1286" s="4" t="s">
        <v>1695</v>
      </c>
      <c r="K1286" s="4" t="s">
        <v>188</v>
      </c>
      <c r="L1286" s="4" t="s">
        <v>3743</v>
      </c>
      <c r="M1286" s="4" t="s">
        <v>3746</v>
      </c>
      <c r="N1286" s="4" t="s">
        <v>3747</v>
      </c>
      <c r="O1286" s="17">
        <f>INDEX('список ID из СУЭ с должностями'!$A:$F,MATCH(E1286,'список ID из СУЭ с должностями'!$B:$B,0),5)</f>
        <v>0</v>
      </c>
    </row>
    <row r="1287" spans="1:15" ht="150">
      <c r="A1287" s="3" t="s">
        <v>10</v>
      </c>
      <c r="B1287" s="3" t="s">
        <v>11</v>
      </c>
      <c r="C1287" s="4">
        <v>2026</v>
      </c>
      <c r="D1287" s="5" t="s">
        <v>12</v>
      </c>
      <c r="E1287" s="4">
        <v>180</v>
      </c>
      <c r="F1287" s="4" t="s">
        <v>67</v>
      </c>
      <c r="G1287" s="4" t="s">
        <v>68</v>
      </c>
      <c r="H1287" s="4" t="s">
        <v>15</v>
      </c>
      <c r="I1287" s="4" t="s">
        <v>72</v>
      </c>
      <c r="J1287" s="4" t="s">
        <v>1696</v>
      </c>
      <c r="K1287" s="4" t="s">
        <v>52</v>
      </c>
      <c r="L1287" s="4" t="s">
        <v>3743</v>
      </c>
      <c r="M1287" s="4" t="s">
        <v>3746</v>
      </c>
      <c r="N1287" s="4" t="s">
        <v>3747</v>
      </c>
      <c r="O1287" s="17">
        <f>INDEX('список ID из СУЭ с должностями'!$A:$F,MATCH(E1287,'список ID из СУЭ с должностями'!$B:$B,0),5)</f>
        <v>0</v>
      </c>
    </row>
    <row r="1288" spans="1:15" ht="60">
      <c r="A1288" s="3" t="s">
        <v>10</v>
      </c>
      <c r="B1288" s="3" t="s">
        <v>11</v>
      </c>
      <c r="C1288" s="4">
        <v>2026</v>
      </c>
      <c r="D1288" s="5" t="s">
        <v>12</v>
      </c>
      <c r="E1288" s="4">
        <v>180</v>
      </c>
      <c r="F1288" s="4" t="s">
        <v>67</v>
      </c>
      <c r="G1288" s="4" t="s">
        <v>68</v>
      </c>
      <c r="H1288" s="4" t="s">
        <v>15</v>
      </c>
      <c r="I1288" s="4" t="s">
        <v>1697</v>
      </c>
      <c r="J1288" s="4" t="s">
        <v>115</v>
      </c>
      <c r="K1288" s="4" t="s">
        <v>52</v>
      </c>
      <c r="L1288" s="4" t="s">
        <v>3742</v>
      </c>
      <c r="M1288" s="4" t="s">
        <v>3746</v>
      </c>
      <c r="N1288" s="4" t="s">
        <v>3747</v>
      </c>
      <c r="O1288" s="17">
        <f>INDEX('список ID из СУЭ с должностями'!$A:$F,MATCH(E1288,'список ID из СУЭ с должностями'!$B:$B,0),5)</f>
        <v>0</v>
      </c>
    </row>
    <row r="1289" spans="1:15" ht="45">
      <c r="A1289" s="3" t="s">
        <v>10</v>
      </c>
      <c r="B1289" s="3" t="s">
        <v>11</v>
      </c>
      <c r="C1289" s="4">
        <v>2026</v>
      </c>
      <c r="D1289" s="5" t="s">
        <v>12</v>
      </c>
      <c r="E1289" s="4">
        <v>180</v>
      </c>
      <c r="F1289" s="4" t="s">
        <v>67</v>
      </c>
      <c r="G1289" s="4" t="s">
        <v>68</v>
      </c>
      <c r="H1289" s="4" t="s">
        <v>15</v>
      </c>
      <c r="I1289" s="4" t="s">
        <v>1698</v>
      </c>
      <c r="J1289" s="4" t="s">
        <v>1699</v>
      </c>
      <c r="K1289" s="4" t="s">
        <v>52</v>
      </c>
      <c r="L1289" s="4" t="s">
        <v>3743</v>
      </c>
      <c r="M1289" s="4" t="s">
        <v>3746</v>
      </c>
      <c r="N1289" s="4" t="s">
        <v>3747</v>
      </c>
      <c r="O1289" s="17">
        <f>INDEX('список ID из СУЭ с должностями'!$A:$F,MATCH(E1289,'список ID из СУЭ с должностями'!$B:$B,0),5)</f>
        <v>0</v>
      </c>
    </row>
    <row r="1290" spans="1:15" ht="60">
      <c r="A1290" s="3" t="s">
        <v>10</v>
      </c>
      <c r="B1290" s="3" t="s">
        <v>11</v>
      </c>
      <c r="C1290" s="4">
        <v>2026</v>
      </c>
      <c r="D1290" s="5" t="s">
        <v>12</v>
      </c>
      <c r="E1290" s="4">
        <v>181</v>
      </c>
      <c r="F1290" s="4" t="s">
        <v>239</v>
      </c>
      <c r="G1290" s="4" t="s">
        <v>1700</v>
      </c>
      <c r="H1290" s="4" t="s">
        <v>21</v>
      </c>
      <c r="I1290" s="4" t="s">
        <v>318</v>
      </c>
      <c r="J1290" s="4" t="s">
        <v>1701</v>
      </c>
      <c r="K1290" s="4" t="s">
        <v>25</v>
      </c>
      <c r="L1290" s="4" t="s">
        <v>3743</v>
      </c>
      <c r="M1290" s="4" t="s">
        <v>3746</v>
      </c>
      <c r="N1290" s="4" t="s">
        <v>3747</v>
      </c>
      <c r="O1290" s="17" t="str">
        <f>INDEX('список ID из СУЭ с должностями'!$A:$F,MATCH(E1290,'список ID из СУЭ с должностями'!$B:$B,0),5)</f>
        <v>ИПП</v>
      </c>
    </row>
    <row r="1291" spans="1:15" ht="60">
      <c r="A1291" s="3" t="s">
        <v>10</v>
      </c>
      <c r="B1291" s="3" t="s">
        <v>11</v>
      </c>
      <c r="C1291" s="4">
        <v>2026</v>
      </c>
      <c r="D1291" s="5" t="s">
        <v>12</v>
      </c>
      <c r="E1291" s="4">
        <v>181</v>
      </c>
      <c r="F1291" s="4" t="s">
        <v>239</v>
      </c>
      <c r="G1291" s="4" t="s">
        <v>1700</v>
      </c>
      <c r="H1291" s="4" t="s">
        <v>15</v>
      </c>
      <c r="I1291" s="4" t="s">
        <v>834</v>
      </c>
      <c r="J1291" s="4" t="s">
        <v>196</v>
      </c>
      <c r="K1291" s="4" t="s">
        <v>188</v>
      </c>
      <c r="L1291" s="4" t="s">
        <v>3742</v>
      </c>
      <c r="M1291" s="4" t="s">
        <v>3746</v>
      </c>
      <c r="N1291" s="4" t="s">
        <v>3747</v>
      </c>
      <c r="O1291" s="17" t="str">
        <f>INDEX('список ID из СУЭ с должностями'!$A:$F,MATCH(E1291,'список ID из СУЭ с должностями'!$B:$B,0),5)</f>
        <v>ИПП</v>
      </c>
    </row>
    <row r="1292" spans="1:15" ht="60">
      <c r="A1292" s="3" t="s">
        <v>10</v>
      </c>
      <c r="B1292" s="3" t="s">
        <v>11</v>
      </c>
      <c r="C1292" s="4">
        <v>2026</v>
      </c>
      <c r="D1292" s="5" t="s">
        <v>12</v>
      </c>
      <c r="E1292" s="4">
        <v>181</v>
      </c>
      <c r="F1292" s="4" t="s">
        <v>239</v>
      </c>
      <c r="G1292" s="4" t="s">
        <v>1700</v>
      </c>
      <c r="H1292" s="4" t="s">
        <v>15</v>
      </c>
      <c r="I1292" s="4" t="s">
        <v>48</v>
      </c>
      <c r="J1292" s="4" t="s">
        <v>187</v>
      </c>
      <c r="K1292" s="4" t="s">
        <v>35</v>
      </c>
      <c r="L1292" s="4" t="s">
        <v>3743</v>
      </c>
      <c r="M1292" s="4" t="s">
        <v>3746</v>
      </c>
      <c r="N1292" s="4" t="s">
        <v>3747</v>
      </c>
      <c r="O1292" s="17" t="str">
        <f>INDEX('список ID из СУЭ с должностями'!$A:$F,MATCH(E1292,'список ID из СУЭ с должностями'!$B:$B,0),5)</f>
        <v>ИПП</v>
      </c>
    </row>
    <row r="1293" spans="1:15" ht="60">
      <c r="A1293" s="3" t="s">
        <v>10</v>
      </c>
      <c r="B1293" s="3" t="s">
        <v>11</v>
      </c>
      <c r="C1293" s="4">
        <v>2026</v>
      </c>
      <c r="D1293" s="5" t="s">
        <v>12</v>
      </c>
      <c r="E1293" s="4">
        <v>181</v>
      </c>
      <c r="F1293" s="4" t="s">
        <v>239</v>
      </c>
      <c r="G1293" s="4" t="s">
        <v>1700</v>
      </c>
      <c r="H1293" s="4" t="s">
        <v>15</v>
      </c>
      <c r="I1293" s="4" t="s">
        <v>1400</v>
      </c>
      <c r="J1293" s="4" t="s">
        <v>299</v>
      </c>
      <c r="K1293" s="4" t="s">
        <v>66</v>
      </c>
      <c r="L1293" s="4" t="s">
        <v>3743</v>
      </c>
      <c r="M1293" s="4" t="s">
        <v>3746</v>
      </c>
      <c r="N1293" s="4" t="s">
        <v>3747</v>
      </c>
      <c r="O1293" s="17" t="str">
        <f>INDEX('список ID из СУЭ с должностями'!$A:$F,MATCH(E1293,'список ID из СУЭ с должностями'!$B:$B,0),5)</f>
        <v>ИПП</v>
      </c>
    </row>
    <row r="1294" spans="1:15" ht="60">
      <c r="A1294" s="3" t="s">
        <v>10</v>
      </c>
      <c r="B1294" s="3" t="s">
        <v>11</v>
      </c>
      <c r="C1294" s="4">
        <v>2026</v>
      </c>
      <c r="D1294" s="5" t="s">
        <v>12</v>
      </c>
      <c r="E1294" s="4">
        <v>181</v>
      </c>
      <c r="F1294" s="4" t="s">
        <v>239</v>
      </c>
      <c r="G1294" s="4" t="s">
        <v>1700</v>
      </c>
      <c r="H1294" s="4" t="s">
        <v>15</v>
      </c>
      <c r="I1294" s="4" t="s">
        <v>1702</v>
      </c>
      <c r="J1294" s="4" t="s">
        <v>132</v>
      </c>
      <c r="K1294" s="4" t="s">
        <v>38</v>
      </c>
      <c r="L1294" s="4" t="s">
        <v>3742</v>
      </c>
      <c r="M1294" s="4" t="s">
        <v>3746</v>
      </c>
      <c r="N1294" s="4" t="s">
        <v>3747</v>
      </c>
      <c r="O1294" s="17" t="str">
        <f>INDEX('список ID из СУЭ с должностями'!$A:$F,MATCH(E1294,'список ID из СУЭ с должностями'!$B:$B,0),5)</f>
        <v>ИПП</v>
      </c>
    </row>
    <row r="1295" spans="1:15" ht="60">
      <c r="A1295" s="3" t="s">
        <v>10</v>
      </c>
      <c r="B1295" s="3" t="s">
        <v>11</v>
      </c>
      <c r="C1295" s="4">
        <v>2026</v>
      </c>
      <c r="D1295" s="5" t="s">
        <v>12</v>
      </c>
      <c r="E1295" s="4">
        <v>181</v>
      </c>
      <c r="F1295" s="4" t="s">
        <v>239</v>
      </c>
      <c r="G1295" s="4" t="s">
        <v>1700</v>
      </c>
      <c r="H1295" s="4" t="s">
        <v>15</v>
      </c>
      <c r="I1295" s="4" t="s">
        <v>1408</v>
      </c>
      <c r="J1295" s="4" t="s">
        <v>182</v>
      </c>
      <c r="K1295" s="4" t="s">
        <v>188</v>
      </c>
      <c r="L1295" s="4" t="s">
        <v>3742</v>
      </c>
      <c r="M1295" s="4" t="s">
        <v>3746</v>
      </c>
      <c r="N1295" s="4" t="s">
        <v>3747</v>
      </c>
      <c r="O1295" s="17" t="str">
        <f>INDEX('список ID из СУЭ с должностями'!$A:$F,MATCH(E1295,'список ID из СУЭ с должностями'!$B:$B,0),5)</f>
        <v>ИПП</v>
      </c>
    </row>
    <row r="1296" spans="1:15" ht="150">
      <c r="A1296" s="3" t="s">
        <v>10</v>
      </c>
      <c r="B1296" s="3" t="s">
        <v>11</v>
      </c>
      <c r="C1296" s="4">
        <v>2026</v>
      </c>
      <c r="D1296" s="5" t="s">
        <v>12</v>
      </c>
      <c r="E1296" s="4">
        <v>181</v>
      </c>
      <c r="F1296" s="4" t="s">
        <v>239</v>
      </c>
      <c r="G1296" s="4" t="s">
        <v>1700</v>
      </c>
      <c r="H1296" s="4" t="s">
        <v>21</v>
      </c>
      <c r="I1296" s="4" t="s">
        <v>829</v>
      </c>
      <c r="J1296" s="4" t="s">
        <v>1703</v>
      </c>
      <c r="K1296" s="4" t="s">
        <v>20</v>
      </c>
      <c r="L1296" s="4" t="s">
        <v>3743</v>
      </c>
      <c r="M1296" s="4" t="s">
        <v>3746</v>
      </c>
      <c r="N1296" s="4" t="s">
        <v>3747</v>
      </c>
      <c r="O1296" s="17" t="str">
        <f>INDEX('список ID из СУЭ с должностями'!$A:$F,MATCH(E1296,'список ID из СУЭ с должностями'!$B:$B,0),5)</f>
        <v>ИПП</v>
      </c>
    </row>
    <row r="1297" spans="1:15" ht="150">
      <c r="A1297" s="3" t="s">
        <v>10</v>
      </c>
      <c r="B1297" s="3" t="s">
        <v>11</v>
      </c>
      <c r="C1297" s="4">
        <v>2026</v>
      </c>
      <c r="D1297" s="5" t="s">
        <v>12</v>
      </c>
      <c r="E1297" s="4">
        <v>181</v>
      </c>
      <c r="F1297" s="4" t="s">
        <v>239</v>
      </c>
      <c r="G1297" s="4" t="s">
        <v>1700</v>
      </c>
      <c r="H1297" s="4" t="s">
        <v>41</v>
      </c>
      <c r="I1297" s="4" t="s">
        <v>42</v>
      </c>
      <c r="J1297" s="4" t="s">
        <v>43</v>
      </c>
      <c r="K1297" s="4" t="s">
        <v>25</v>
      </c>
      <c r="L1297" s="4" t="s">
        <v>3743</v>
      </c>
      <c r="M1297" s="4" t="s">
        <v>3746</v>
      </c>
      <c r="N1297" s="4" t="s">
        <v>3747</v>
      </c>
      <c r="O1297" s="17" t="str">
        <f>INDEX('список ID из СУЭ с должностями'!$A:$F,MATCH(E1297,'список ID из СУЭ с должностями'!$B:$B,0),5)</f>
        <v>ИПП</v>
      </c>
    </row>
    <row r="1298" spans="1:15" ht="409.5">
      <c r="A1298" s="3" t="s">
        <v>10</v>
      </c>
      <c r="B1298" s="3" t="s">
        <v>11</v>
      </c>
      <c r="C1298" s="4">
        <v>2026</v>
      </c>
      <c r="D1298" s="5" t="s">
        <v>12</v>
      </c>
      <c r="E1298" s="4">
        <v>182</v>
      </c>
      <c r="F1298" s="4" t="s">
        <v>458</v>
      </c>
      <c r="G1298" s="4" t="s">
        <v>459</v>
      </c>
      <c r="H1298" s="4" t="s">
        <v>21</v>
      </c>
      <c r="I1298" s="4" t="s">
        <v>437</v>
      </c>
      <c r="J1298" s="4" t="s">
        <v>1704</v>
      </c>
      <c r="K1298" s="4" t="s">
        <v>52</v>
      </c>
      <c r="L1298" s="4" t="s">
        <v>3743</v>
      </c>
      <c r="M1298" s="4" t="s">
        <v>3746</v>
      </c>
      <c r="N1298" s="4" t="s">
        <v>3747</v>
      </c>
      <c r="O1298" s="17">
        <f>INDEX('список ID из СУЭ с должностями'!$A:$F,MATCH(E1298,'список ID из СУЭ с должностями'!$B:$B,0),5)</f>
        <v>0</v>
      </c>
    </row>
    <row r="1299" spans="1:15" ht="390">
      <c r="A1299" s="3" t="s">
        <v>10</v>
      </c>
      <c r="B1299" s="3" t="s">
        <v>11</v>
      </c>
      <c r="C1299" s="4">
        <v>2026</v>
      </c>
      <c r="D1299" s="5" t="s">
        <v>12</v>
      </c>
      <c r="E1299" s="4">
        <v>182</v>
      </c>
      <c r="F1299" s="4" t="s">
        <v>458</v>
      </c>
      <c r="G1299" s="4" t="s">
        <v>459</v>
      </c>
      <c r="H1299" s="4" t="s">
        <v>15</v>
      </c>
      <c r="I1299" s="4" t="s">
        <v>855</v>
      </c>
      <c r="J1299" s="4" t="s">
        <v>1705</v>
      </c>
      <c r="K1299" s="4" t="s">
        <v>66</v>
      </c>
      <c r="L1299" s="4" t="s">
        <v>3743</v>
      </c>
      <c r="M1299" s="4" t="s">
        <v>3746</v>
      </c>
      <c r="N1299" s="4" t="s">
        <v>3747</v>
      </c>
      <c r="O1299" s="17">
        <f>INDEX('список ID из СУЭ с должностями'!$A:$F,MATCH(E1299,'список ID из СУЭ с должностями'!$B:$B,0),5)</f>
        <v>0</v>
      </c>
    </row>
    <row r="1300" spans="1:15" ht="315">
      <c r="A1300" s="3" t="s">
        <v>10</v>
      </c>
      <c r="B1300" s="3" t="s">
        <v>11</v>
      </c>
      <c r="C1300" s="4">
        <v>2026</v>
      </c>
      <c r="D1300" s="5" t="s">
        <v>12</v>
      </c>
      <c r="E1300" s="4">
        <v>182</v>
      </c>
      <c r="F1300" s="4" t="s">
        <v>458</v>
      </c>
      <c r="G1300" s="4" t="s">
        <v>459</v>
      </c>
      <c r="H1300" s="4" t="s">
        <v>15</v>
      </c>
      <c r="I1300" s="4" t="s">
        <v>147</v>
      </c>
      <c r="J1300" s="4" t="s">
        <v>1706</v>
      </c>
      <c r="K1300" s="4" t="s">
        <v>35</v>
      </c>
      <c r="L1300" s="4" t="s">
        <v>3743</v>
      </c>
      <c r="M1300" s="4" t="s">
        <v>3746</v>
      </c>
      <c r="N1300" s="4" t="s">
        <v>3747</v>
      </c>
      <c r="O1300" s="17">
        <f>INDEX('список ID из СУЭ с должностями'!$A:$F,MATCH(E1300,'список ID из СУЭ с должностями'!$B:$B,0),5)</f>
        <v>0</v>
      </c>
    </row>
    <row r="1301" spans="1:15" ht="330">
      <c r="A1301" s="3" t="s">
        <v>10</v>
      </c>
      <c r="B1301" s="3" t="s">
        <v>11</v>
      </c>
      <c r="C1301" s="4">
        <v>2026</v>
      </c>
      <c r="D1301" s="5" t="s">
        <v>12</v>
      </c>
      <c r="E1301" s="4">
        <v>182</v>
      </c>
      <c r="F1301" s="4" t="s">
        <v>458</v>
      </c>
      <c r="G1301" s="4" t="s">
        <v>459</v>
      </c>
      <c r="H1301" s="4" t="s">
        <v>15</v>
      </c>
      <c r="I1301" s="4" t="s">
        <v>303</v>
      </c>
      <c r="J1301" s="4" t="s">
        <v>1707</v>
      </c>
      <c r="K1301" s="4" t="s">
        <v>66</v>
      </c>
      <c r="L1301" s="4" t="s">
        <v>3743</v>
      </c>
      <c r="M1301" s="4" t="s">
        <v>3746</v>
      </c>
      <c r="N1301" s="4" t="s">
        <v>3747</v>
      </c>
      <c r="O1301" s="17">
        <f>INDEX('список ID из СУЭ с должностями'!$A:$F,MATCH(E1301,'список ID из СУЭ с должностями'!$B:$B,0),5)</f>
        <v>0</v>
      </c>
    </row>
    <row r="1302" spans="1:15" ht="409.5">
      <c r="A1302" s="3" t="s">
        <v>10</v>
      </c>
      <c r="B1302" s="3" t="s">
        <v>11</v>
      </c>
      <c r="C1302" s="4">
        <v>2026</v>
      </c>
      <c r="D1302" s="5" t="s">
        <v>12</v>
      </c>
      <c r="E1302" s="4">
        <v>182</v>
      </c>
      <c r="F1302" s="4" t="s">
        <v>458</v>
      </c>
      <c r="G1302" s="4" t="s">
        <v>459</v>
      </c>
      <c r="H1302" s="4" t="s">
        <v>15</v>
      </c>
      <c r="I1302" s="4" t="s">
        <v>149</v>
      </c>
      <c r="J1302" s="4" t="s">
        <v>1708</v>
      </c>
      <c r="K1302" s="4" t="s">
        <v>52</v>
      </c>
      <c r="L1302" s="4" t="s">
        <v>3743</v>
      </c>
      <c r="M1302" s="4" t="s">
        <v>3746</v>
      </c>
      <c r="N1302" s="4" t="s">
        <v>3747</v>
      </c>
      <c r="O1302" s="17">
        <f>INDEX('список ID из СУЭ с должностями'!$A:$F,MATCH(E1302,'список ID из СУЭ с должностями'!$B:$B,0),5)</f>
        <v>0</v>
      </c>
    </row>
    <row r="1303" spans="1:15" ht="409.5">
      <c r="A1303" s="3" t="s">
        <v>10</v>
      </c>
      <c r="B1303" s="3" t="s">
        <v>11</v>
      </c>
      <c r="C1303" s="4">
        <v>2026</v>
      </c>
      <c r="D1303" s="5" t="s">
        <v>12</v>
      </c>
      <c r="E1303" s="4">
        <v>182</v>
      </c>
      <c r="F1303" s="4" t="s">
        <v>458</v>
      </c>
      <c r="G1303" s="4" t="s">
        <v>459</v>
      </c>
      <c r="H1303" s="4" t="s">
        <v>21</v>
      </c>
      <c r="I1303" s="4" t="s">
        <v>1168</v>
      </c>
      <c r="J1303" s="4" t="s">
        <v>1709</v>
      </c>
      <c r="K1303" s="4" t="s">
        <v>25</v>
      </c>
      <c r="L1303" s="4" t="s">
        <v>3743</v>
      </c>
      <c r="M1303" s="4" t="s">
        <v>3746</v>
      </c>
      <c r="N1303" s="4" t="s">
        <v>3747</v>
      </c>
      <c r="O1303" s="17">
        <f>INDEX('список ID из СУЭ с должностями'!$A:$F,MATCH(E1303,'список ID из СУЭ с должностями'!$B:$B,0),5)</f>
        <v>0</v>
      </c>
    </row>
    <row r="1304" spans="1:15" ht="409.5">
      <c r="A1304" s="3" t="s">
        <v>10</v>
      </c>
      <c r="B1304" s="3" t="s">
        <v>11</v>
      </c>
      <c r="C1304" s="4">
        <v>2026</v>
      </c>
      <c r="D1304" s="5" t="s">
        <v>12</v>
      </c>
      <c r="E1304" s="4">
        <v>182</v>
      </c>
      <c r="F1304" s="4" t="s">
        <v>458</v>
      </c>
      <c r="G1304" s="4" t="s">
        <v>459</v>
      </c>
      <c r="H1304" s="4" t="s">
        <v>15</v>
      </c>
      <c r="I1304" s="4" t="s">
        <v>460</v>
      </c>
      <c r="J1304" s="4" t="s">
        <v>1170</v>
      </c>
      <c r="K1304" s="4" t="s">
        <v>38</v>
      </c>
      <c r="L1304" s="4" t="s">
        <v>3743</v>
      </c>
      <c r="M1304" s="4" t="s">
        <v>3746</v>
      </c>
      <c r="N1304" s="4" t="s">
        <v>3747</v>
      </c>
      <c r="O1304" s="17">
        <f>INDEX('список ID из СУЭ с должностями'!$A:$F,MATCH(E1304,'список ID из СУЭ с должностями'!$B:$B,0),5)</f>
        <v>0</v>
      </c>
    </row>
    <row r="1305" spans="1:15" ht="105">
      <c r="A1305" s="3" t="s">
        <v>10</v>
      </c>
      <c r="B1305" s="3" t="s">
        <v>11</v>
      </c>
      <c r="C1305" s="4">
        <v>2026</v>
      </c>
      <c r="D1305" s="5" t="s">
        <v>12</v>
      </c>
      <c r="E1305" s="4">
        <v>182</v>
      </c>
      <c r="F1305" s="4" t="s">
        <v>458</v>
      </c>
      <c r="G1305" s="4" t="s">
        <v>459</v>
      </c>
      <c r="H1305" s="4" t="s">
        <v>21</v>
      </c>
      <c r="I1305" s="4" t="s">
        <v>1171</v>
      </c>
      <c r="J1305" s="4" t="s">
        <v>1172</v>
      </c>
      <c r="K1305" s="4" t="s">
        <v>230</v>
      </c>
      <c r="L1305" s="4" t="s">
        <v>3743</v>
      </c>
      <c r="M1305" s="4" t="s">
        <v>3746</v>
      </c>
      <c r="N1305" s="4" t="s">
        <v>3754</v>
      </c>
      <c r="O1305" s="17">
        <f>INDEX('список ID из СУЭ с должностями'!$A:$F,MATCH(E1305,'список ID из СУЭ с должностями'!$B:$B,0),5)</f>
        <v>0</v>
      </c>
    </row>
    <row r="1306" spans="1:15" ht="90">
      <c r="A1306" s="3" t="s">
        <v>10</v>
      </c>
      <c r="B1306" s="3" t="s">
        <v>11</v>
      </c>
      <c r="C1306" s="4">
        <v>2026</v>
      </c>
      <c r="D1306" s="5" t="s">
        <v>12</v>
      </c>
      <c r="E1306" s="4">
        <v>183</v>
      </c>
      <c r="F1306" s="4" t="s">
        <v>44</v>
      </c>
      <c r="G1306" s="4" t="s">
        <v>436</v>
      </c>
      <c r="H1306" s="4" t="s">
        <v>15</v>
      </c>
      <c r="I1306" s="4" t="s">
        <v>1710</v>
      </c>
      <c r="J1306" s="4" t="s">
        <v>1711</v>
      </c>
      <c r="K1306" s="4" t="s">
        <v>30</v>
      </c>
      <c r="L1306" s="4" t="s">
        <v>3743</v>
      </c>
      <c r="M1306" s="4" t="s">
        <v>3746</v>
      </c>
      <c r="N1306" s="4" t="s">
        <v>3747</v>
      </c>
      <c r="O1306" s="17">
        <f>INDEX('список ID из СУЭ с должностями'!$A:$F,MATCH(E1306,'список ID из СУЭ с должностями'!$B:$B,0),5)</f>
        <v>0</v>
      </c>
    </row>
    <row r="1307" spans="1:15" ht="285">
      <c r="A1307" s="3" t="s">
        <v>10</v>
      </c>
      <c r="B1307" s="3" t="s">
        <v>11</v>
      </c>
      <c r="C1307" s="4">
        <v>2026</v>
      </c>
      <c r="D1307" s="5" t="s">
        <v>12</v>
      </c>
      <c r="E1307" s="4">
        <v>183</v>
      </c>
      <c r="F1307" s="4" t="s">
        <v>44</v>
      </c>
      <c r="G1307" s="4" t="s">
        <v>436</v>
      </c>
      <c r="H1307" s="4" t="s">
        <v>15</v>
      </c>
      <c r="I1307" s="4" t="s">
        <v>469</v>
      </c>
      <c r="J1307" s="4" t="s">
        <v>1712</v>
      </c>
      <c r="K1307" s="4" t="s">
        <v>30</v>
      </c>
      <c r="L1307" s="4" t="s">
        <v>3743</v>
      </c>
      <c r="M1307" s="4" t="s">
        <v>3746</v>
      </c>
      <c r="N1307" s="4" t="s">
        <v>3747</v>
      </c>
      <c r="O1307" s="17">
        <f>INDEX('список ID из СУЭ с должностями'!$A:$F,MATCH(E1307,'список ID из СУЭ с должностями'!$B:$B,0),5)</f>
        <v>0</v>
      </c>
    </row>
    <row r="1308" spans="1:15" ht="75">
      <c r="A1308" s="3" t="s">
        <v>10</v>
      </c>
      <c r="B1308" s="3" t="s">
        <v>11</v>
      </c>
      <c r="C1308" s="4">
        <v>2026</v>
      </c>
      <c r="D1308" s="5" t="s">
        <v>12</v>
      </c>
      <c r="E1308" s="4">
        <v>183</v>
      </c>
      <c r="F1308" s="4" t="s">
        <v>44</v>
      </c>
      <c r="G1308" s="4" t="s">
        <v>436</v>
      </c>
      <c r="H1308" s="4" t="s">
        <v>15</v>
      </c>
      <c r="I1308" s="4" t="s">
        <v>437</v>
      </c>
      <c r="J1308" s="4" t="s">
        <v>930</v>
      </c>
      <c r="K1308" s="4" t="s">
        <v>55</v>
      </c>
      <c r="L1308" s="4" t="s">
        <v>3743</v>
      </c>
      <c r="M1308" s="4" t="s">
        <v>3746</v>
      </c>
      <c r="N1308" s="4" t="s">
        <v>3747</v>
      </c>
      <c r="O1308" s="17">
        <f>INDEX('список ID из СУЭ с должностями'!$A:$F,MATCH(E1308,'список ID из СУЭ с должностями'!$B:$B,0),5)</f>
        <v>0</v>
      </c>
    </row>
    <row r="1309" spans="1:15" ht="75">
      <c r="A1309" s="3" t="s">
        <v>10</v>
      </c>
      <c r="B1309" s="3" t="s">
        <v>11</v>
      </c>
      <c r="C1309" s="4">
        <v>2026</v>
      </c>
      <c r="D1309" s="5" t="s">
        <v>12</v>
      </c>
      <c r="E1309" s="4">
        <v>183</v>
      </c>
      <c r="F1309" s="4" t="s">
        <v>44</v>
      </c>
      <c r="G1309" s="4" t="s">
        <v>436</v>
      </c>
      <c r="H1309" s="4" t="s">
        <v>15</v>
      </c>
      <c r="I1309" s="4" t="s">
        <v>1713</v>
      </c>
      <c r="J1309" s="4" t="s">
        <v>1714</v>
      </c>
      <c r="K1309" s="4" t="s">
        <v>66</v>
      </c>
      <c r="L1309" s="4" t="s">
        <v>3743</v>
      </c>
      <c r="M1309" s="4" t="s">
        <v>3746</v>
      </c>
      <c r="N1309" s="4" t="s">
        <v>3747</v>
      </c>
      <c r="O1309" s="17">
        <f>INDEX('список ID из СУЭ с должностями'!$A:$F,MATCH(E1309,'список ID из СУЭ с должностями'!$B:$B,0),5)</f>
        <v>0</v>
      </c>
    </row>
    <row r="1310" spans="1:15" ht="300">
      <c r="A1310" s="3" t="s">
        <v>10</v>
      </c>
      <c r="B1310" s="3" t="s">
        <v>11</v>
      </c>
      <c r="C1310" s="4">
        <v>2026</v>
      </c>
      <c r="D1310" s="5" t="s">
        <v>12</v>
      </c>
      <c r="E1310" s="4">
        <v>183</v>
      </c>
      <c r="F1310" s="4" t="s">
        <v>44</v>
      </c>
      <c r="G1310" s="4" t="s">
        <v>436</v>
      </c>
      <c r="H1310" s="4" t="s">
        <v>15</v>
      </c>
      <c r="I1310" s="4" t="s">
        <v>462</v>
      </c>
      <c r="J1310" s="4" t="s">
        <v>1715</v>
      </c>
      <c r="K1310" s="4" t="s">
        <v>35</v>
      </c>
      <c r="L1310" s="4" t="s">
        <v>3743</v>
      </c>
      <c r="M1310" s="4" t="s">
        <v>3746</v>
      </c>
      <c r="N1310" s="4" t="s">
        <v>3747</v>
      </c>
      <c r="O1310" s="17">
        <f>INDEX('список ID из СУЭ с должностями'!$A:$F,MATCH(E1310,'список ID из СУЭ с должностями'!$B:$B,0),5)</f>
        <v>0</v>
      </c>
    </row>
    <row r="1311" spans="1:15" ht="240">
      <c r="A1311" s="3" t="s">
        <v>10</v>
      </c>
      <c r="B1311" s="3" t="s">
        <v>11</v>
      </c>
      <c r="C1311" s="4">
        <v>2026</v>
      </c>
      <c r="D1311" s="5" t="s">
        <v>12</v>
      </c>
      <c r="E1311" s="4">
        <v>183</v>
      </c>
      <c r="F1311" s="4" t="s">
        <v>44</v>
      </c>
      <c r="G1311" s="4" t="s">
        <v>436</v>
      </c>
      <c r="H1311" s="4" t="s">
        <v>15</v>
      </c>
      <c r="I1311" s="4" t="s">
        <v>907</v>
      </c>
      <c r="J1311" s="4" t="s">
        <v>1716</v>
      </c>
      <c r="K1311" s="4" t="s">
        <v>30</v>
      </c>
      <c r="L1311" s="4" t="s">
        <v>3743</v>
      </c>
      <c r="M1311" s="4" t="s">
        <v>3746</v>
      </c>
      <c r="N1311" s="4" t="s">
        <v>3747</v>
      </c>
      <c r="O1311" s="17">
        <f>INDEX('список ID из СУЭ с должностями'!$A:$F,MATCH(E1311,'список ID из СУЭ с должностями'!$B:$B,0),5)</f>
        <v>0</v>
      </c>
    </row>
    <row r="1312" spans="1:15" ht="75">
      <c r="A1312" s="3" t="s">
        <v>10</v>
      </c>
      <c r="B1312" s="3" t="s">
        <v>11</v>
      </c>
      <c r="C1312" s="4">
        <v>2026</v>
      </c>
      <c r="D1312" s="5" t="s">
        <v>12</v>
      </c>
      <c r="E1312" s="4">
        <v>183</v>
      </c>
      <c r="F1312" s="4" t="s">
        <v>44</v>
      </c>
      <c r="G1312" s="4" t="s">
        <v>436</v>
      </c>
      <c r="H1312" s="4" t="s">
        <v>15</v>
      </c>
      <c r="I1312" s="4" t="s">
        <v>466</v>
      </c>
      <c r="J1312" s="4" t="s">
        <v>79</v>
      </c>
      <c r="K1312" s="4" t="s">
        <v>30</v>
      </c>
      <c r="L1312" s="4" t="s">
        <v>3742</v>
      </c>
      <c r="M1312" s="4" t="s">
        <v>3746</v>
      </c>
      <c r="N1312" s="4" t="s">
        <v>3747</v>
      </c>
      <c r="O1312" s="17">
        <f>INDEX('список ID из СУЭ с должностями'!$A:$F,MATCH(E1312,'список ID из СУЭ с должностями'!$B:$B,0),5)</f>
        <v>0</v>
      </c>
    </row>
    <row r="1313" spans="1:15" ht="75">
      <c r="A1313" s="3" t="s">
        <v>10</v>
      </c>
      <c r="B1313" s="3" t="s">
        <v>11</v>
      </c>
      <c r="C1313" s="4">
        <v>2026</v>
      </c>
      <c r="D1313" s="5" t="s">
        <v>12</v>
      </c>
      <c r="E1313" s="4">
        <v>183</v>
      </c>
      <c r="F1313" s="4" t="s">
        <v>44</v>
      </c>
      <c r="G1313" s="4" t="s">
        <v>436</v>
      </c>
      <c r="H1313" s="4" t="s">
        <v>15</v>
      </c>
      <c r="I1313" s="4" t="s">
        <v>468</v>
      </c>
      <c r="J1313" s="4" t="s">
        <v>79</v>
      </c>
      <c r="K1313" s="4" t="s">
        <v>30</v>
      </c>
      <c r="L1313" s="4" t="s">
        <v>3742</v>
      </c>
      <c r="M1313" s="4" t="s">
        <v>3746</v>
      </c>
      <c r="N1313" s="4" t="s">
        <v>3747</v>
      </c>
      <c r="O1313" s="17">
        <f>INDEX('список ID из СУЭ с должностями'!$A:$F,MATCH(E1313,'список ID из СУЭ с должностями'!$B:$B,0),5)</f>
        <v>0</v>
      </c>
    </row>
    <row r="1314" spans="1:15" ht="409.5">
      <c r="A1314" s="3" t="s">
        <v>10</v>
      </c>
      <c r="B1314" s="3" t="s">
        <v>11</v>
      </c>
      <c r="C1314" s="4">
        <v>2026</v>
      </c>
      <c r="D1314" s="5" t="s">
        <v>12</v>
      </c>
      <c r="E1314" s="4">
        <v>183</v>
      </c>
      <c r="F1314" s="4" t="s">
        <v>44</v>
      </c>
      <c r="G1314" s="4" t="s">
        <v>436</v>
      </c>
      <c r="H1314" s="4" t="s">
        <v>15</v>
      </c>
      <c r="I1314" s="4" t="s">
        <v>1168</v>
      </c>
      <c r="J1314" s="4" t="s">
        <v>1717</v>
      </c>
      <c r="K1314" s="4" t="s">
        <v>25</v>
      </c>
      <c r="L1314" s="4" t="s">
        <v>3743</v>
      </c>
      <c r="M1314" s="4" t="s">
        <v>3746</v>
      </c>
      <c r="N1314" s="4" t="s">
        <v>3747</v>
      </c>
      <c r="O1314" s="17">
        <f>INDEX('список ID из СУЭ с должностями'!$A:$F,MATCH(E1314,'список ID из СУЭ с должностями'!$B:$B,0),5)</f>
        <v>0</v>
      </c>
    </row>
    <row r="1315" spans="1:15" ht="409.5">
      <c r="A1315" s="3" t="s">
        <v>10</v>
      </c>
      <c r="B1315" s="3" t="s">
        <v>11</v>
      </c>
      <c r="C1315" s="4">
        <v>2026</v>
      </c>
      <c r="D1315" s="5" t="s">
        <v>12</v>
      </c>
      <c r="E1315" s="4">
        <v>183</v>
      </c>
      <c r="F1315" s="4" t="s">
        <v>44</v>
      </c>
      <c r="G1315" s="4" t="s">
        <v>436</v>
      </c>
      <c r="H1315" s="4" t="s">
        <v>15</v>
      </c>
      <c r="I1315" s="4" t="s">
        <v>460</v>
      </c>
      <c r="J1315" s="4" t="s">
        <v>1718</v>
      </c>
      <c r="K1315" s="4" t="s">
        <v>38</v>
      </c>
      <c r="L1315" s="4" t="s">
        <v>3743</v>
      </c>
      <c r="M1315" s="4" t="s">
        <v>3746</v>
      </c>
      <c r="N1315" s="4" t="s">
        <v>3747</v>
      </c>
      <c r="O1315" s="17">
        <f>INDEX('список ID из СУЭ с должностями'!$A:$F,MATCH(E1315,'список ID из СУЭ с должностями'!$B:$B,0),5)</f>
        <v>0</v>
      </c>
    </row>
    <row r="1316" spans="1:15" ht="60">
      <c r="A1316" s="3" t="s">
        <v>10</v>
      </c>
      <c r="B1316" s="3" t="s">
        <v>11</v>
      </c>
      <c r="C1316" s="4">
        <v>2026</v>
      </c>
      <c r="D1316" s="5" t="s">
        <v>12</v>
      </c>
      <c r="E1316" s="4">
        <v>184</v>
      </c>
      <c r="F1316" s="4" t="s">
        <v>280</v>
      </c>
      <c r="G1316" s="4" t="s">
        <v>951</v>
      </c>
      <c r="H1316" s="4" t="s">
        <v>21</v>
      </c>
      <c r="I1316" s="4" t="s">
        <v>958</v>
      </c>
      <c r="J1316" s="4" t="s">
        <v>972</v>
      </c>
      <c r="K1316" s="4" t="s">
        <v>25</v>
      </c>
      <c r="L1316" s="4" t="s">
        <v>3743</v>
      </c>
      <c r="M1316" s="4" t="s">
        <v>3746</v>
      </c>
      <c r="N1316" s="4" t="s">
        <v>3747</v>
      </c>
      <c r="O1316" s="17">
        <f>INDEX('список ID из СУЭ с должностями'!$A:$F,MATCH(E1316,'список ID из СУЭ с должностями'!$B:$B,0),5)</f>
        <v>0</v>
      </c>
    </row>
    <row r="1317" spans="1:15" ht="180">
      <c r="A1317" s="3" t="s">
        <v>10</v>
      </c>
      <c r="B1317" s="3" t="s">
        <v>11</v>
      </c>
      <c r="C1317" s="4">
        <v>2026</v>
      </c>
      <c r="D1317" s="5" t="s">
        <v>12</v>
      </c>
      <c r="E1317" s="4">
        <v>184</v>
      </c>
      <c r="F1317" s="4" t="s">
        <v>280</v>
      </c>
      <c r="G1317" s="4" t="s">
        <v>951</v>
      </c>
      <c r="H1317" s="4" t="s">
        <v>15</v>
      </c>
      <c r="I1317" s="4" t="s">
        <v>960</v>
      </c>
      <c r="J1317" s="4" t="s">
        <v>961</v>
      </c>
      <c r="K1317" s="4" t="s">
        <v>188</v>
      </c>
      <c r="L1317" s="4" t="s">
        <v>3743</v>
      </c>
      <c r="M1317" s="4" t="s">
        <v>3746</v>
      </c>
      <c r="N1317" s="4" t="s">
        <v>3747</v>
      </c>
      <c r="O1317" s="17">
        <f>INDEX('список ID из СУЭ с должностями'!$A:$F,MATCH(E1317,'список ID из СУЭ с должностями'!$B:$B,0),5)</f>
        <v>0</v>
      </c>
    </row>
    <row r="1318" spans="1:15" ht="60">
      <c r="A1318" s="3" t="s">
        <v>10</v>
      </c>
      <c r="B1318" s="3" t="s">
        <v>11</v>
      </c>
      <c r="C1318" s="4">
        <v>2026</v>
      </c>
      <c r="D1318" s="5" t="s">
        <v>12</v>
      </c>
      <c r="E1318" s="4">
        <v>184</v>
      </c>
      <c r="F1318" s="4" t="s">
        <v>280</v>
      </c>
      <c r="G1318" s="4" t="s">
        <v>951</v>
      </c>
      <c r="H1318" s="4" t="s">
        <v>15</v>
      </c>
      <c r="I1318" s="4" t="s">
        <v>401</v>
      </c>
      <c r="J1318" s="4" t="s">
        <v>402</v>
      </c>
      <c r="K1318" s="4" t="s">
        <v>66</v>
      </c>
      <c r="L1318" s="4" t="s">
        <v>3742</v>
      </c>
      <c r="M1318" s="4" t="s">
        <v>3746</v>
      </c>
      <c r="N1318" s="4" t="s">
        <v>3747</v>
      </c>
      <c r="O1318" s="17">
        <f>INDEX('список ID из СУЭ с должностями'!$A:$F,MATCH(E1318,'список ID из СУЭ с должностями'!$B:$B,0),5)</f>
        <v>0</v>
      </c>
    </row>
    <row r="1319" spans="1:15" ht="60">
      <c r="A1319" s="3" t="s">
        <v>10</v>
      </c>
      <c r="B1319" s="3" t="s">
        <v>11</v>
      </c>
      <c r="C1319" s="4">
        <v>2026</v>
      </c>
      <c r="D1319" s="5" t="s">
        <v>12</v>
      </c>
      <c r="E1319" s="4">
        <v>184</v>
      </c>
      <c r="F1319" s="4" t="s">
        <v>280</v>
      </c>
      <c r="G1319" s="4" t="s">
        <v>951</v>
      </c>
      <c r="H1319" s="4" t="s">
        <v>15</v>
      </c>
      <c r="I1319" s="4" t="s">
        <v>956</v>
      </c>
      <c r="J1319" s="4" t="s">
        <v>957</v>
      </c>
      <c r="K1319" s="4" t="s">
        <v>35</v>
      </c>
      <c r="L1319" s="4" t="s">
        <v>3742</v>
      </c>
      <c r="M1319" s="4" t="s">
        <v>3746</v>
      </c>
      <c r="N1319" s="4" t="s">
        <v>3747</v>
      </c>
      <c r="O1319" s="17">
        <f>INDEX('список ID из СУЭ с должностями'!$A:$F,MATCH(E1319,'список ID из СУЭ с должностями'!$B:$B,0),5)</f>
        <v>0</v>
      </c>
    </row>
    <row r="1320" spans="1:15" ht="60">
      <c r="A1320" s="3" t="s">
        <v>10</v>
      </c>
      <c r="B1320" s="3" t="s">
        <v>11</v>
      </c>
      <c r="C1320" s="4">
        <v>2026</v>
      </c>
      <c r="D1320" s="5" t="s">
        <v>12</v>
      </c>
      <c r="E1320" s="4">
        <v>184</v>
      </c>
      <c r="F1320" s="4" t="s">
        <v>280</v>
      </c>
      <c r="G1320" s="4" t="s">
        <v>951</v>
      </c>
      <c r="H1320" s="4" t="s">
        <v>15</v>
      </c>
      <c r="I1320" s="4" t="s">
        <v>203</v>
      </c>
      <c r="J1320" s="4" t="s">
        <v>512</v>
      </c>
      <c r="K1320" s="4" t="s">
        <v>35</v>
      </c>
      <c r="L1320" s="4" t="s">
        <v>3743</v>
      </c>
      <c r="M1320" s="4" t="s">
        <v>3746</v>
      </c>
      <c r="N1320" s="4" t="s">
        <v>3747</v>
      </c>
      <c r="O1320" s="17">
        <f>INDEX('список ID из СУЭ с должностями'!$A:$F,MATCH(E1320,'список ID из СУЭ с должностями'!$B:$B,0),5)</f>
        <v>0</v>
      </c>
    </row>
    <row r="1321" spans="1:15" ht="75">
      <c r="A1321" s="3" t="s">
        <v>10</v>
      </c>
      <c r="B1321" s="3" t="s">
        <v>11</v>
      </c>
      <c r="C1321" s="4">
        <v>2026</v>
      </c>
      <c r="D1321" s="5" t="s">
        <v>12</v>
      </c>
      <c r="E1321" s="4">
        <v>184</v>
      </c>
      <c r="F1321" s="4" t="s">
        <v>280</v>
      </c>
      <c r="G1321" s="4" t="s">
        <v>951</v>
      </c>
      <c r="H1321" s="4" t="s">
        <v>15</v>
      </c>
      <c r="I1321" s="4" t="s">
        <v>1719</v>
      </c>
      <c r="J1321" s="4" t="s">
        <v>711</v>
      </c>
      <c r="K1321" s="4" t="s">
        <v>20</v>
      </c>
      <c r="L1321" s="4" t="s">
        <v>3742</v>
      </c>
      <c r="M1321" s="4" t="s">
        <v>3746</v>
      </c>
      <c r="N1321" s="4" t="s">
        <v>3747</v>
      </c>
      <c r="O1321" s="17">
        <f>INDEX('список ID из СУЭ с должностями'!$A:$F,MATCH(E1321,'список ID из СУЭ с должностями'!$B:$B,0),5)</f>
        <v>0</v>
      </c>
    </row>
    <row r="1322" spans="1:15" ht="105">
      <c r="A1322" s="3" t="s">
        <v>10</v>
      </c>
      <c r="B1322" s="3" t="s">
        <v>11</v>
      </c>
      <c r="C1322" s="4">
        <v>2026</v>
      </c>
      <c r="D1322" s="5" t="s">
        <v>12</v>
      </c>
      <c r="E1322" s="4">
        <v>185</v>
      </c>
      <c r="F1322" s="4" t="s">
        <v>1525</v>
      </c>
      <c r="G1322" s="4" t="s">
        <v>1451</v>
      </c>
      <c r="H1322" s="4" t="s">
        <v>21</v>
      </c>
      <c r="I1322" s="4" t="s">
        <v>1720</v>
      </c>
      <c r="J1322" s="4" t="s">
        <v>1721</v>
      </c>
      <c r="K1322" s="4" t="s">
        <v>1452</v>
      </c>
      <c r="L1322" s="4" t="s">
        <v>3743</v>
      </c>
      <c r="M1322" s="4" t="s">
        <v>3746</v>
      </c>
      <c r="N1322" s="4" t="s">
        <v>3767</v>
      </c>
      <c r="O1322" s="17">
        <f>INDEX('список ID из СУЭ с должностями'!$A:$F,MATCH(E1322,'список ID из СУЭ с должностями'!$B:$B,0),5)</f>
        <v>0</v>
      </c>
    </row>
    <row r="1323" spans="1:15" ht="150">
      <c r="A1323" s="3" t="s">
        <v>10</v>
      </c>
      <c r="B1323" s="3" t="s">
        <v>11</v>
      </c>
      <c r="C1323" s="4">
        <v>2026</v>
      </c>
      <c r="D1323" s="5" t="s">
        <v>12</v>
      </c>
      <c r="E1323" s="4">
        <v>185</v>
      </c>
      <c r="F1323" s="4" t="s">
        <v>1525</v>
      </c>
      <c r="G1323" s="4" t="s">
        <v>1451</v>
      </c>
      <c r="H1323" s="4" t="s">
        <v>41</v>
      </c>
      <c r="I1323" s="4" t="s">
        <v>1460</v>
      </c>
      <c r="J1323" s="4" t="s">
        <v>1528</v>
      </c>
      <c r="K1323" s="4" t="s">
        <v>1462</v>
      </c>
      <c r="L1323" s="4" t="s">
        <v>3743</v>
      </c>
      <c r="M1323" s="4" t="s">
        <v>3746</v>
      </c>
      <c r="N1323" s="4" t="s">
        <v>3767</v>
      </c>
      <c r="O1323" s="17">
        <f>INDEX('список ID из СУЭ с должностями'!$A:$F,MATCH(E1323,'список ID из СУЭ с должностями'!$B:$B,0),5)</f>
        <v>0</v>
      </c>
    </row>
    <row r="1324" spans="1:15" ht="150">
      <c r="A1324" s="3" t="s">
        <v>10</v>
      </c>
      <c r="B1324" s="3" t="s">
        <v>11</v>
      </c>
      <c r="C1324" s="4">
        <v>2026</v>
      </c>
      <c r="D1324" s="5" t="s">
        <v>12</v>
      </c>
      <c r="E1324" s="4">
        <v>185</v>
      </c>
      <c r="F1324" s="4" t="s">
        <v>1525</v>
      </c>
      <c r="G1324" s="4" t="s">
        <v>1451</v>
      </c>
      <c r="H1324" s="4" t="s">
        <v>41</v>
      </c>
      <c r="I1324" s="4" t="s">
        <v>1722</v>
      </c>
      <c r="J1324" s="4" t="s">
        <v>1723</v>
      </c>
      <c r="K1324" s="4" t="s">
        <v>1462</v>
      </c>
      <c r="L1324" s="4" t="s">
        <v>3743</v>
      </c>
      <c r="M1324" s="4" t="s">
        <v>3746</v>
      </c>
      <c r="N1324" s="4" t="s">
        <v>3767</v>
      </c>
      <c r="O1324" s="17">
        <f>INDEX('список ID из СУЭ с должностями'!$A:$F,MATCH(E1324,'список ID из СУЭ с должностями'!$B:$B,0),5)</f>
        <v>0</v>
      </c>
    </row>
    <row r="1325" spans="1:15" ht="60">
      <c r="A1325" s="3" t="s">
        <v>10</v>
      </c>
      <c r="B1325" s="3" t="s">
        <v>11</v>
      </c>
      <c r="C1325" s="4">
        <v>2026</v>
      </c>
      <c r="D1325" s="5" t="s">
        <v>12</v>
      </c>
      <c r="E1325" s="4">
        <v>185</v>
      </c>
      <c r="F1325" s="4" t="s">
        <v>1525</v>
      </c>
      <c r="G1325" s="4" t="s">
        <v>1451</v>
      </c>
      <c r="H1325" s="4" t="s">
        <v>15</v>
      </c>
      <c r="I1325" s="4" t="s">
        <v>855</v>
      </c>
      <c r="J1325" s="4" t="s">
        <v>1724</v>
      </c>
      <c r="K1325" s="4" t="s">
        <v>38</v>
      </c>
      <c r="L1325" s="4" t="s">
        <v>3743</v>
      </c>
      <c r="M1325" s="4" t="s">
        <v>3746</v>
      </c>
      <c r="N1325" s="4" t="s">
        <v>3747</v>
      </c>
      <c r="O1325" s="17">
        <f>INDEX('список ID из СУЭ с должностями'!$A:$F,MATCH(E1325,'список ID из СУЭ с должностями'!$B:$B,0),5)</f>
        <v>0</v>
      </c>
    </row>
    <row r="1326" spans="1:15" ht="135">
      <c r="A1326" s="3" t="s">
        <v>10</v>
      </c>
      <c r="B1326" s="3" t="s">
        <v>11</v>
      </c>
      <c r="C1326" s="4">
        <v>2026</v>
      </c>
      <c r="D1326" s="5" t="s">
        <v>12</v>
      </c>
      <c r="E1326" s="4">
        <v>185</v>
      </c>
      <c r="F1326" s="4" t="s">
        <v>1525</v>
      </c>
      <c r="G1326" s="4" t="s">
        <v>1451</v>
      </c>
      <c r="H1326" s="4" t="s">
        <v>41</v>
      </c>
      <c r="I1326" s="4" t="s">
        <v>1725</v>
      </c>
      <c r="J1326" s="4" t="s">
        <v>1726</v>
      </c>
      <c r="K1326" s="4" t="s">
        <v>23</v>
      </c>
      <c r="L1326" s="4" t="s">
        <v>3743</v>
      </c>
      <c r="M1326" s="4" t="s">
        <v>3748</v>
      </c>
      <c r="N1326" s="4" t="s">
        <v>3752</v>
      </c>
      <c r="O1326" s="17">
        <f>INDEX('список ID из СУЭ с должностями'!$A:$F,MATCH(E1326,'список ID из СУЭ с должностями'!$B:$B,0),5)</f>
        <v>0</v>
      </c>
    </row>
    <row r="1327" spans="1:15" ht="60">
      <c r="A1327" s="3" t="s">
        <v>10</v>
      </c>
      <c r="B1327" s="3" t="s">
        <v>11</v>
      </c>
      <c r="C1327" s="4">
        <v>2026</v>
      </c>
      <c r="D1327" s="5" t="s">
        <v>12</v>
      </c>
      <c r="E1327" s="4">
        <v>185</v>
      </c>
      <c r="F1327" s="4" t="s">
        <v>1525</v>
      </c>
      <c r="G1327" s="4" t="s">
        <v>1451</v>
      </c>
      <c r="H1327" s="4" t="s">
        <v>15</v>
      </c>
      <c r="I1327" s="4" t="s">
        <v>1727</v>
      </c>
      <c r="J1327" s="4" t="s">
        <v>1728</v>
      </c>
      <c r="K1327" s="4" t="s">
        <v>1470</v>
      </c>
      <c r="L1327" s="4" t="s">
        <v>3743</v>
      </c>
      <c r="M1327" s="4" t="s">
        <v>3746</v>
      </c>
      <c r="N1327" s="4" t="s">
        <v>3767</v>
      </c>
      <c r="O1327" s="17">
        <f>INDEX('список ID из СУЭ с должностями'!$A:$F,MATCH(E1327,'список ID из СУЭ с должностями'!$B:$B,0),5)</f>
        <v>0</v>
      </c>
    </row>
    <row r="1328" spans="1:15" ht="60">
      <c r="A1328" s="3" t="s">
        <v>10</v>
      </c>
      <c r="B1328" s="3" t="s">
        <v>11</v>
      </c>
      <c r="C1328" s="4">
        <v>2026</v>
      </c>
      <c r="D1328" s="5" t="s">
        <v>12</v>
      </c>
      <c r="E1328" s="4">
        <v>185</v>
      </c>
      <c r="F1328" s="4" t="s">
        <v>1525</v>
      </c>
      <c r="G1328" s="4" t="s">
        <v>1451</v>
      </c>
      <c r="H1328" s="4" t="s">
        <v>15</v>
      </c>
      <c r="I1328" s="4" t="s">
        <v>1729</v>
      </c>
      <c r="J1328" s="4" t="s">
        <v>1730</v>
      </c>
      <c r="K1328" s="4" t="s">
        <v>1470</v>
      </c>
      <c r="L1328" s="4" t="s">
        <v>3743</v>
      </c>
      <c r="M1328" s="4" t="s">
        <v>3746</v>
      </c>
      <c r="N1328" s="4" t="s">
        <v>3767</v>
      </c>
      <c r="O1328" s="17">
        <f>INDEX('список ID из СУЭ с должностями'!$A:$F,MATCH(E1328,'список ID из СУЭ с должностями'!$B:$B,0),5)</f>
        <v>0</v>
      </c>
    </row>
    <row r="1329" spans="1:15" ht="255">
      <c r="A1329" s="3" t="s">
        <v>10</v>
      </c>
      <c r="B1329" s="3" t="s">
        <v>11</v>
      </c>
      <c r="C1329" s="4">
        <v>2026</v>
      </c>
      <c r="D1329" s="5" t="s">
        <v>12</v>
      </c>
      <c r="E1329" s="4">
        <v>185</v>
      </c>
      <c r="F1329" s="4" t="s">
        <v>1525</v>
      </c>
      <c r="G1329" s="4" t="s">
        <v>1451</v>
      </c>
      <c r="H1329" s="4" t="s">
        <v>41</v>
      </c>
      <c r="I1329" s="4" t="s">
        <v>1731</v>
      </c>
      <c r="J1329" s="4" t="s">
        <v>1732</v>
      </c>
      <c r="K1329" s="4" t="s">
        <v>1470</v>
      </c>
      <c r="L1329" s="4" t="s">
        <v>3743</v>
      </c>
      <c r="M1329" s="4" t="s">
        <v>3746</v>
      </c>
      <c r="N1329" s="4" t="s">
        <v>3767</v>
      </c>
      <c r="O1329" s="17">
        <f>INDEX('список ID из СУЭ с должностями'!$A:$F,MATCH(E1329,'список ID из СУЭ с должностями'!$B:$B,0),5)</f>
        <v>0</v>
      </c>
    </row>
    <row r="1330" spans="1:15" ht="75">
      <c r="A1330" s="3" t="s">
        <v>10</v>
      </c>
      <c r="B1330" s="3" t="s">
        <v>11</v>
      </c>
      <c r="C1330" s="4">
        <v>2026</v>
      </c>
      <c r="D1330" s="5" t="s">
        <v>12</v>
      </c>
      <c r="E1330" s="4">
        <v>185</v>
      </c>
      <c r="F1330" s="4" t="s">
        <v>1525</v>
      </c>
      <c r="G1330" s="4" t="s">
        <v>1451</v>
      </c>
      <c r="H1330" s="4" t="s">
        <v>21</v>
      </c>
      <c r="I1330" s="4" t="s">
        <v>1526</v>
      </c>
      <c r="J1330" s="4" t="s">
        <v>1733</v>
      </c>
      <c r="K1330" s="4" t="s">
        <v>1452</v>
      </c>
      <c r="L1330" s="4" t="s">
        <v>3743</v>
      </c>
      <c r="M1330" s="4" t="s">
        <v>3746</v>
      </c>
      <c r="N1330" s="4" t="s">
        <v>3767</v>
      </c>
      <c r="O1330" s="17">
        <f>INDEX('список ID из СУЭ с должностями'!$A:$F,MATCH(E1330,'список ID из СУЭ с должностями'!$B:$B,0),5)</f>
        <v>0</v>
      </c>
    </row>
    <row r="1331" spans="1:15" ht="60">
      <c r="A1331" s="3" t="s">
        <v>10</v>
      </c>
      <c r="B1331" s="3" t="s">
        <v>11</v>
      </c>
      <c r="C1331" s="4">
        <v>2026</v>
      </c>
      <c r="D1331" s="5" t="s">
        <v>12</v>
      </c>
      <c r="E1331" s="4">
        <v>186</v>
      </c>
      <c r="F1331" s="4" t="s">
        <v>912</v>
      </c>
      <c r="G1331" s="4" t="s">
        <v>913</v>
      </c>
      <c r="H1331" s="4" t="s">
        <v>21</v>
      </c>
      <c r="I1331" s="4" t="s">
        <v>26</v>
      </c>
      <c r="J1331" s="4" t="s">
        <v>1734</v>
      </c>
      <c r="K1331" s="4" t="s">
        <v>25</v>
      </c>
      <c r="L1331" s="4" t="s">
        <v>3743</v>
      </c>
      <c r="M1331" s="4" t="s">
        <v>3746</v>
      </c>
      <c r="N1331" s="4" t="s">
        <v>3747</v>
      </c>
      <c r="O1331" s="17">
        <f>INDEX('список ID из СУЭ с должностями'!$A:$F,MATCH(E1331,'список ID из СУЭ с должностями'!$B:$B,0),5)</f>
        <v>0</v>
      </c>
    </row>
    <row r="1332" spans="1:15" ht="60">
      <c r="A1332" s="3" t="s">
        <v>10</v>
      </c>
      <c r="B1332" s="3" t="s">
        <v>11</v>
      </c>
      <c r="C1332" s="4">
        <v>2026</v>
      </c>
      <c r="D1332" s="5" t="s">
        <v>12</v>
      </c>
      <c r="E1332" s="4">
        <v>186</v>
      </c>
      <c r="F1332" s="4" t="s">
        <v>912</v>
      </c>
      <c r="G1332" s="4" t="s">
        <v>913</v>
      </c>
      <c r="H1332" s="4" t="s">
        <v>21</v>
      </c>
      <c r="I1332" s="4" t="s">
        <v>26</v>
      </c>
      <c r="J1332" s="4" t="s">
        <v>1735</v>
      </c>
      <c r="K1332" s="4" t="s">
        <v>25</v>
      </c>
      <c r="L1332" s="4" t="s">
        <v>3743</v>
      </c>
      <c r="M1332" s="4" t="s">
        <v>3746</v>
      </c>
      <c r="N1332" s="4" t="s">
        <v>3747</v>
      </c>
      <c r="O1332" s="17">
        <f>INDEX('список ID из СУЭ с должностями'!$A:$F,MATCH(E1332,'список ID из СУЭ с должностями'!$B:$B,0),5)</f>
        <v>0</v>
      </c>
    </row>
    <row r="1333" spans="1:15" ht="60">
      <c r="A1333" s="3" t="s">
        <v>10</v>
      </c>
      <c r="B1333" s="3" t="s">
        <v>11</v>
      </c>
      <c r="C1333" s="4">
        <v>2026</v>
      </c>
      <c r="D1333" s="5" t="s">
        <v>12</v>
      </c>
      <c r="E1333" s="4">
        <v>186</v>
      </c>
      <c r="F1333" s="4" t="s">
        <v>912</v>
      </c>
      <c r="G1333" s="4" t="s">
        <v>913</v>
      </c>
      <c r="H1333" s="4" t="s">
        <v>21</v>
      </c>
      <c r="I1333" s="4" t="s">
        <v>26</v>
      </c>
      <c r="J1333" s="4" t="s">
        <v>1736</v>
      </c>
      <c r="K1333" s="4" t="s">
        <v>25</v>
      </c>
      <c r="L1333" s="4" t="s">
        <v>3743</v>
      </c>
      <c r="M1333" s="4" t="s">
        <v>3746</v>
      </c>
      <c r="N1333" s="4" t="s">
        <v>3747</v>
      </c>
      <c r="O1333" s="17">
        <f>INDEX('список ID из СУЭ с должностями'!$A:$F,MATCH(E1333,'список ID из СУЭ с должностями'!$B:$B,0),5)</f>
        <v>0</v>
      </c>
    </row>
    <row r="1334" spans="1:15" ht="60">
      <c r="A1334" s="3" t="s">
        <v>10</v>
      </c>
      <c r="B1334" s="3" t="s">
        <v>11</v>
      </c>
      <c r="C1334" s="4">
        <v>2026</v>
      </c>
      <c r="D1334" s="5" t="s">
        <v>12</v>
      </c>
      <c r="E1334" s="4">
        <v>186</v>
      </c>
      <c r="F1334" s="4" t="s">
        <v>912</v>
      </c>
      <c r="G1334" s="4" t="s">
        <v>913</v>
      </c>
      <c r="H1334" s="4" t="s">
        <v>21</v>
      </c>
      <c r="I1334" s="4" t="s">
        <v>26</v>
      </c>
      <c r="J1334" s="4" t="s">
        <v>1737</v>
      </c>
      <c r="K1334" s="4" t="s">
        <v>25</v>
      </c>
      <c r="L1334" s="4" t="s">
        <v>3743</v>
      </c>
      <c r="M1334" s="4" t="s">
        <v>3746</v>
      </c>
      <c r="N1334" s="4" t="s">
        <v>3747</v>
      </c>
      <c r="O1334" s="17">
        <f>INDEX('список ID из СУЭ с должностями'!$A:$F,MATCH(E1334,'список ID из СУЭ с должностями'!$B:$B,0),5)</f>
        <v>0</v>
      </c>
    </row>
    <row r="1335" spans="1:15" ht="75">
      <c r="A1335" s="3" t="s">
        <v>10</v>
      </c>
      <c r="B1335" s="3" t="s">
        <v>11</v>
      </c>
      <c r="C1335" s="4">
        <v>2026</v>
      </c>
      <c r="D1335" s="5" t="s">
        <v>12</v>
      </c>
      <c r="E1335" s="4">
        <v>186</v>
      </c>
      <c r="F1335" s="4" t="s">
        <v>912</v>
      </c>
      <c r="G1335" s="4" t="s">
        <v>913</v>
      </c>
      <c r="H1335" s="4" t="s">
        <v>21</v>
      </c>
      <c r="I1335" s="4" t="s">
        <v>26</v>
      </c>
      <c r="J1335" s="4" t="s">
        <v>1738</v>
      </c>
      <c r="K1335" s="4" t="s">
        <v>25</v>
      </c>
      <c r="L1335" s="4" t="s">
        <v>3743</v>
      </c>
      <c r="M1335" s="4" t="s">
        <v>3746</v>
      </c>
      <c r="N1335" s="4" t="s">
        <v>3747</v>
      </c>
      <c r="O1335" s="17">
        <f>INDEX('список ID из СУЭ с должностями'!$A:$F,MATCH(E1335,'список ID из СУЭ с должностями'!$B:$B,0),5)</f>
        <v>0</v>
      </c>
    </row>
    <row r="1336" spans="1:15" ht="60">
      <c r="A1336" s="3" t="s">
        <v>10</v>
      </c>
      <c r="B1336" s="3" t="s">
        <v>11</v>
      </c>
      <c r="C1336" s="4">
        <v>2026</v>
      </c>
      <c r="D1336" s="5" t="s">
        <v>12</v>
      </c>
      <c r="E1336" s="4">
        <v>186</v>
      </c>
      <c r="F1336" s="4" t="s">
        <v>912</v>
      </c>
      <c r="G1336" s="4" t="s">
        <v>913</v>
      </c>
      <c r="H1336" s="4" t="s">
        <v>21</v>
      </c>
      <c r="I1336" s="4" t="s">
        <v>26</v>
      </c>
      <c r="J1336" s="4" t="s">
        <v>1739</v>
      </c>
      <c r="K1336" s="4" t="s">
        <v>25</v>
      </c>
      <c r="L1336" s="4" t="s">
        <v>3743</v>
      </c>
      <c r="M1336" s="4" t="s">
        <v>3746</v>
      </c>
      <c r="N1336" s="4" t="s">
        <v>3747</v>
      </c>
      <c r="O1336" s="17">
        <f>INDEX('список ID из СУЭ с должностями'!$A:$F,MATCH(E1336,'список ID из СУЭ с должностями'!$B:$B,0),5)</f>
        <v>0</v>
      </c>
    </row>
    <row r="1337" spans="1:15" ht="60">
      <c r="A1337" s="3" t="s">
        <v>10</v>
      </c>
      <c r="B1337" s="3" t="s">
        <v>11</v>
      </c>
      <c r="C1337" s="4">
        <v>2026</v>
      </c>
      <c r="D1337" s="5" t="s">
        <v>12</v>
      </c>
      <c r="E1337" s="4">
        <v>186</v>
      </c>
      <c r="F1337" s="4" t="s">
        <v>912</v>
      </c>
      <c r="G1337" s="4" t="s">
        <v>913</v>
      </c>
      <c r="H1337" s="4" t="s">
        <v>21</v>
      </c>
      <c r="I1337" s="4" t="s">
        <v>26</v>
      </c>
      <c r="J1337" s="4" t="s">
        <v>1740</v>
      </c>
      <c r="K1337" s="4" t="s">
        <v>25</v>
      </c>
      <c r="L1337" s="4" t="s">
        <v>3743</v>
      </c>
      <c r="M1337" s="4" t="s">
        <v>3746</v>
      </c>
      <c r="N1337" s="4" t="s">
        <v>3747</v>
      </c>
      <c r="O1337" s="17">
        <f>INDEX('список ID из СУЭ с должностями'!$A:$F,MATCH(E1337,'список ID из СУЭ с должностями'!$B:$B,0),5)</f>
        <v>0</v>
      </c>
    </row>
    <row r="1338" spans="1:15" ht="75">
      <c r="A1338" s="3" t="s">
        <v>10</v>
      </c>
      <c r="B1338" s="3" t="s">
        <v>11</v>
      </c>
      <c r="C1338" s="4">
        <v>2026</v>
      </c>
      <c r="D1338" s="5" t="s">
        <v>12</v>
      </c>
      <c r="E1338" s="4">
        <v>186</v>
      </c>
      <c r="F1338" s="4" t="s">
        <v>912</v>
      </c>
      <c r="G1338" s="4" t="s">
        <v>913</v>
      </c>
      <c r="H1338" s="4" t="s">
        <v>21</v>
      </c>
      <c r="I1338" s="4" t="s">
        <v>1741</v>
      </c>
      <c r="J1338" s="4" t="s">
        <v>1742</v>
      </c>
      <c r="K1338" s="4" t="s">
        <v>25</v>
      </c>
      <c r="L1338" s="4" t="s">
        <v>3743</v>
      </c>
      <c r="M1338" s="4" t="s">
        <v>3746</v>
      </c>
      <c r="N1338" s="4" t="s">
        <v>3747</v>
      </c>
      <c r="O1338" s="17">
        <f>INDEX('список ID из СУЭ с должностями'!$A:$F,MATCH(E1338,'список ID из СУЭ с должностями'!$B:$B,0),5)</f>
        <v>0</v>
      </c>
    </row>
    <row r="1339" spans="1:15" ht="60">
      <c r="A1339" s="3" t="s">
        <v>10</v>
      </c>
      <c r="B1339" s="3" t="s">
        <v>11</v>
      </c>
      <c r="C1339" s="4">
        <v>2026</v>
      </c>
      <c r="D1339" s="5" t="s">
        <v>12</v>
      </c>
      <c r="E1339" s="4">
        <v>186</v>
      </c>
      <c r="F1339" s="4" t="s">
        <v>912</v>
      </c>
      <c r="G1339" s="4" t="s">
        <v>913</v>
      </c>
      <c r="H1339" s="4" t="s">
        <v>21</v>
      </c>
      <c r="I1339" s="4" t="s">
        <v>1743</v>
      </c>
      <c r="J1339" s="4" t="s">
        <v>1744</v>
      </c>
      <c r="K1339" s="4" t="s">
        <v>25</v>
      </c>
      <c r="L1339" s="4" t="s">
        <v>3743</v>
      </c>
      <c r="M1339" s="4" t="s">
        <v>3746</v>
      </c>
      <c r="N1339" s="4" t="s">
        <v>3747</v>
      </c>
      <c r="O1339" s="17">
        <f>INDEX('список ID из СУЭ с должностями'!$A:$F,MATCH(E1339,'список ID из СУЭ с должностями'!$B:$B,0),5)</f>
        <v>0</v>
      </c>
    </row>
    <row r="1340" spans="1:15" ht="60">
      <c r="A1340" s="3" t="s">
        <v>10</v>
      </c>
      <c r="B1340" s="3" t="s">
        <v>11</v>
      </c>
      <c r="C1340" s="4">
        <v>2026</v>
      </c>
      <c r="D1340" s="5" t="s">
        <v>12</v>
      </c>
      <c r="E1340" s="4">
        <v>186</v>
      </c>
      <c r="F1340" s="4" t="s">
        <v>912</v>
      </c>
      <c r="G1340" s="4" t="s">
        <v>913</v>
      </c>
      <c r="H1340" s="4" t="s">
        <v>21</v>
      </c>
      <c r="I1340" s="4" t="s">
        <v>1745</v>
      </c>
      <c r="J1340" s="4" t="s">
        <v>1746</v>
      </c>
      <c r="K1340" s="4" t="s">
        <v>25</v>
      </c>
      <c r="L1340" s="4" t="s">
        <v>3743</v>
      </c>
      <c r="M1340" s="4" t="s">
        <v>3746</v>
      </c>
      <c r="N1340" s="4" t="s">
        <v>3747</v>
      </c>
      <c r="O1340" s="17">
        <f>INDEX('список ID из СУЭ с должностями'!$A:$F,MATCH(E1340,'список ID из СУЭ с должностями'!$B:$B,0),5)</f>
        <v>0</v>
      </c>
    </row>
    <row r="1341" spans="1:15" ht="135">
      <c r="A1341" s="3" t="s">
        <v>10</v>
      </c>
      <c r="B1341" s="3" t="s">
        <v>11</v>
      </c>
      <c r="C1341" s="4">
        <v>2026</v>
      </c>
      <c r="D1341" s="5" t="s">
        <v>12</v>
      </c>
      <c r="E1341" s="4">
        <v>187</v>
      </c>
      <c r="F1341" s="4" t="s">
        <v>67</v>
      </c>
      <c r="G1341" s="4" t="s">
        <v>1144</v>
      </c>
      <c r="H1341" s="4" t="s">
        <v>1308</v>
      </c>
      <c r="I1341" s="4" t="s">
        <v>1747</v>
      </c>
      <c r="J1341" s="4" t="s">
        <v>1748</v>
      </c>
      <c r="K1341" s="4"/>
      <c r="L1341" s="4" t="s">
        <v>3743</v>
      </c>
      <c r="M1341" s="4"/>
      <c r="N1341" s="4"/>
      <c r="O1341" s="17">
        <f>INDEX('список ID из СУЭ с должностями'!$A:$F,MATCH(E1341,'список ID из СУЭ с должностями'!$B:$B,0),5)</f>
        <v>0</v>
      </c>
    </row>
    <row r="1342" spans="1:15" ht="135">
      <c r="A1342" s="3" t="s">
        <v>10</v>
      </c>
      <c r="B1342" s="3" t="s">
        <v>11</v>
      </c>
      <c r="C1342" s="4">
        <v>2026</v>
      </c>
      <c r="D1342" s="5" t="s">
        <v>12</v>
      </c>
      <c r="E1342" s="4">
        <v>187</v>
      </c>
      <c r="F1342" s="4" t="s">
        <v>67</v>
      </c>
      <c r="G1342" s="4" t="s">
        <v>1144</v>
      </c>
      <c r="H1342" s="4" t="s">
        <v>15</v>
      </c>
      <c r="I1342" s="4" t="s">
        <v>812</v>
      </c>
      <c r="J1342" s="4" t="s">
        <v>1749</v>
      </c>
      <c r="K1342" s="4" t="s">
        <v>52</v>
      </c>
      <c r="L1342" s="4" t="s">
        <v>3743</v>
      </c>
      <c r="M1342" s="4" t="s">
        <v>3746</v>
      </c>
      <c r="N1342" s="4" t="s">
        <v>3747</v>
      </c>
      <c r="O1342" s="17">
        <f>INDEX('список ID из СУЭ с должностями'!$A:$F,MATCH(E1342,'список ID из СУЭ с должностями'!$B:$B,0),5)</f>
        <v>0</v>
      </c>
    </row>
    <row r="1343" spans="1:15" ht="135">
      <c r="A1343" s="3" t="s">
        <v>10</v>
      </c>
      <c r="B1343" s="3" t="s">
        <v>11</v>
      </c>
      <c r="C1343" s="4">
        <v>2026</v>
      </c>
      <c r="D1343" s="5" t="s">
        <v>12</v>
      </c>
      <c r="E1343" s="4">
        <v>187</v>
      </c>
      <c r="F1343" s="4" t="s">
        <v>67</v>
      </c>
      <c r="G1343" s="4" t="s">
        <v>1144</v>
      </c>
      <c r="H1343" s="4" t="s">
        <v>15</v>
      </c>
      <c r="I1343" s="4" t="s">
        <v>806</v>
      </c>
      <c r="J1343" s="4" t="s">
        <v>1750</v>
      </c>
      <c r="K1343" s="4" t="s">
        <v>38</v>
      </c>
      <c r="L1343" s="4" t="s">
        <v>3743</v>
      </c>
      <c r="M1343" s="4" t="s">
        <v>3746</v>
      </c>
      <c r="N1343" s="4" t="s">
        <v>3747</v>
      </c>
      <c r="O1343" s="17">
        <f>INDEX('список ID из СУЭ с должностями'!$A:$F,MATCH(E1343,'список ID из СУЭ с должностями'!$B:$B,0),5)</f>
        <v>0</v>
      </c>
    </row>
    <row r="1344" spans="1:15" ht="135">
      <c r="A1344" s="3" t="s">
        <v>10</v>
      </c>
      <c r="B1344" s="3" t="s">
        <v>11</v>
      </c>
      <c r="C1344" s="4">
        <v>2026</v>
      </c>
      <c r="D1344" s="5" t="s">
        <v>12</v>
      </c>
      <c r="E1344" s="4">
        <v>187</v>
      </c>
      <c r="F1344" s="4" t="s">
        <v>67</v>
      </c>
      <c r="G1344" s="4" t="s">
        <v>1144</v>
      </c>
      <c r="H1344" s="4" t="s">
        <v>15</v>
      </c>
      <c r="I1344" s="4" t="s">
        <v>809</v>
      </c>
      <c r="J1344" s="4" t="s">
        <v>1751</v>
      </c>
      <c r="K1344" s="4" t="s">
        <v>52</v>
      </c>
      <c r="L1344" s="4" t="s">
        <v>3743</v>
      </c>
      <c r="M1344" s="4" t="s">
        <v>3746</v>
      </c>
      <c r="N1344" s="4" t="s">
        <v>3747</v>
      </c>
      <c r="O1344" s="17">
        <f>INDEX('список ID из СУЭ с должностями'!$A:$F,MATCH(E1344,'список ID из СУЭ с должностями'!$B:$B,0),5)</f>
        <v>0</v>
      </c>
    </row>
    <row r="1345" spans="1:15" ht="135">
      <c r="A1345" s="3" t="s">
        <v>10</v>
      </c>
      <c r="B1345" s="3" t="s">
        <v>11</v>
      </c>
      <c r="C1345" s="4">
        <v>2026</v>
      </c>
      <c r="D1345" s="5" t="s">
        <v>12</v>
      </c>
      <c r="E1345" s="4">
        <v>187</v>
      </c>
      <c r="F1345" s="4" t="s">
        <v>67</v>
      </c>
      <c r="G1345" s="4" t="s">
        <v>1144</v>
      </c>
      <c r="H1345" s="4" t="s">
        <v>15</v>
      </c>
      <c r="I1345" s="4" t="s">
        <v>857</v>
      </c>
      <c r="J1345" s="4" t="s">
        <v>1752</v>
      </c>
      <c r="K1345" s="4" t="s">
        <v>35</v>
      </c>
      <c r="L1345" s="4" t="s">
        <v>3743</v>
      </c>
      <c r="M1345" s="4" t="s">
        <v>3746</v>
      </c>
      <c r="N1345" s="4" t="s">
        <v>3747</v>
      </c>
      <c r="O1345" s="17">
        <f>INDEX('список ID из СУЭ с должностями'!$A:$F,MATCH(E1345,'список ID из СУЭ с должностями'!$B:$B,0),5)</f>
        <v>0</v>
      </c>
    </row>
    <row r="1346" spans="1:15" ht="135">
      <c r="A1346" s="3" t="s">
        <v>10</v>
      </c>
      <c r="B1346" s="3" t="s">
        <v>11</v>
      </c>
      <c r="C1346" s="4">
        <v>2026</v>
      </c>
      <c r="D1346" s="5" t="s">
        <v>12</v>
      </c>
      <c r="E1346" s="4">
        <v>187</v>
      </c>
      <c r="F1346" s="4" t="s">
        <v>67</v>
      </c>
      <c r="G1346" s="4" t="s">
        <v>1144</v>
      </c>
      <c r="H1346" s="4" t="s">
        <v>15</v>
      </c>
      <c r="I1346" s="4" t="s">
        <v>303</v>
      </c>
      <c r="J1346" s="4" t="s">
        <v>1753</v>
      </c>
      <c r="K1346" s="4" t="s">
        <v>52</v>
      </c>
      <c r="L1346" s="4" t="s">
        <v>3743</v>
      </c>
      <c r="M1346" s="4" t="s">
        <v>3746</v>
      </c>
      <c r="N1346" s="4" t="s">
        <v>3747</v>
      </c>
      <c r="O1346" s="17">
        <f>INDEX('список ID из СУЭ с должностями'!$A:$F,MATCH(E1346,'список ID из СУЭ с должностями'!$B:$B,0),5)</f>
        <v>0</v>
      </c>
    </row>
    <row r="1347" spans="1:15" ht="75">
      <c r="A1347" s="3" t="s">
        <v>10</v>
      </c>
      <c r="B1347" s="3" t="s">
        <v>11</v>
      </c>
      <c r="C1347" s="4">
        <v>2026</v>
      </c>
      <c r="D1347" s="5" t="s">
        <v>12</v>
      </c>
      <c r="E1347" s="4">
        <v>188</v>
      </c>
      <c r="F1347" s="4" t="s">
        <v>577</v>
      </c>
      <c r="G1347" s="4" t="s">
        <v>241</v>
      </c>
      <c r="H1347" s="4" t="s">
        <v>15</v>
      </c>
      <c r="I1347" s="4" t="s">
        <v>48</v>
      </c>
      <c r="J1347" s="4" t="s">
        <v>581</v>
      </c>
      <c r="K1347" s="4" t="s">
        <v>35</v>
      </c>
      <c r="L1347" s="4" t="s">
        <v>3742</v>
      </c>
      <c r="M1347" s="4" t="s">
        <v>3746</v>
      </c>
      <c r="N1347" s="4" t="s">
        <v>3747</v>
      </c>
      <c r="O1347" s="17" t="str">
        <f>INDEX('список ID из СУЭ с должностями'!$A:$F,MATCH(E1347,'список ID из СУЭ с должностями'!$B:$B,0),5)</f>
        <v>ИПРО</v>
      </c>
    </row>
    <row r="1348" spans="1:15" ht="135">
      <c r="A1348" s="3" t="s">
        <v>10</v>
      </c>
      <c r="B1348" s="3" t="s">
        <v>11</v>
      </c>
      <c r="C1348" s="4">
        <v>2026</v>
      </c>
      <c r="D1348" s="5" t="s">
        <v>12</v>
      </c>
      <c r="E1348" s="4">
        <v>188</v>
      </c>
      <c r="F1348" s="4" t="s">
        <v>577</v>
      </c>
      <c r="G1348" s="4" t="s">
        <v>241</v>
      </c>
      <c r="H1348" s="4" t="s">
        <v>15</v>
      </c>
      <c r="I1348" s="4" t="s">
        <v>582</v>
      </c>
      <c r="J1348" s="4" t="s">
        <v>583</v>
      </c>
      <c r="K1348" s="4" t="s">
        <v>151</v>
      </c>
      <c r="L1348" s="4" t="s">
        <v>3743</v>
      </c>
      <c r="M1348" s="4" t="s">
        <v>3746</v>
      </c>
      <c r="N1348" s="4" t="s">
        <v>3747</v>
      </c>
      <c r="O1348" s="17" t="str">
        <f>INDEX('список ID из СУЭ с должностями'!$A:$F,MATCH(E1348,'список ID из СУЭ с должностями'!$B:$B,0),5)</f>
        <v>ИПРО</v>
      </c>
    </row>
    <row r="1349" spans="1:15" ht="75">
      <c r="A1349" s="3" t="s">
        <v>10</v>
      </c>
      <c r="B1349" s="3" t="s">
        <v>11</v>
      </c>
      <c r="C1349" s="4">
        <v>2026</v>
      </c>
      <c r="D1349" s="5" t="s">
        <v>12</v>
      </c>
      <c r="E1349" s="4">
        <v>188</v>
      </c>
      <c r="F1349" s="4" t="s">
        <v>577</v>
      </c>
      <c r="G1349" s="4" t="s">
        <v>241</v>
      </c>
      <c r="H1349" s="4" t="s">
        <v>15</v>
      </c>
      <c r="I1349" s="4" t="s">
        <v>579</v>
      </c>
      <c r="J1349" s="4" t="s">
        <v>580</v>
      </c>
      <c r="K1349" s="4" t="s">
        <v>55</v>
      </c>
      <c r="L1349" s="4" t="s">
        <v>3743</v>
      </c>
      <c r="M1349" s="4" t="s">
        <v>3746</v>
      </c>
      <c r="N1349" s="4" t="s">
        <v>3747</v>
      </c>
      <c r="O1349" s="17" t="str">
        <f>INDEX('список ID из СУЭ с должностями'!$A:$F,MATCH(E1349,'список ID из СУЭ с должностями'!$B:$B,0),5)</f>
        <v>ИПРО</v>
      </c>
    </row>
    <row r="1350" spans="1:15" ht="75">
      <c r="A1350" s="3" t="s">
        <v>10</v>
      </c>
      <c r="B1350" s="3" t="s">
        <v>11</v>
      </c>
      <c r="C1350" s="4">
        <v>2026</v>
      </c>
      <c r="D1350" s="5" t="s">
        <v>12</v>
      </c>
      <c r="E1350" s="4">
        <v>188</v>
      </c>
      <c r="F1350" s="4" t="s">
        <v>577</v>
      </c>
      <c r="G1350" s="4" t="s">
        <v>241</v>
      </c>
      <c r="H1350" s="4" t="s">
        <v>15</v>
      </c>
      <c r="I1350" s="4" t="s">
        <v>588</v>
      </c>
      <c r="J1350" s="4" t="s">
        <v>589</v>
      </c>
      <c r="K1350" s="4" t="s">
        <v>20</v>
      </c>
      <c r="L1350" s="4" t="s">
        <v>3743</v>
      </c>
      <c r="M1350" s="4" t="s">
        <v>3746</v>
      </c>
      <c r="N1350" s="4" t="s">
        <v>3747</v>
      </c>
      <c r="O1350" s="17" t="str">
        <f>INDEX('список ID из СУЭ с должностями'!$A:$F,MATCH(E1350,'список ID из СУЭ с должностями'!$B:$B,0),5)</f>
        <v>ИПРО</v>
      </c>
    </row>
    <row r="1351" spans="1:15" ht="75">
      <c r="A1351" s="3" t="s">
        <v>10</v>
      </c>
      <c r="B1351" s="3" t="s">
        <v>11</v>
      </c>
      <c r="C1351" s="4">
        <v>2026</v>
      </c>
      <c r="D1351" s="5" t="s">
        <v>12</v>
      </c>
      <c r="E1351" s="4">
        <v>188</v>
      </c>
      <c r="F1351" s="4" t="s">
        <v>577</v>
      </c>
      <c r="G1351" s="4" t="s">
        <v>241</v>
      </c>
      <c r="H1351" s="4" t="s">
        <v>15</v>
      </c>
      <c r="I1351" s="4" t="s">
        <v>631</v>
      </c>
      <c r="J1351" s="4" t="s">
        <v>632</v>
      </c>
      <c r="K1351" s="4" t="s">
        <v>151</v>
      </c>
      <c r="L1351" s="4" t="s">
        <v>3743</v>
      </c>
      <c r="M1351" s="4" t="s">
        <v>3746</v>
      </c>
      <c r="N1351" s="4" t="s">
        <v>3747</v>
      </c>
      <c r="O1351" s="17" t="str">
        <f>INDEX('список ID из СУЭ с должностями'!$A:$F,MATCH(E1351,'список ID из СУЭ с должностями'!$B:$B,0),5)</f>
        <v>ИПРО</v>
      </c>
    </row>
    <row r="1352" spans="1:15" ht="75">
      <c r="A1352" s="3" t="s">
        <v>10</v>
      </c>
      <c r="B1352" s="3" t="s">
        <v>11</v>
      </c>
      <c r="C1352" s="4">
        <v>2026</v>
      </c>
      <c r="D1352" s="5" t="s">
        <v>12</v>
      </c>
      <c r="E1352" s="4">
        <v>188</v>
      </c>
      <c r="F1352" s="4" t="s">
        <v>577</v>
      </c>
      <c r="G1352" s="4" t="s">
        <v>241</v>
      </c>
      <c r="H1352" s="4" t="s">
        <v>15</v>
      </c>
      <c r="I1352" s="4" t="s">
        <v>584</v>
      </c>
      <c r="J1352" s="4" t="s">
        <v>633</v>
      </c>
      <c r="K1352" s="4" t="s">
        <v>151</v>
      </c>
      <c r="L1352" s="4" t="s">
        <v>3743</v>
      </c>
      <c r="M1352" s="4" t="s">
        <v>3746</v>
      </c>
      <c r="N1352" s="4" t="s">
        <v>3747</v>
      </c>
      <c r="O1352" s="17" t="str">
        <f>INDEX('список ID из СУЭ с должностями'!$A:$F,MATCH(E1352,'список ID из СУЭ с должностями'!$B:$B,0),5)</f>
        <v>ИПРО</v>
      </c>
    </row>
    <row r="1353" spans="1:15" ht="60">
      <c r="A1353" s="3" t="s">
        <v>10</v>
      </c>
      <c r="B1353" s="3" t="s">
        <v>11</v>
      </c>
      <c r="C1353" s="4">
        <v>2026</v>
      </c>
      <c r="D1353" s="5" t="s">
        <v>12</v>
      </c>
      <c r="E1353" s="4">
        <v>189</v>
      </c>
      <c r="F1353" s="4" t="s">
        <v>385</v>
      </c>
      <c r="G1353" s="4" t="s">
        <v>1754</v>
      </c>
      <c r="H1353" s="4" t="s">
        <v>21</v>
      </c>
      <c r="I1353" s="4" t="s">
        <v>220</v>
      </c>
      <c r="J1353" s="4" t="s">
        <v>1755</v>
      </c>
      <c r="K1353" s="4" t="s">
        <v>220</v>
      </c>
      <c r="L1353" s="4" t="s">
        <v>3743</v>
      </c>
      <c r="M1353" s="4" t="s">
        <v>3753</v>
      </c>
      <c r="N1353" s="4" t="s">
        <v>3747</v>
      </c>
      <c r="O1353" s="17">
        <f>INDEX('список ID из СУЭ с должностями'!$A:$F,MATCH(E1353,'список ID из СУЭ с должностями'!$B:$B,0),5)</f>
        <v>0</v>
      </c>
    </row>
    <row r="1354" spans="1:15" ht="45">
      <c r="A1354" s="3" t="s">
        <v>10</v>
      </c>
      <c r="B1354" s="3" t="s">
        <v>11</v>
      </c>
      <c r="C1354" s="4">
        <v>2026</v>
      </c>
      <c r="D1354" s="5" t="s">
        <v>12</v>
      </c>
      <c r="E1354" s="4">
        <v>189</v>
      </c>
      <c r="F1354" s="4" t="s">
        <v>385</v>
      </c>
      <c r="G1354" s="4" t="s">
        <v>1754</v>
      </c>
      <c r="H1354" s="4" t="s">
        <v>41</v>
      </c>
      <c r="I1354" s="4" t="s">
        <v>1757</v>
      </c>
      <c r="J1354" s="4" t="s">
        <v>1758</v>
      </c>
      <c r="K1354" s="4" t="s">
        <v>23</v>
      </c>
      <c r="L1354" s="4" t="s">
        <v>3743</v>
      </c>
      <c r="M1354" s="4" t="s">
        <v>3748</v>
      </c>
      <c r="N1354" s="4" t="s">
        <v>3749</v>
      </c>
      <c r="O1354" s="17">
        <f>INDEX('список ID из СУЭ с должностями'!$A:$F,MATCH(E1354,'список ID из СУЭ с должностями'!$B:$B,0),5)</f>
        <v>0</v>
      </c>
    </row>
    <row r="1355" spans="1:15" ht="90">
      <c r="A1355" s="3" t="s">
        <v>10</v>
      </c>
      <c r="B1355" s="3" t="s">
        <v>11</v>
      </c>
      <c r="C1355" s="4">
        <v>2026</v>
      </c>
      <c r="D1355" s="5" t="s">
        <v>12</v>
      </c>
      <c r="E1355" s="4">
        <v>189</v>
      </c>
      <c r="F1355" s="4" t="s">
        <v>385</v>
      </c>
      <c r="G1355" s="4" t="s">
        <v>1754</v>
      </c>
      <c r="H1355" s="4" t="s">
        <v>15</v>
      </c>
      <c r="I1355" s="4" t="s">
        <v>1759</v>
      </c>
      <c r="J1355" s="4" t="s">
        <v>1760</v>
      </c>
      <c r="K1355" s="4" t="s">
        <v>30</v>
      </c>
      <c r="L1355" s="4" t="s">
        <v>3743</v>
      </c>
      <c r="M1355" s="4" t="s">
        <v>3746</v>
      </c>
      <c r="N1355" s="4" t="s">
        <v>3747</v>
      </c>
      <c r="O1355" s="17">
        <f>INDEX('список ID из СУЭ с должностями'!$A:$F,MATCH(E1355,'список ID из СУЭ с должностями'!$B:$B,0),5)</f>
        <v>0</v>
      </c>
    </row>
    <row r="1356" spans="1:15" ht="165">
      <c r="A1356" s="3" t="s">
        <v>10</v>
      </c>
      <c r="B1356" s="3" t="s">
        <v>11</v>
      </c>
      <c r="C1356" s="4">
        <v>2026</v>
      </c>
      <c r="D1356" s="5" t="s">
        <v>12</v>
      </c>
      <c r="E1356" s="4">
        <v>189</v>
      </c>
      <c r="F1356" s="4" t="s">
        <v>385</v>
      </c>
      <c r="G1356" s="4" t="s">
        <v>1754</v>
      </c>
      <c r="H1356" s="4" t="s">
        <v>21</v>
      </c>
      <c r="I1356" s="4" t="s">
        <v>1761</v>
      </c>
      <c r="J1356" s="4" t="s">
        <v>1762</v>
      </c>
      <c r="K1356" s="4" t="s">
        <v>30</v>
      </c>
      <c r="L1356" s="4" t="s">
        <v>3743</v>
      </c>
      <c r="M1356" s="4" t="s">
        <v>3746</v>
      </c>
      <c r="N1356" s="4" t="s">
        <v>3747</v>
      </c>
      <c r="O1356" s="17">
        <f>INDEX('список ID из СУЭ с должностями'!$A:$F,MATCH(E1356,'список ID из СУЭ с должностями'!$B:$B,0),5)</f>
        <v>0</v>
      </c>
    </row>
    <row r="1357" spans="1:15" ht="45">
      <c r="A1357" s="3" t="s">
        <v>10</v>
      </c>
      <c r="B1357" s="3" t="s">
        <v>11</v>
      </c>
      <c r="C1357" s="4">
        <v>2026</v>
      </c>
      <c r="D1357" s="5" t="s">
        <v>12</v>
      </c>
      <c r="E1357" s="4">
        <v>190</v>
      </c>
      <c r="F1357" s="4" t="s">
        <v>67</v>
      </c>
      <c r="G1357" s="4" t="s">
        <v>506</v>
      </c>
      <c r="H1357" s="4" t="s">
        <v>15</v>
      </c>
      <c r="I1357" s="4" t="s">
        <v>48</v>
      </c>
      <c r="J1357" s="4" t="s">
        <v>187</v>
      </c>
      <c r="K1357" s="4" t="s">
        <v>35</v>
      </c>
      <c r="L1357" s="4" t="s">
        <v>3743</v>
      </c>
      <c r="M1357" s="4" t="s">
        <v>3746</v>
      </c>
      <c r="N1357" s="4" t="s">
        <v>3747</v>
      </c>
      <c r="O1357" s="17">
        <f>INDEX('список ID из СУЭ с должностями'!$A:$F,MATCH(E1357,'список ID из СУЭ с должностями'!$B:$B,0),5)</f>
        <v>0</v>
      </c>
    </row>
    <row r="1358" spans="1:15" ht="45">
      <c r="A1358" s="3" t="s">
        <v>10</v>
      </c>
      <c r="B1358" s="3" t="s">
        <v>11</v>
      </c>
      <c r="C1358" s="4">
        <v>2026</v>
      </c>
      <c r="D1358" s="5" t="s">
        <v>12</v>
      </c>
      <c r="E1358" s="4">
        <v>190</v>
      </c>
      <c r="F1358" s="4" t="s">
        <v>67</v>
      </c>
      <c r="G1358" s="4" t="s">
        <v>506</v>
      </c>
      <c r="H1358" s="4" t="s">
        <v>15</v>
      </c>
      <c r="I1358" s="4" t="s">
        <v>191</v>
      </c>
      <c r="J1358" s="4" t="s">
        <v>985</v>
      </c>
      <c r="K1358" s="4" t="s">
        <v>66</v>
      </c>
      <c r="L1358" s="4" t="s">
        <v>3743</v>
      </c>
      <c r="M1358" s="4" t="s">
        <v>3746</v>
      </c>
      <c r="N1358" s="4" t="s">
        <v>3747</v>
      </c>
      <c r="O1358" s="17">
        <f>INDEX('список ID из СУЭ с должностями'!$A:$F,MATCH(E1358,'список ID из СУЭ с должностями'!$B:$B,0),5)</f>
        <v>0</v>
      </c>
    </row>
    <row r="1359" spans="1:15" ht="105">
      <c r="A1359" s="3" t="s">
        <v>10</v>
      </c>
      <c r="B1359" s="3" t="s">
        <v>11</v>
      </c>
      <c r="C1359" s="4">
        <v>2026</v>
      </c>
      <c r="D1359" s="5" t="s">
        <v>12</v>
      </c>
      <c r="E1359" s="4">
        <v>190</v>
      </c>
      <c r="F1359" s="4" t="s">
        <v>67</v>
      </c>
      <c r="G1359" s="4" t="s">
        <v>506</v>
      </c>
      <c r="H1359" s="4" t="s">
        <v>15</v>
      </c>
      <c r="I1359" s="4" t="s">
        <v>1763</v>
      </c>
      <c r="J1359" s="4" t="s">
        <v>1764</v>
      </c>
      <c r="K1359" s="4" t="s">
        <v>25</v>
      </c>
      <c r="L1359" s="4" t="s">
        <v>3743</v>
      </c>
      <c r="M1359" s="4" t="s">
        <v>3746</v>
      </c>
      <c r="N1359" s="4" t="s">
        <v>3747</v>
      </c>
      <c r="O1359" s="17">
        <f>INDEX('список ID из СУЭ с должностями'!$A:$F,MATCH(E1359,'список ID из СУЭ с должностями'!$B:$B,0),5)</f>
        <v>0</v>
      </c>
    </row>
    <row r="1360" spans="1:15" ht="60">
      <c r="A1360" s="3" t="s">
        <v>10</v>
      </c>
      <c r="B1360" s="3" t="s">
        <v>11</v>
      </c>
      <c r="C1360" s="4">
        <v>2026</v>
      </c>
      <c r="D1360" s="5" t="s">
        <v>12</v>
      </c>
      <c r="E1360" s="4">
        <v>190</v>
      </c>
      <c r="F1360" s="4" t="s">
        <v>67</v>
      </c>
      <c r="G1360" s="4" t="s">
        <v>506</v>
      </c>
      <c r="H1360" s="4" t="s">
        <v>15</v>
      </c>
      <c r="I1360" s="4" t="s">
        <v>1765</v>
      </c>
      <c r="J1360" s="4" t="s">
        <v>1766</v>
      </c>
      <c r="K1360" s="4" t="s">
        <v>25</v>
      </c>
      <c r="L1360" s="4" t="s">
        <v>3743</v>
      </c>
      <c r="M1360" s="4" t="s">
        <v>3746</v>
      </c>
      <c r="N1360" s="4" t="s">
        <v>3747</v>
      </c>
      <c r="O1360" s="17">
        <f>INDEX('список ID из СУЭ с должностями'!$A:$F,MATCH(E1360,'список ID из СУЭ с должностями'!$B:$B,0),5)</f>
        <v>0</v>
      </c>
    </row>
    <row r="1361" spans="1:15" ht="60">
      <c r="A1361" s="3" t="s">
        <v>10</v>
      </c>
      <c r="B1361" s="3" t="s">
        <v>11</v>
      </c>
      <c r="C1361" s="4">
        <v>2026</v>
      </c>
      <c r="D1361" s="5" t="s">
        <v>12</v>
      </c>
      <c r="E1361" s="4">
        <v>191</v>
      </c>
      <c r="F1361" s="4" t="s">
        <v>67</v>
      </c>
      <c r="G1361" s="4" t="s">
        <v>913</v>
      </c>
      <c r="H1361" s="4" t="s">
        <v>15</v>
      </c>
      <c r="I1361" s="4" t="s">
        <v>31</v>
      </c>
      <c r="J1361" s="4" t="s">
        <v>32</v>
      </c>
      <c r="K1361" s="4" t="s">
        <v>30</v>
      </c>
      <c r="L1361" s="4" t="s">
        <v>3742</v>
      </c>
      <c r="M1361" s="4" t="s">
        <v>3746</v>
      </c>
      <c r="N1361" s="4" t="s">
        <v>3747</v>
      </c>
      <c r="O1361" s="17">
        <f>INDEX('список ID из СУЭ с должностями'!$A:$F,MATCH(E1361,'список ID из СУЭ с должностями'!$B:$B,0),5)</f>
        <v>0</v>
      </c>
    </row>
    <row r="1362" spans="1:15" ht="60">
      <c r="A1362" s="3" t="s">
        <v>10</v>
      </c>
      <c r="B1362" s="3" t="s">
        <v>11</v>
      </c>
      <c r="C1362" s="4">
        <v>2026</v>
      </c>
      <c r="D1362" s="5" t="s">
        <v>12</v>
      </c>
      <c r="E1362" s="4">
        <v>191</v>
      </c>
      <c r="F1362" s="4" t="s">
        <v>67</v>
      </c>
      <c r="G1362" s="4" t="s">
        <v>913</v>
      </c>
      <c r="H1362" s="4" t="s">
        <v>15</v>
      </c>
      <c r="I1362" s="4" t="s">
        <v>1767</v>
      </c>
      <c r="J1362" s="4" t="s">
        <v>132</v>
      </c>
      <c r="K1362" s="4" t="s">
        <v>25</v>
      </c>
      <c r="L1362" s="4" t="s">
        <v>3742</v>
      </c>
      <c r="M1362" s="4" t="s">
        <v>3746</v>
      </c>
      <c r="N1362" s="4" t="s">
        <v>3747</v>
      </c>
      <c r="O1362" s="17">
        <f>INDEX('список ID из СУЭ с должностями'!$A:$F,MATCH(E1362,'список ID из СУЭ с должностями'!$B:$B,0),5)</f>
        <v>0</v>
      </c>
    </row>
    <row r="1363" spans="1:15" ht="60">
      <c r="A1363" s="3" t="s">
        <v>10</v>
      </c>
      <c r="B1363" s="3" t="s">
        <v>11</v>
      </c>
      <c r="C1363" s="4">
        <v>2026</v>
      </c>
      <c r="D1363" s="5" t="s">
        <v>12</v>
      </c>
      <c r="E1363" s="4">
        <v>191</v>
      </c>
      <c r="F1363" s="4" t="s">
        <v>67</v>
      </c>
      <c r="G1363" s="4" t="s">
        <v>913</v>
      </c>
      <c r="H1363" s="4" t="s">
        <v>21</v>
      </c>
      <c r="I1363" s="4" t="s">
        <v>1768</v>
      </c>
      <c r="J1363" s="4" t="s">
        <v>1769</v>
      </c>
      <c r="K1363" s="4" t="s">
        <v>25</v>
      </c>
      <c r="L1363" s="4" t="s">
        <v>3742</v>
      </c>
      <c r="M1363" s="4" t="s">
        <v>3746</v>
      </c>
      <c r="N1363" s="4" t="s">
        <v>3747</v>
      </c>
      <c r="O1363" s="17">
        <f>INDEX('список ID из СУЭ с должностями'!$A:$F,MATCH(E1363,'список ID из СУЭ с должностями'!$B:$B,0),5)</f>
        <v>0</v>
      </c>
    </row>
    <row r="1364" spans="1:15" ht="60">
      <c r="A1364" s="3" t="s">
        <v>10</v>
      </c>
      <c r="B1364" s="3" t="s">
        <v>11</v>
      </c>
      <c r="C1364" s="4">
        <v>2026</v>
      </c>
      <c r="D1364" s="5" t="s">
        <v>12</v>
      </c>
      <c r="E1364" s="4">
        <v>191</v>
      </c>
      <c r="F1364" s="4" t="s">
        <v>67</v>
      </c>
      <c r="G1364" s="4" t="s">
        <v>913</v>
      </c>
      <c r="H1364" s="4" t="s">
        <v>21</v>
      </c>
      <c r="I1364" s="4" t="s">
        <v>1770</v>
      </c>
      <c r="J1364" s="4" t="s">
        <v>1771</v>
      </c>
      <c r="K1364" s="4" t="s">
        <v>25</v>
      </c>
      <c r="L1364" s="4" t="s">
        <v>3743</v>
      </c>
      <c r="M1364" s="4" t="s">
        <v>3746</v>
      </c>
      <c r="N1364" s="4" t="s">
        <v>3747</v>
      </c>
      <c r="O1364" s="17">
        <f>INDEX('список ID из СУЭ с должностями'!$A:$F,MATCH(E1364,'список ID из СУЭ с должностями'!$B:$B,0),5)</f>
        <v>0</v>
      </c>
    </row>
    <row r="1365" spans="1:15" ht="60">
      <c r="A1365" s="3" t="s">
        <v>10</v>
      </c>
      <c r="B1365" s="3" t="s">
        <v>11</v>
      </c>
      <c r="C1365" s="4">
        <v>2026</v>
      </c>
      <c r="D1365" s="5" t="s">
        <v>12</v>
      </c>
      <c r="E1365" s="4">
        <v>191</v>
      </c>
      <c r="F1365" s="4" t="s">
        <v>67</v>
      </c>
      <c r="G1365" s="4" t="s">
        <v>913</v>
      </c>
      <c r="H1365" s="4" t="s">
        <v>15</v>
      </c>
      <c r="I1365" s="4" t="s">
        <v>1772</v>
      </c>
      <c r="J1365" s="4" t="s">
        <v>1773</v>
      </c>
      <c r="K1365" s="4" t="s">
        <v>25</v>
      </c>
      <c r="L1365" s="4" t="s">
        <v>3742</v>
      </c>
      <c r="M1365" s="4" t="s">
        <v>3746</v>
      </c>
      <c r="N1365" s="4" t="s">
        <v>3747</v>
      </c>
      <c r="O1365" s="17">
        <f>INDEX('список ID из СУЭ с должностями'!$A:$F,MATCH(E1365,'список ID из СУЭ с должностями'!$B:$B,0),5)</f>
        <v>0</v>
      </c>
    </row>
    <row r="1366" spans="1:15" ht="60">
      <c r="A1366" s="3" t="s">
        <v>10</v>
      </c>
      <c r="B1366" s="3" t="s">
        <v>11</v>
      </c>
      <c r="C1366" s="4">
        <v>2026</v>
      </c>
      <c r="D1366" s="5" t="s">
        <v>12</v>
      </c>
      <c r="E1366" s="4">
        <v>191</v>
      </c>
      <c r="F1366" s="4" t="s">
        <v>67</v>
      </c>
      <c r="G1366" s="4" t="s">
        <v>913</v>
      </c>
      <c r="H1366" s="4" t="s">
        <v>21</v>
      </c>
      <c r="I1366" s="4" t="s">
        <v>1774</v>
      </c>
      <c r="J1366" s="4" t="s">
        <v>65</v>
      </c>
      <c r="K1366" s="4" t="s">
        <v>25</v>
      </c>
      <c r="L1366" s="4" t="s">
        <v>3742</v>
      </c>
      <c r="M1366" s="4" t="s">
        <v>3746</v>
      </c>
      <c r="N1366" s="4" t="s">
        <v>3747</v>
      </c>
      <c r="O1366" s="17">
        <f>INDEX('список ID из СУЭ с должностями'!$A:$F,MATCH(E1366,'список ID из СУЭ с должностями'!$B:$B,0),5)</f>
        <v>0</v>
      </c>
    </row>
    <row r="1367" spans="1:15" ht="105">
      <c r="A1367" s="3" t="s">
        <v>10</v>
      </c>
      <c r="B1367" s="3" t="s">
        <v>11</v>
      </c>
      <c r="C1367" s="4">
        <v>2026</v>
      </c>
      <c r="D1367" s="5" t="s">
        <v>12</v>
      </c>
      <c r="E1367" s="4">
        <v>192</v>
      </c>
      <c r="F1367" s="4" t="s">
        <v>316</v>
      </c>
      <c r="G1367" s="4" t="s">
        <v>1203</v>
      </c>
      <c r="H1367" s="4" t="s">
        <v>15</v>
      </c>
      <c r="I1367" s="4" t="s">
        <v>356</v>
      </c>
      <c r="J1367" s="4" t="s">
        <v>1775</v>
      </c>
      <c r="K1367" s="4" t="s">
        <v>25</v>
      </c>
      <c r="L1367" s="4" t="s">
        <v>3743</v>
      </c>
      <c r="M1367" s="4" t="s">
        <v>3746</v>
      </c>
      <c r="N1367" s="4" t="s">
        <v>3747</v>
      </c>
      <c r="O1367" s="17">
        <f>INDEX('список ID из СУЭ с должностями'!$A:$F,MATCH(E1367,'список ID из СУЭ с должностями'!$B:$B,0),5)</f>
        <v>0</v>
      </c>
    </row>
    <row r="1368" spans="1:15" ht="105">
      <c r="A1368" s="3" t="s">
        <v>10</v>
      </c>
      <c r="B1368" s="3" t="s">
        <v>11</v>
      </c>
      <c r="C1368" s="4">
        <v>2026</v>
      </c>
      <c r="D1368" s="5" t="s">
        <v>12</v>
      </c>
      <c r="E1368" s="4">
        <v>192</v>
      </c>
      <c r="F1368" s="4" t="s">
        <v>316</v>
      </c>
      <c r="G1368" s="4" t="s">
        <v>1203</v>
      </c>
      <c r="H1368" s="4" t="s">
        <v>15</v>
      </c>
      <c r="I1368" s="4" t="s">
        <v>358</v>
      </c>
      <c r="J1368" s="4" t="s">
        <v>1776</v>
      </c>
      <c r="K1368" s="4" t="s">
        <v>66</v>
      </c>
      <c r="L1368" s="4" t="s">
        <v>3743</v>
      </c>
      <c r="M1368" s="4" t="s">
        <v>3746</v>
      </c>
      <c r="N1368" s="4" t="s">
        <v>3747</v>
      </c>
      <c r="O1368" s="17">
        <f>INDEX('список ID из СУЭ с должностями'!$A:$F,MATCH(E1368,'список ID из СУЭ с должностями'!$B:$B,0),5)</f>
        <v>0</v>
      </c>
    </row>
    <row r="1369" spans="1:15" ht="225">
      <c r="A1369" s="3" t="s">
        <v>10</v>
      </c>
      <c r="B1369" s="3" t="s">
        <v>11</v>
      </c>
      <c r="C1369" s="4">
        <v>2026</v>
      </c>
      <c r="D1369" s="5" t="s">
        <v>12</v>
      </c>
      <c r="E1369" s="4">
        <v>192</v>
      </c>
      <c r="F1369" s="4" t="s">
        <v>316</v>
      </c>
      <c r="G1369" s="4" t="s">
        <v>1203</v>
      </c>
      <c r="H1369" s="4" t="s">
        <v>15</v>
      </c>
      <c r="I1369" s="4" t="s">
        <v>325</v>
      </c>
      <c r="J1369" s="4" t="s">
        <v>1777</v>
      </c>
      <c r="K1369" s="4" t="s">
        <v>35</v>
      </c>
      <c r="L1369" s="4" t="s">
        <v>3743</v>
      </c>
      <c r="M1369" s="4" t="s">
        <v>3746</v>
      </c>
      <c r="N1369" s="4" t="s">
        <v>3747</v>
      </c>
      <c r="O1369" s="17">
        <f>INDEX('список ID из СУЭ с должностями'!$A:$F,MATCH(E1369,'список ID из СУЭ с должностями'!$B:$B,0),5)</f>
        <v>0</v>
      </c>
    </row>
    <row r="1370" spans="1:15" ht="135">
      <c r="A1370" s="3" t="s">
        <v>10</v>
      </c>
      <c r="B1370" s="3" t="s">
        <v>11</v>
      </c>
      <c r="C1370" s="4">
        <v>2026</v>
      </c>
      <c r="D1370" s="5" t="s">
        <v>12</v>
      </c>
      <c r="E1370" s="4">
        <v>192</v>
      </c>
      <c r="F1370" s="4" t="s">
        <v>316</v>
      </c>
      <c r="G1370" s="4" t="s">
        <v>1203</v>
      </c>
      <c r="H1370" s="4" t="s">
        <v>15</v>
      </c>
      <c r="I1370" s="4" t="s">
        <v>318</v>
      </c>
      <c r="J1370" s="4" t="s">
        <v>1778</v>
      </c>
      <c r="K1370" s="4" t="s">
        <v>188</v>
      </c>
      <c r="L1370" s="4" t="s">
        <v>3743</v>
      </c>
      <c r="M1370" s="4" t="s">
        <v>3746</v>
      </c>
      <c r="N1370" s="4" t="s">
        <v>3747</v>
      </c>
      <c r="O1370" s="17">
        <f>INDEX('список ID из СУЭ с должностями'!$A:$F,MATCH(E1370,'список ID из СУЭ с должностями'!$B:$B,0),5)</f>
        <v>0</v>
      </c>
    </row>
    <row r="1371" spans="1:15" ht="315">
      <c r="A1371" s="3" t="s">
        <v>10</v>
      </c>
      <c r="B1371" s="3" t="s">
        <v>11</v>
      </c>
      <c r="C1371" s="4">
        <v>2026</v>
      </c>
      <c r="D1371" s="5" t="s">
        <v>12</v>
      </c>
      <c r="E1371" s="4">
        <v>192</v>
      </c>
      <c r="F1371" s="4" t="s">
        <v>316</v>
      </c>
      <c r="G1371" s="4" t="s">
        <v>1203</v>
      </c>
      <c r="H1371" s="4" t="s">
        <v>41</v>
      </c>
      <c r="I1371" s="4" t="s">
        <v>352</v>
      </c>
      <c r="J1371" s="4" t="s">
        <v>1779</v>
      </c>
      <c r="K1371" s="4" t="s">
        <v>25</v>
      </c>
      <c r="L1371" s="4" t="s">
        <v>3743</v>
      </c>
      <c r="M1371" s="4" t="s">
        <v>3746</v>
      </c>
      <c r="N1371" s="4" t="s">
        <v>3747</v>
      </c>
      <c r="O1371" s="17">
        <f>INDEX('список ID из СУЭ с должностями'!$A:$F,MATCH(E1371,'список ID из СУЭ с должностями'!$B:$B,0),5)</f>
        <v>0</v>
      </c>
    </row>
    <row r="1372" spans="1:15" ht="330">
      <c r="A1372" s="3" t="s">
        <v>10</v>
      </c>
      <c r="B1372" s="3" t="s">
        <v>11</v>
      </c>
      <c r="C1372" s="4">
        <v>2026</v>
      </c>
      <c r="D1372" s="5" t="s">
        <v>12</v>
      </c>
      <c r="E1372" s="4">
        <v>192</v>
      </c>
      <c r="F1372" s="4" t="s">
        <v>316</v>
      </c>
      <c r="G1372" s="4" t="s">
        <v>1203</v>
      </c>
      <c r="H1372" s="4" t="s">
        <v>15</v>
      </c>
      <c r="I1372" s="4" t="s">
        <v>323</v>
      </c>
      <c r="J1372" s="4" t="s">
        <v>1780</v>
      </c>
      <c r="K1372" s="4" t="s">
        <v>66</v>
      </c>
      <c r="L1372" s="4" t="s">
        <v>3743</v>
      </c>
      <c r="M1372" s="4" t="s">
        <v>3746</v>
      </c>
      <c r="N1372" s="4" t="s">
        <v>3747</v>
      </c>
      <c r="O1372" s="17">
        <f>INDEX('список ID из СУЭ с должностями'!$A:$F,MATCH(E1372,'список ID из СУЭ с должностями'!$B:$B,0),5)</f>
        <v>0</v>
      </c>
    </row>
    <row r="1373" spans="1:15" ht="255">
      <c r="A1373" s="3" t="s">
        <v>10</v>
      </c>
      <c r="B1373" s="3" t="s">
        <v>11</v>
      </c>
      <c r="C1373" s="4">
        <v>2026</v>
      </c>
      <c r="D1373" s="5" t="s">
        <v>12</v>
      </c>
      <c r="E1373" s="4">
        <v>192</v>
      </c>
      <c r="F1373" s="4" t="s">
        <v>316</v>
      </c>
      <c r="G1373" s="4" t="s">
        <v>1203</v>
      </c>
      <c r="H1373" s="4" t="s">
        <v>15</v>
      </c>
      <c r="I1373" s="4" t="s">
        <v>354</v>
      </c>
      <c r="J1373" s="4" t="s">
        <v>1781</v>
      </c>
      <c r="K1373" s="4" t="s">
        <v>25</v>
      </c>
      <c r="L1373" s="4" t="s">
        <v>3743</v>
      </c>
      <c r="M1373" s="4" t="s">
        <v>3746</v>
      </c>
      <c r="N1373" s="4" t="s">
        <v>3747</v>
      </c>
      <c r="O1373" s="17">
        <f>INDEX('список ID из СУЭ с должностями'!$A:$F,MATCH(E1373,'список ID из СУЭ с должностями'!$B:$B,0),5)</f>
        <v>0</v>
      </c>
    </row>
    <row r="1374" spans="1:15" ht="120">
      <c r="A1374" s="3" t="s">
        <v>10</v>
      </c>
      <c r="B1374" s="3" t="s">
        <v>11</v>
      </c>
      <c r="C1374" s="4">
        <v>2026</v>
      </c>
      <c r="D1374" s="5" t="s">
        <v>12</v>
      </c>
      <c r="E1374" s="4">
        <v>193</v>
      </c>
      <c r="F1374" s="4" t="s">
        <v>385</v>
      </c>
      <c r="G1374" s="4" t="s">
        <v>1153</v>
      </c>
      <c r="H1374" s="4" t="s">
        <v>41</v>
      </c>
      <c r="I1374" s="4" t="s">
        <v>1160</v>
      </c>
      <c r="J1374" s="4" t="s">
        <v>1161</v>
      </c>
      <c r="K1374" s="4" t="s">
        <v>1160</v>
      </c>
      <c r="L1374" s="4" t="s">
        <v>3743</v>
      </c>
      <c r="M1374" s="4" t="s">
        <v>3750</v>
      </c>
      <c r="N1374" s="4" t="s">
        <v>3770</v>
      </c>
      <c r="O1374" s="17">
        <f>INDEX('список ID из СУЭ с должностями'!$A:$F,MATCH(E1374,'список ID из СУЭ с должностями'!$B:$B,0),5)</f>
        <v>0</v>
      </c>
    </row>
    <row r="1375" spans="1:15" ht="150">
      <c r="A1375" s="3" t="s">
        <v>10</v>
      </c>
      <c r="B1375" s="3" t="s">
        <v>11</v>
      </c>
      <c r="C1375" s="4">
        <v>2026</v>
      </c>
      <c r="D1375" s="5" t="s">
        <v>12</v>
      </c>
      <c r="E1375" s="4">
        <v>193</v>
      </c>
      <c r="F1375" s="4" t="s">
        <v>385</v>
      </c>
      <c r="G1375" s="4" t="s">
        <v>1153</v>
      </c>
      <c r="H1375" s="4" t="s">
        <v>41</v>
      </c>
      <c r="I1375" s="4" t="s">
        <v>1163</v>
      </c>
      <c r="J1375" s="4" t="s">
        <v>1164</v>
      </c>
      <c r="K1375" s="4" t="s">
        <v>1162</v>
      </c>
      <c r="L1375" s="4" t="s">
        <v>3743</v>
      </c>
      <c r="M1375" s="4" t="s">
        <v>3746</v>
      </c>
      <c r="N1375" s="4" t="s">
        <v>3763</v>
      </c>
      <c r="O1375" s="17">
        <f>INDEX('список ID из СУЭ с должностями'!$A:$F,MATCH(E1375,'список ID из СУЭ с должностями'!$B:$B,0),5)</f>
        <v>0</v>
      </c>
    </row>
    <row r="1376" spans="1:15" ht="180">
      <c r="A1376" s="3" t="s">
        <v>10</v>
      </c>
      <c r="B1376" s="3" t="s">
        <v>11</v>
      </c>
      <c r="C1376" s="4">
        <v>2026</v>
      </c>
      <c r="D1376" s="5" t="s">
        <v>12</v>
      </c>
      <c r="E1376" s="4">
        <v>193</v>
      </c>
      <c r="F1376" s="4" t="s">
        <v>385</v>
      </c>
      <c r="G1376" s="4" t="s">
        <v>1153</v>
      </c>
      <c r="H1376" s="4" t="s">
        <v>21</v>
      </c>
      <c r="I1376" s="4" t="s">
        <v>1154</v>
      </c>
      <c r="J1376" s="4" t="s">
        <v>1155</v>
      </c>
      <c r="K1376" s="4" t="s">
        <v>52</v>
      </c>
      <c r="L1376" s="4" t="s">
        <v>3743</v>
      </c>
      <c r="M1376" s="4" t="s">
        <v>3746</v>
      </c>
      <c r="N1376" s="4" t="s">
        <v>3747</v>
      </c>
      <c r="O1376" s="17">
        <f>INDEX('список ID из СУЭ с должностями'!$A:$F,MATCH(E1376,'список ID из СУЭ с должностями'!$B:$B,0),5)</f>
        <v>0</v>
      </c>
    </row>
    <row r="1377" spans="1:15" ht="120">
      <c r="A1377" s="3" t="s">
        <v>10</v>
      </c>
      <c r="B1377" s="3" t="s">
        <v>11</v>
      </c>
      <c r="C1377" s="4">
        <v>2026</v>
      </c>
      <c r="D1377" s="5" t="s">
        <v>12</v>
      </c>
      <c r="E1377" s="4">
        <v>193</v>
      </c>
      <c r="F1377" s="4" t="s">
        <v>385</v>
      </c>
      <c r="G1377" s="4" t="s">
        <v>1153</v>
      </c>
      <c r="H1377" s="4" t="s">
        <v>15</v>
      </c>
      <c r="I1377" s="4" t="s">
        <v>1158</v>
      </c>
      <c r="J1377" s="4" t="s">
        <v>1159</v>
      </c>
      <c r="K1377" s="4" t="s">
        <v>1158</v>
      </c>
      <c r="L1377" s="4" t="s">
        <v>3743</v>
      </c>
      <c r="M1377" s="4" t="s">
        <v>3750</v>
      </c>
      <c r="N1377" s="4" t="s">
        <v>3770</v>
      </c>
      <c r="O1377" s="17">
        <f>INDEX('список ID из СУЭ с должностями'!$A:$F,MATCH(E1377,'список ID из СУЭ с должностями'!$B:$B,0),5)</f>
        <v>0</v>
      </c>
    </row>
    <row r="1378" spans="1:15" ht="255">
      <c r="A1378" s="3" t="s">
        <v>10</v>
      </c>
      <c r="B1378" s="3" t="s">
        <v>11</v>
      </c>
      <c r="C1378" s="4">
        <v>2026</v>
      </c>
      <c r="D1378" s="5" t="s">
        <v>12</v>
      </c>
      <c r="E1378" s="4">
        <v>193</v>
      </c>
      <c r="F1378" s="4" t="s">
        <v>385</v>
      </c>
      <c r="G1378" s="4" t="s">
        <v>1153</v>
      </c>
      <c r="H1378" s="4" t="s">
        <v>21</v>
      </c>
      <c r="I1378" s="4" t="s">
        <v>1156</v>
      </c>
      <c r="J1378" s="4" t="s">
        <v>1157</v>
      </c>
      <c r="K1378" s="4" t="s">
        <v>52</v>
      </c>
      <c r="L1378" s="4" t="s">
        <v>3743</v>
      </c>
      <c r="M1378" s="4" t="s">
        <v>3746</v>
      </c>
      <c r="N1378" s="4" t="s">
        <v>3747</v>
      </c>
      <c r="O1378" s="17">
        <f>INDEX('список ID из СУЭ с должностями'!$A:$F,MATCH(E1378,'список ID из СУЭ с должностями'!$B:$B,0),5)</f>
        <v>0</v>
      </c>
    </row>
    <row r="1379" spans="1:15" ht="150">
      <c r="A1379" s="3" t="s">
        <v>10</v>
      </c>
      <c r="B1379" s="3" t="s">
        <v>11</v>
      </c>
      <c r="C1379" s="4">
        <v>2026</v>
      </c>
      <c r="D1379" s="5" t="s">
        <v>12</v>
      </c>
      <c r="E1379" s="4">
        <v>194</v>
      </c>
      <c r="F1379" s="4" t="s">
        <v>1782</v>
      </c>
      <c r="G1379" s="4" t="s">
        <v>1001</v>
      </c>
      <c r="H1379" s="4" t="s">
        <v>15</v>
      </c>
      <c r="I1379" s="4" t="s">
        <v>471</v>
      </c>
      <c r="J1379" s="4" t="s">
        <v>463</v>
      </c>
      <c r="K1379" s="4" t="s">
        <v>188</v>
      </c>
      <c r="L1379" s="4" t="s">
        <v>3742</v>
      </c>
      <c r="M1379" s="4" t="s">
        <v>3746</v>
      </c>
      <c r="N1379" s="4" t="s">
        <v>3747</v>
      </c>
      <c r="O1379" s="17">
        <f>INDEX('список ID из СУЭ с должностями'!$A:$F,MATCH(E1379,'список ID из СУЭ с должностями'!$B:$B,0),5)</f>
        <v>0</v>
      </c>
    </row>
    <row r="1380" spans="1:15" ht="409.5">
      <c r="A1380" s="3" t="s">
        <v>10</v>
      </c>
      <c r="B1380" s="3" t="s">
        <v>11</v>
      </c>
      <c r="C1380" s="4">
        <v>2026</v>
      </c>
      <c r="D1380" s="5" t="s">
        <v>12</v>
      </c>
      <c r="E1380" s="4">
        <v>194</v>
      </c>
      <c r="F1380" s="4" t="s">
        <v>1782</v>
      </c>
      <c r="G1380" s="4" t="s">
        <v>1001</v>
      </c>
      <c r="H1380" s="4" t="s">
        <v>15</v>
      </c>
      <c r="I1380" s="4" t="s">
        <v>472</v>
      </c>
      <c r="J1380" s="4" t="s">
        <v>1783</v>
      </c>
      <c r="K1380" s="4" t="s">
        <v>25</v>
      </c>
      <c r="L1380" s="4" t="s">
        <v>3743</v>
      </c>
      <c r="M1380" s="4" t="s">
        <v>3746</v>
      </c>
      <c r="N1380" s="4" t="s">
        <v>3747</v>
      </c>
      <c r="O1380" s="17">
        <f>INDEX('список ID из СУЭ с должностями'!$A:$F,MATCH(E1380,'список ID из СУЭ с должностями'!$B:$B,0),5)</f>
        <v>0</v>
      </c>
    </row>
    <row r="1381" spans="1:15" ht="150">
      <c r="A1381" s="3" t="s">
        <v>10</v>
      </c>
      <c r="B1381" s="3" t="s">
        <v>11</v>
      </c>
      <c r="C1381" s="4">
        <v>2026</v>
      </c>
      <c r="D1381" s="5" t="s">
        <v>12</v>
      </c>
      <c r="E1381" s="4">
        <v>194</v>
      </c>
      <c r="F1381" s="4" t="s">
        <v>1782</v>
      </c>
      <c r="G1381" s="4" t="s">
        <v>1001</v>
      </c>
      <c r="H1381" s="4" t="s">
        <v>15</v>
      </c>
      <c r="I1381" s="4" t="s">
        <v>466</v>
      </c>
      <c r="J1381" s="4" t="s">
        <v>467</v>
      </c>
      <c r="K1381" s="4" t="s">
        <v>30</v>
      </c>
      <c r="L1381" s="4" t="s">
        <v>3742</v>
      </c>
      <c r="M1381" s="4" t="s">
        <v>3746</v>
      </c>
      <c r="N1381" s="4" t="s">
        <v>3747</v>
      </c>
      <c r="O1381" s="17">
        <f>INDEX('список ID из СУЭ с должностями'!$A:$F,MATCH(E1381,'список ID из СУЭ с должностями'!$B:$B,0),5)</f>
        <v>0</v>
      </c>
    </row>
    <row r="1382" spans="1:15" ht="210">
      <c r="A1382" s="3" t="s">
        <v>10</v>
      </c>
      <c r="B1382" s="3" t="s">
        <v>11</v>
      </c>
      <c r="C1382" s="4">
        <v>2026</v>
      </c>
      <c r="D1382" s="5" t="s">
        <v>12</v>
      </c>
      <c r="E1382" s="4">
        <v>194</v>
      </c>
      <c r="F1382" s="4" t="s">
        <v>1782</v>
      </c>
      <c r="G1382" s="4" t="s">
        <v>1001</v>
      </c>
      <c r="H1382" s="4" t="s">
        <v>15</v>
      </c>
      <c r="I1382" s="4" t="s">
        <v>469</v>
      </c>
      <c r="J1382" s="4" t="s">
        <v>470</v>
      </c>
      <c r="K1382" s="4" t="s">
        <v>30</v>
      </c>
      <c r="L1382" s="4" t="s">
        <v>3743</v>
      </c>
      <c r="M1382" s="4" t="s">
        <v>3746</v>
      </c>
      <c r="N1382" s="4" t="s">
        <v>3747</v>
      </c>
      <c r="O1382" s="17">
        <f>INDEX('список ID из СУЭ с должностями'!$A:$F,MATCH(E1382,'список ID из СУЭ с должностями'!$B:$B,0),5)</f>
        <v>0</v>
      </c>
    </row>
    <row r="1383" spans="1:15" ht="150">
      <c r="A1383" s="3" t="s">
        <v>10</v>
      </c>
      <c r="B1383" s="3" t="s">
        <v>11</v>
      </c>
      <c r="C1383" s="4">
        <v>2026</v>
      </c>
      <c r="D1383" s="5" t="s">
        <v>12</v>
      </c>
      <c r="E1383" s="4">
        <v>194</v>
      </c>
      <c r="F1383" s="4" t="s">
        <v>1782</v>
      </c>
      <c r="G1383" s="4" t="s">
        <v>1001</v>
      </c>
      <c r="H1383" s="4" t="s">
        <v>15</v>
      </c>
      <c r="I1383" s="4" t="s">
        <v>468</v>
      </c>
      <c r="J1383" s="4" t="s">
        <v>79</v>
      </c>
      <c r="K1383" s="4" t="s">
        <v>30</v>
      </c>
      <c r="L1383" s="4" t="s">
        <v>3742</v>
      </c>
      <c r="M1383" s="4" t="s">
        <v>3746</v>
      </c>
      <c r="N1383" s="4" t="s">
        <v>3747</v>
      </c>
      <c r="O1383" s="17">
        <f>INDEX('список ID из СУЭ с должностями'!$A:$F,MATCH(E1383,'список ID из СУЭ с должностями'!$B:$B,0),5)</f>
        <v>0</v>
      </c>
    </row>
    <row r="1384" spans="1:15" ht="409.5">
      <c r="A1384" s="3" t="s">
        <v>10</v>
      </c>
      <c r="B1384" s="3" t="s">
        <v>11</v>
      </c>
      <c r="C1384" s="4">
        <v>2026</v>
      </c>
      <c r="D1384" s="5" t="s">
        <v>12</v>
      </c>
      <c r="E1384" s="4">
        <v>194</v>
      </c>
      <c r="F1384" s="4" t="s">
        <v>1782</v>
      </c>
      <c r="G1384" s="4" t="s">
        <v>1001</v>
      </c>
      <c r="H1384" s="4" t="s">
        <v>15</v>
      </c>
      <c r="I1384" s="4" t="s">
        <v>464</v>
      </c>
      <c r="J1384" s="4" t="s">
        <v>1784</v>
      </c>
      <c r="K1384" s="4" t="s">
        <v>66</v>
      </c>
      <c r="L1384" s="4" t="s">
        <v>3743</v>
      </c>
      <c r="M1384" s="4" t="s">
        <v>3746</v>
      </c>
      <c r="N1384" s="4" t="s">
        <v>3747</v>
      </c>
      <c r="O1384" s="17">
        <f>INDEX('список ID из СУЭ с должностями'!$A:$F,MATCH(E1384,'список ID из СУЭ с должностями'!$B:$B,0),5)</f>
        <v>0</v>
      </c>
    </row>
    <row r="1385" spans="1:15" ht="150">
      <c r="A1385" s="3" t="s">
        <v>10</v>
      </c>
      <c r="B1385" s="3" t="s">
        <v>11</v>
      </c>
      <c r="C1385" s="4">
        <v>2026</v>
      </c>
      <c r="D1385" s="5" t="s">
        <v>12</v>
      </c>
      <c r="E1385" s="4">
        <v>194</v>
      </c>
      <c r="F1385" s="4" t="s">
        <v>1782</v>
      </c>
      <c r="G1385" s="4" t="s">
        <v>1001</v>
      </c>
      <c r="H1385" s="4" t="s">
        <v>15</v>
      </c>
      <c r="I1385" s="4" t="s">
        <v>462</v>
      </c>
      <c r="J1385" s="4" t="s">
        <v>463</v>
      </c>
      <c r="K1385" s="4" t="s">
        <v>35</v>
      </c>
      <c r="L1385" s="4" t="s">
        <v>3742</v>
      </c>
      <c r="M1385" s="4" t="s">
        <v>3746</v>
      </c>
      <c r="N1385" s="4" t="s">
        <v>3747</v>
      </c>
      <c r="O1385" s="17">
        <f>INDEX('список ID из СУЭ с должностями'!$A:$F,MATCH(E1385,'список ID из СУЭ с должностями'!$B:$B,0),5)</f>
        <v>0</v>
      </c>
    </row>
    <row r="1386" spans="1:15" ht="375">
      <c r="A1386" s="3" t="s">
        <v>10</v>
      </c>
      <c r="B1386" s="3" t="s">
        <v>11</v>
      </c>
      <c r="C1386" s="4">
        <v>2026</v>
      </c>
      <c r="D1386" s="5" t="s">
        <v>12</v>
      </c>
      <c r="E1386" s="4">
        <v>194</v>
      </c>
      <c r="F1386" s="4" t="s">
        <v>1782</v>
      </c>
      <c r="G1386" s="4" t="s">
        <v>1001</v>
      </c>
      <c r="H1386" s="4" t="s">
        <v>15</v>
      </c>
      <c r="I1386" s="4" t="s">
        <v>460</v>
      </c>
      <c r="J1386" s="4" t="s">
        <v>461</v>
      </c>
      <c r="K1386" s="4" t="s">
        <v>38</v>
      </c>
      <c r="L1386" s="4" t="s">
        <v>3743</v>
      </c>
      <c r="M1386" s="4" t="s">
        <v>3746</v>
      </c>
      <c r="N1386" s="4" t="s">
        <v>3747</v>
      </c>
      <c r="O1386" s="17">
        <f>INDEX('список ID из СУЭ с должностями'!$A:$F,MATCH(E1386,'список ID из СУЭ с должностями'!$B:$B,0),5)</f>
        <v>0</v>
      </c>
    </row>
    <row r="1387" spans="1:15" ht="150">
      <c r="A1387" s="3" t="s">
        <v>10</v>
      </c>
      <c r="B1387" s="3" t="s">
        <v>11</v>
      </c>
      <c r="C1387" s="4">
        <v>2026</v>
      </c>
      <c r="D1387" s="5" t="s">
        <v>12</v>
      </c>
      <c r="E1387" s="4">
        <v>194</v>
      </c>
      <c r="F1387" s="4" t="s">
        <v>1782</v>
      </c>
      <c r="G1387" s="4" t="s">
        <v>1001</v>
      </c>
      <c r="H1387" s="4" t="s">
        <v>15</v>
      </c>
      <c r="I1387" s="4" t="s">
        <v>456</v>
      </c>
      <c r="J1387" s="4" t="s">
        <v>457</v>
      </c>
      <c r="K1387" s="4" t="s">
        <v>23</v>
      </c>
      <c r="L1387" s="4" t="s">
        <v>3743</v>
      </c>
      <c r="M1387" s="4" t="s">
        <v>3748</v>
      </c>
      <c r="N1387" s="4" t="s">
        <v>3752</v>
      </c>
      <c r="O1387" s="17">
        <f>INDEX('список ID из СУЭ с должностями'!$A:$F,MATCH(E1387,'список ID из СУЭ с должностями'!$B:$B,0),5)</f>
        <v>0</v>
      </c>
    </row>
    <row r="1388" spans="1:15" ht="75">
      <c r="A1388" s="3" t="s">
        <v>10</v>
      </c>
      <c r="B1388" s="3" t="s">
        <v>11</v>
      </c>
      <c r="C1388" s="4">
        <v>2026</v>
      </c>
      <c r="D1388" s="5" t="s">
        <v>12</v>
      </c>
      <c r="E1388" s="4">
        <v>195</v>
      </c>
      <c r="F1388" s="4" t="s">
        <v>239</v>
      </c>
      <c r="G1388" s="4" t="s">
        <v>1785</v>
      </c>
      <c r="H1388" s="4" t="s">
        <v>15</v>
      </c>
      <c r="I1388" s="4" t="s">
        <v>816</v>
      </c>
      <c r="J1388" s="4" t="s">
        <v>182</v>
      </c>
      <c r="K1388" s="4" t="s">
        <v>52</v>
      </c>
      <c r="L1388" s="4" t="s">
        <v>3742</v>
      </c>
      <c r="M1388" s="4" t="s">
        <v>3746</v>
      </c>
      <c r="N1388" s="4" t="s">
        <v>3747</v>
      </c>
      <c r="O1388" s="17" t="str">
        <f>INDEX('список ID из СУЭ с должностями'!$A:$F,MATCH(E1388,'список ID из СУЭ с должностями'!$B:$B,0),5)</f>
        <v>ИПП</v>
      </c>
    </row>
    <row r="1389" spans="1:15" ht="75">
      <c r="A1389" s="3" t="s">
        <v>10</v>
      </c>
      <c r="B1389" s="3" t="s">
        <v>11</v>
      </c>
      <c r="C1389" s="4">
        <v>2026</v>
      </c>
      <c r="D1389" s="5" t="s">
        <v>12</v>
      </c>
      <c r="E1389" s="4">
        <v>195</v>
      </c>
      <c r="F1389" s="4" t="s">
        <v>239</v>
      </c>
      <c r="G1389" s="4" t="s">
        <v>1785</v>
      </c>
      <c r="H1389" s="4" t="s">
        <v>15</v>
      </c>
      <c r="I1389" s="4" t="s">
        <v>817</v>
      </c>
      <c r="J1389" s="4" t="s">
        <v>196</v>
      </c>
      <c r="K1389" s="4" t="s">
        <v>52</v>
      </c>
      <c r="L1389" s="4" t="s">
        <v>3742</v>
      </c>
      <c r="M1389" s="4" t="s">
        <v>3746</v>
      </c>
      <c r="N1389" s="4" t="s">
        <v>3747</v>
      </c>
      <c r="O1389" s="17" t="str">
        <f>INDEX('список ID из СУЭ с должностями'!$A:$F,MATCH(E1389,'список ID из СУЭ с должностями'!$B:$B,0),5)</f>
        <v>ИПП</v>
      </c>
    </row>
    <row r="1390" spans="1:15" ht="75">
      <c r="A1390" s="3" t="s">
        <v>10</v>
      </c>
      <c r="B1390" s="3" t="s">
        <v>11</v>
      </c>
      <c r="C1390" s="4">
        <v>2026</v>
      </c>
      <c r="D1390" s="5" t="s">
        <v>12</v>
      </c>
      <c r="E1390" s="4">
        <v>195</v>
      </c>
      <c r="F1390" s="4" t="s">
        <v>239</v>
      </c>
      <c r="G1390" s="4" t="s">
        <v>1785</v>
      </c>
      <c r="H1390" s="4" t="s">
        <v>15</v>
      </c>
      <c r="I1390" s="4" t="s">
        <v>243</v>
      </c>
      <c r="J1390" s="4" t="s">
        <v>132</v>
      </c>
      <c r="K1390" s="4" t="s">
        <v>38</v>
      </c>
      <c r="L1390" s="4" t="s">
        <v>3742</v>
      </c>
      <c r="M1390" s="4" t="s">
        <v>3746</v>
      </c>
      <c r="N1390" s="4" t="s">
        <v>3747</v>
      </c>
      <c r="O1390" s="17" t="str">
        <f>INDEX('список ID из СУЭ с должностями'!$A:$F,MATCH(E1390,'список ID из СУЭ с должностями'!$B:$B,0),5)</f>
        <v>ИПП</v>
      </c>
    </row>
    <row r="1391" spans="1:15" ht="90">
      <c r="A1391" s="3" t="s">
        <v>10</v>
      </c>
      <c r="B1391" s="3" t="s">
        <v>11</v>
      </c>
      <c r="C1391" s="4">
        <v>2026</v>
      </c>
      <c r="D1391" s="5" t="s">
        <v>12</v>
      </c>
      <c r="E1391" s="4">
        <v>195</v>
      </c>
      <c r="F1391" s="4" t="s">
        <v>239</v>
      </c>
      <c r="G1391" s="4" t="s">
        <v>1785</v>
      </c>
      <c r="H1391" s="4" t="s">
        <v>15</v>
      </c>
      <c r="I1391" s="4" t="s">
        <v>198</v>
      </c>
      <c r="J1391" s="4" t="s">
        <v>1786</v>
      </c>
      <c r="K1391" s="4" t="s">
        <v>20</v>
      </c>
      <c r="L1391" s="4" t="s">
        <v>3743</v>
      </c>
      <c r="M1391" s="4" t="s">
        <v>3746</v>
      </c>
      <c r="N1391" s="4" t="s">
        <v>3747</v>
      </c>
      <c r="O1391" s="17" t="str">
        <f>INDEX('список ID из СУЭ с должностями'!$A:$F,MATCH(E1391,'список ID из СУЭ с должностями'!$B:$B,0),5)</f>
        <v>ИПП</v>
      </c>
    </row>
    <row r="1392" spans="1:15" ht="75">
      <c r="A1392" s="3" t="s">
        <v>10</v>
      </c>
      <c r="B1392" s="3" t="s">
        <v>11</v>
      </c>
      <c r="C1392" s="4">
        <v>2026</v>
      </c>
      <c r="D1392" s="5" t="s">
        <v>12</v>
      </c>
      <c r="E1392" s="4">
        <v>195</v>
      </c>
      <c r="F1392" s="4" t="s">
        <v>239</v>
      </c>
      <c r="G1392" s="4" t="s">
        <v>1785</v>
      </c>
      <c r="H1392" s="4" t="s">
        <v>15</v>
      </c>
      <c r="I1392" s="4" t="s">
        <v>819</v>
      </c>
      <c r="J1392" s="4" t="s">
        <v>200</v>
      </c>
      <c r="K1392" s="4" t="s">
        <v>55</v>
      </c>
      <c r="L1392" s="4" t="s">
        <v>3742</v>
      </c>
      <c r="M1392" s="4" t="s">
        <v>3746</v>
      </c>
      <c r="N1392" s="4" t="s">
        <v>3747</v>
      </c>
      <c r="O1392" s="17" t="str">
        <f>INDEX('список ID из СУЭ с должностями'!$A:$F,MATCH(E1392,'список ID из СУЭ с должностями'!$B:$B,0),5)</f>
        <v>ИПП</v>
      </c>
    </row>
    <row r="1393" spans="1:15" ht="75">
      <c r="A1393" s="3" t="s">
        <v>10</v>
      </c>
      <c r="B1393" s="3" t="s">
        <v>11</v>
      </c>
      <c r="C1393" s="4">
        <v>2026</v>
      </c>
      <c r="D1393" s="5" t="s">
        <v>12</v>
      </c>
      <c r="E1393" s="4">
        <v>195</v>
      </c>
      <c r="F1393" s="4" t="s">
        <v>239</v>
      </c>
      <c r="G1393" s="4" t="s">
        <v>1785</v>
      </c>
      <c r="H1393" s="4" t="s">
        <v>15</v>
      </c>
      <c r="I1393" s="4" t="s">
        <v>48</v>
      </c>
      <c r="J1393" s="4" t="s">
        <v>187</v>
      </c>
      <c r="K1393" s="4" t="s">
        <v>35</v>
      </c>
      <c r="L1393" s="4" t="s">
        <v>3743</v>
      </c>
      <c r="M1393" s="4" t="s">
        <v>3746</v>
      </c>
      <c r="N1393" s="4" t="s">
        <v>3747</v>
      </c>
      <c r="O1393" s="17" t="str">
        <f>INDEX('список ID из СУЭ с должностями'!$A:$F,MATCH(E1393,'список ID из СУЭ с должностями'!$B:$B,0),5)</f>
        <v>ИПП</v>
      </c>
    </row>
    <row r="1394" spans="1:15" ht="180">
      <c r="A1394" s="3" t="s">
        <v>10</v>
      </c>
      <c r="B1394" s="3" t="s">
        <v>11</v>
      </c>
      <c r="C1394" s="4">
        <v>2026</v>
      </c>
      <c r="D1394" s="5" t="s">
        <v>12</v>
      </c>
      <c r="E1394" s="4">
        <v>196</v>
      </c>
      <c r="F1394" s="4" t="s">
        <v>316</v>
      </c>
      <c r="G1394" s="4" t="s">
        <v>320</v>
      </c>
      <c r="H1394" s="4" t="s">
        <v>15</v>
      </c>
      <c r="I1394" s="4" t="s">
        <v>1787</v>
      </c>
      <c r="J1394" s="4" t="s">
        <v>1788</v>
      </c>
      <c r="K1394" s="4" t="s">
        <v>55</v>
      </c>
      <c r="L1394" s="4" t="s">
        <v>3743</v>
      </c>
      <c r="M1394" s="4" t="s">
        <v>3746</v>
      </c>
      <c r="N1394" s="4" t="s">
        <v>3747</v>
      </c>
      <c r="O1394" s="17">
        <f>INDEX('список ID из СУЭ с должностями'!$A:$F,MATCH(E1394,'список ID из СУЭ с должностями'!$B:$B,0),5)</f>
        <v>0</v>
      </c>
    </row>
    <row r="1395" spans="1:15" ht="105">
      <c r="A1395" s="3" t="s">
        <v>10</v>
      </c>
      <c r="B1395" s="3" t="s">
        <v>11</v>
      </c>
      <c r="C1395" s="4">
        <v>2026</v>
      </c>
      <c r="D1395" s="5" t="s">
        <v>12</v>
      </c>
      <c r="E1395" s="4">
        <v>196</v>
      </c>
      <c r="F1395" s="4" t="s">
        <v>316</v>
      </c>
      <c r="G1395" s="4" t="s">
        <v>320</v>
      </c>
      <c r="H1395" s="4" t="s">
        <v>15</v>
      </c>
      <c r="I1395" s="4" t="s">
        <v>1789</v>
      </c>
      <c r="J1395" s="4" t="s">
        <v>1790</v>
      </c>
      <c r="K1395" s="4" t="s">
        <v>55</v>
      </c>
      <c r="L1395" s="4" t="s">
        <v>3743</v>
      </c>
      <c r="M1395" s="4" t="s">
        <v>3746</v>
      </c>
      <c r="N1395" s="4" t="s">
        <v>3747</v>
      </c>
      <c r="O1395" s="17">
        <f>INDEX('список ID из СУЭ с должностями'!$A:$F,MATCH(E1395,'список ID из СУЭ с должностями'!$B:$B,0),5)</f>
        <v>0</v>
      </c>
    </row>
    <row r="1396" spans="1:15" ht="105">
      <c r="A1396" s="3" t="s">
        <v>10</v>
      </c>
      <c r="B1396" s="3" t="s">
        <v>11</v>
      </c>
      <c r="C1396" s="4">
        <v>2026</v>
      </c>
      <c r="D1396" s="5" t="s">
        <v>12</v>
      </c>
      <c r="E1396" s="4">
        <v>196</v>
      </c>
      <c r="F1396" s="4" t="s">
        <v>316</v>
      </c>
      <c r="G1396" s="4" t="s">
        <v>320</v>
      </c>
      <c r="H1396" s="4" t="s">
        <v>15</v>
      </c>
      <c r="I1396" s="4" t="s">
        <v>28</v>
      </c>
      <c r="J1396" s="4" t="s">
        <v>1791</v>
      </c>
      <c r="K1396" s="4" t="s">
        <v>55</v>
      </c>
      <c r="L1396" s="4" t="s">
        <v>3743</v>
      </c>
      <c r="M1396" s="4" t="s">
        <v>3746</v>
      </c>
      <c r="N1396" s="4" t="s">
        <v>3747</v>
      </c>
      <c r="O1396" s="17">
        <f>INDEX('список ID из СУЭ с должностями'!$A:$F,MATCH(E1396,'список ID из СУЭ с должностями'!$B:$B,0),5)</f>
        <v>0</v>
      </c>
    </row>
    <row r="1397" spans="1:15" ht="135">
      <c r="A1397" s="3" t="s">
        <v>10</v>
      </c>
      <c r="B1397" s="3" t="s">
        <v>11</v>
      </c>
      <c r="C1397" s="4">
        <v>2026</v>
      </c>
      <c r="D1397" s="5" t="s">
        <v>12</v>
      </c>
      <c r="E1397" s="4">
        <v>196</v>
      </c>
      <c r="F1397" s="4" t="s">
        <v>316</v>
      </c>
      <c r="G1397" s="4" t="s">
        <v>320</v>
      </c>
      <c r="H1397" s="4" t="s">
        <v>15</v>
      </c>
      <c r="I1397" s="4" t="s">
        <v>1792</v>
      </c>
      <c r="J1397" s="4" t="s">
        <v>1793</v>
      </c>
      <c r="K1397" s="4" t="s">
        <v>30</v>
      </c>
      <c r="L1397" s="4" t="s">
        <v>3743</v>
      </c>
      <c r="M1397" s="4" t="s">
        <v>3746</v>
      </c>
      <c r="N1397" s="4" t="s">
        <v>3747</v>
      </c>
      <c r="O1397" s="17">
        <f>INDEX('список ID из СУЭ с должностями'!$A:$F,MATCH(E1397,'список ID из СУЭ с должностями'!$B:$B,0),5)</f>
        <v>0</v>
      </c>
    </row>
    <row r="1398" spans="1:15" ht="180">
      <c r="A1398" s="3" t="s">
        <v>10</v>
      </c>
      <c r="B1398" s="3" t="s">
        <v>11</v>
      </c>
      <c r="C1398" s="4">
        <v>2026</v>
      </c>
      <c r="D1398" s="5" t="s">
        <v>12</v>
      </c>
      <c r="E1398" s="4">
        <v>196</v>
      </c>
      <c r="F1398" s="4" t="s">
        <v>316</v>
      </c>
      <c r="G1398" s="4" t="s">
        <v>320</v>
      </c>
      <c r="H1398" s="4" t="s">
        <v>15</v>
      </c>
      <c r="I1398" s="4" t="s">
        <v>1794</v>
      </c>
      <c r="J1398" s="4" t="s">
        <v>1795</v>
      </c>
      <c r="K1398" s="4" t="s">
        <v>66</v>
      </c>
      <c r="L1398" s="4" t="s">
        <v>3743</v>
      </c>
      <c r="M1398" s="4" t="s">
        <v>3746</v>
      </c>
      <c r="N1398" s="4" t="s">
        <v>3747</v>
      </c>
      <c r="O1398" s="17">
        <f>INDEX('список ID из СУЭ с должностями'!$A:$F,MATCH(E1398,'список ID из СУЭ с должностями'!$B:$B,0),5)</f>
        <v>0</v>
      </c>
    </row>
    <row r="1399" spans="1:15" ht="345">
      <c r="A1399" s="3" t="s">
        <v>10</v>
      </c>
      <c r="B1399" s="3" t="s">
        <v>11</v>
      </c>
      <c r="C1399" s="4">
        <v>2026</v>
      </c>
      <c r="D1399" s="5" t="s">
        <v>12</v>
      </c>
      <c r="E1399" s="4">
        <v>196</v>
      </c>
      <c r="F1399" s="4" t="s">
        <v>316</v>
      </c>
      <c r="G1399" s="4" t="s">
        <v>320</v>
      </c>
      <c r="H1399" s="4" t="s">
        <v>15</v>
      </c>
      <c r="I1399" s="4" t="s">
        <v>323</v>
      </c>
      <c r="J1399" s="4" t="s">
        <v>1796</v>
      </c>
      <c r="K1399" s="4" t="s">
        <v>30</v>
      </c>
      <c r="L1399" s="4" t="s">
        <v>3743</v>
      </c>
      <c r="M1399" s="4" t="s">
        <v>3746</v>
      </c>
      <c r="N1399" s="4" t="s">
        <v>3747</v>
      </c>
      <c r="O1399" s="17">
        <f>INDEX('список ID из СУЭ с должностями'!$A:$F,MATCH(E1399,'список ID из СУЭ с должностями'!$B:$B,0),5)</f>
        <v>0</v>
      </c>
    </row>
    <row r="1400" spans="1:15" ht="105">
      <c r="A1400" s="3" t="s">
        <v>10</v>
      </c>
      <c r="B1400" s="3" t="s">
        <v>11</v>
      </c>
      <c r="C1400" s="4">
        <v>2026</v>
      </c>
      <c r="D1400" s="5" t="s">
        <v>12</v>
      </c>
      <c r="E1400" s="4">
        <v>196</v>
      </c>
      <c r="F1400" s="4" t="s">
        <v>316</v>
      </c>
      <c r="G1400" s="4" t="s">
        <v>320</v>
      </c>
      <c r="H1400" s="4" t="s">
        <v>15</v>
      </c>
      <c r="I1400" s="4" t="s">
        <v>325</v>
      </c>
      <c r="J1400" s="4" t="s">
        <v>1797</v>
      </c>
      <c r="K1400" s="4" t="s">
        <v>35</v>
      </c>
      <c r="L1400" s="4" t="s">
        <v>3743</v>
      </c>
      <c r="M1400" s="4" t="s">
        <v>3746</v>
      </c>
      <c r="N1400" s="4" t="s">
        <v>3747</v>
      </c>
      <c r="O1400" s="17">
        <f>INDEX('список ID из СУЭ с должностями'!$A:$F,MATCH(E1400,'список ID из СУЭ с должностями'!$B:$B,0),5)</f>
        <v>0</v>
      </c>
    </row>
    <row r="1401" spans="1:15" ht="120">
      <c r="A1401" s="3" t="s">
        <v>10</v>
      </c>
      <c r="B1401" s="3" t="s">
        <v>11</v>
      </c>
      <c r="C1401" s="4">
        <v>2026</v>
      </c>
      <c r="D1401" s="5" t="s">
        <v>12</v>
      </c>
      <c r="E1401" s="4">
        <v>196</v>
      </c>
      <c r="F1401" s="4" t="s">
        <v>316</v>
      </c>
      <c r="G1401" s="4" t="s">
        <v>320</v>
      </c>
      <c r="H1401" s="4" t="s">
        <v>15</v>
      </c>
      <c r="I1401" s="4" t="s">
        <v>318</v>
      </c>
      <c r="J1401" s="4" t="s">
        <v>1798</v>
      </c>
      <c r="K1401" s="4" t="s">
        <v>25</v>
      </c>
      <c r="L1401" s="4" t="s">
        <v>3743</v>
      </c>
      <c r="M1401" s="4" t="s">
        <v>3746</v>
      </c>
      <c r="N1401" s="4" t="s">
        <v>3747</v>
      </c>
      <c r="O1401" s="17">
        <f>INDEX('список ID из СУЭ с должностями'!$A:$F,MATCH(E1401,'список ID из СУЭ с должностями'!$B:$B,0),5)</f>
        <v>0</v>
      </c>
    </row>
    <row r="1402" spans="1:15" ht="105">
      <c r="A1402" s="3" t="s">
        <v>10</v>
      </c>
      <c r="B1402" s="3" t="s">
        <v>11</v>
      </c>
      <c r="C1402" s="4">
        <v>2026</v>
      </c>
      <c r="D1402" s="5" t="s">
        <v>12</v>
      </c>
      <c r="E1402" s="4">
        <v>196</v>
      </c>
      <c r="F1402" s="4" t="s">
        <v>316</v>
      </c>
      <c r="G1402" s="4" t="s">
        <v>320</v>
      </c>
      <c r="H1402" s="4" t="s">
        <v>15</v>
      </c>
      <c r="I1402" s="4" t="s">
        <v>352</v>
      </c>
      <c r="J1402" s="4" t="s">
        <v>79</v>
      </c>
      <c r="K1402" s="4" t="s">
        <v>25</v>
      </c>
      <c r="L1402" s="4" t="s">
        <v>3742</v>
      </c>
      <c r="M1402" s="4" t="s">
        <v>3746</v>
      </c>
      <c r="N1402" s="4" t="s">
        <v>3747</v>
      </c>
      <c r="O1402" s="17">
        <f>INDEX('список ID из СУЭ с должностями'!$A:$F,MATCH(E1402,'список ID из СУЭ с должностями'!$B:$B,0),5)</f>
        <v>0</v>
      </c>
    </row>
    <row r="1403" spans="1:15" ht="60">
      <c r="A1403" s="3" t="s">
        <v>10</v>
      </c>
      <c r="B1403" s="3" t="s">
        <v>11</v>
      </c>
      <c r="C1403" s="4">
        <v>2026</v>
      </c>
      <c r="D1403" s="5" t="s">
        <v>12</v>
      </c>
      <c r="E1403" s="4">
        <v>197</v>
      </c>
      <c r="F1403" s="4" t="s">
        <v>1557</v>
      </c>
      <c r="G1403" s="4" t="s">
        <v>1554</v>
      </c>
      <c r="H1403" s="4" t="s">
        <v>15</v>
      </c>
      <c r="I1403" s="4" t="s">
        <v>390</v>
      </c>
      <c r="J1403" s="4" t="s">
        <v>182</v>
      </c>
      <c r="K1403" s="4" t="s">
        <v>52</v>
      </c>
      <c r="L1403" s="4" t="s">
        <v>3742</v>
      </c>
      <c r="M1403" s="4" t="s">
        <v>3746</v>
      </c>
      <c r="N1403" s="4" t="s">
        <v>3747</v>
      </c>
      <c r="O1403" s="17">
        <f>INDEX('список ID из СУЭ с должностями'!$A:$F,MATCH(E1403,'список ID из СУЭ с должностями'!$B:$B,0),5)</f>
        <v>0</v>
      </c>
    </row>
    <row r="1404" spans="1:15" ht="75">
      <c r="A1404" s="3" t="s">
        <v>10</v>
      </c>
      <c r="B1404" s="3" t="s">
        <v>11</v>
      </c>
      <c r="C1404" s="4">
        <v>2026</v>
      </c>
      <c r="D1404" s="5" t="s">
        <v>12</v>
      </c>
      <c r="E1404" s="4">
        <v>197</v>
      </c>
      <c r="F1404" s="4" t="s">
        <v>1557</v>
      </c>
      <c r="G1404" s="4" t="s">
        <v>1554</v>
      </c>
      <c r="H1404" s="4" t="s">
        <v>15</v>
      </c>
      <c r="I1404" s="4" t="s">
        <v>1799</v>
      </c>
      <c r="J1404" s="4" t="s">
        <v>1800</v>
      </c>
      <c r="K1404" s="4" t="s">
        <v>52</v>
      </c>
      <c r="L1404" s="4" t="s">
        <v>3743</v>
      </c>
      <c r="M1404" s="4" t="s">
        <v>3746</v>
      </c>
      <c r="N1404" s="4" t="s">
        <v>3747</v>
      </c>
      <c r="O1404" s="17">
        <f>INDEX('список ID из СУЭ с должностями'!$A:$F,MATCH(E1404,'список ID из СУЭ с должностями'!$B:$B,0),5)</f>
        <v>0</v>
      </c>
    </row>
    <row r="1405" spans="1:15" ht="195">
      <c r="A1405" s="3" t="s">
        <v>10</v>
      </c>
      <c r="B1405" s="3" t="s">
        <v>11</v>
      </c>
      <c r="C1405" s="4">
        <v>2026</v>
      </c>
      <c r="D1405" s="5" t="s">
        <v>12</v>
      </c>
      <c r="E1405" s="4">
        <v>197</v>
      </c>
      <c r="F1405" s="4" t="s">
        <v>1557</v>
      </c>
      <c r="G1405" s="4" t="s">
        <v>1554</v>
      </c>
      <c r="H1405" s="4" t="s">
        <v>41</v>
      </c>
      <c r="I1405" s="4" t="s">
        <v>1801</v>
      </c>
      <c r="J1405" s="4" t="s">
        <v>1802</v>
      </c>
      <c r="K1405" s="4" t="s">
        <v>25</v>
      </c>
      <c r="L1405" s="4" t="s">
        <v>3743</v>
      </c>
      <c r="M1405" s="4" t="s">
        <v>3746</v>
      </c>
      <c r="N1405" s="4" t="s">
        <v>3747</v>
      </c>
      <c r="O1405" s="17">
        <f>INDEX('список ID из СУЭ с должностями'!$A:$F,MATCH(E1405,'список ID из СУЭ с должностями'!$B:$B,0),5)</f>
        <v>0</v>
      </c>
    </row>
    <row r="1406" spans="1:15" ht="60">
      <c r="A1406" s="3" t="s">
        <v>10</v>
      </c>
      <c r="B1406" s="3" t="s">
        <v>11</v>
      </c>
      <c r="C1406" s="4">
        <v>2026</v>
      </c>
      <c r="D1406" s="5" t="s">
        <v>12</v>
      </c>
      <c r="E1406" s="4">
        <v>197</v>
      </c>
      <c r="F1406" s="4" t="s">
        <v>1557</v>
      </c>
      <c r="G1406" s="4" t="s">
        <v>1554</v>
      </c>
      <c r="H1406" s="4" t="s">
        <v>15</v>
      </c>
      <c r="I1406" s="4" t="s">
        <v>956</v>
      </c>
      <c r="J1406" s="4" t="s">
        <v>957</v>
      </c>
      <c r="K1406" s="4" t="s">
        <v>35</v>
      </c>
      <c r="L1406" s="4" t="s">
        <v>3742</v>
      </c>
      <c r="M1406" s="4" t="s">
        <v>3746</v>
      </c>
      <c r="N1406" s="4" t="s">
        <v>3747</v>
      </c>
      <c r="O1406" s="17">
        <f>INDEX('список ID из СУЭ с должностями'!$A:$F,MATCH(E1406,'список ID из СУЭ с должностями'!$B:$B,0),5)</f>
        <v>0</v>
      </c>
    </row>
    <row r="1407" spans="1:15" ht="60">
      <c r="A1407" s="3" t="s">
        <v>10</v>
      </c>
      <c r="B1407" s="3" t="s">
        <v>11</v>
      </c>
      <c r="C1407" s="4">
        <v>2026</v>
      </c>
      <c r="D1407" s="5" t="s">
        <v>12</v>
      </c>
      <c r="E1407" s="4">
        <v>197</v>
      </c>
      <c r="F1407" s="4" t="s">
        <v>1557</v>
      </c>
      <c r="G1407" s="4" t="s">
        <v>1554</v>
      </c>
      <c r="H1407" s="4" t="s">
        <v>15</v>
      </c>
      <c r="I1407" s="4" t="s">
        <v>1803</v>
      </c>
      <c r="J1407" s="4" t="s">
        <v>1804</v>
      </c>
      <c r="K1407" s="4" t="s">
        <v>52</v>
      </c>
      <c r="L1407" s="4" t="s">
        <v>3743</v>
      </c>
      <c r="M1407" s="4" t="s">
        <v>3746</v>
      </c>
      <c r="N1407" s="4" t="s">
        <v>3747</v>
      </c>
      <c r="O1407" s="17">
        <f>INDEX('список ID из СУЭ с должностями'!$A:$F,MATCH(E1407,'список ID из СУЭ с должностями'!$B:$B,0),5)</f>
        <v>0</v>
      </c>
    </row>
    <row r="1408" spans="1:15" ht="60">
      <c r="A1408" s="3" t="s">
        <v>10</v>
      </c>
      <c r="B1408" s="3" t="s">
        <v>11</v>
      </c>
      <c r="C1408" s="4">
        <v>2026</v>
      </c>
      <c r="D1408" s="5" t="s">
        <v>12</v>
      </c>
      <c r="E1408" s="4">
        <v>197</v>
      </c>
      <c r="F1408" s="4" t="s">
        <v>1557</v>
      </c>
      <c r="G1408" s="4" t="s">
        <v>1554</v>
      </c>
      <c r="H1408" s="4" t="s">
        <v>15</v>
      </c>
      <c r="I1408" s="4" t="s">
        <v>1805</v>
      </c>
      <c r="J1408" s="4" t="s">
        <v>1806</v>
      </c>
      <c r="K1408" s="4" t="s">
        <v>188</v>
      </c>
      <c r="L1408" s="4" t="s">
        <v>3743</v>
      </c>
      <c r="M1408" s="4" t="s">
        <v>3746</v>
      </c>
      <c r="N1408" s="4" t="s">
        <v>3747</v>
      </c>
      <c r="O1408" s="17">
        <f>INDEX('список ID из СУЭ с должностями'!$A:$F,MATCH(E1408,'список ID из СУЭ с должностями'!$B:$B,0),5)</f>
        <v>0</v>
      </c>
    </row>
    <row r="1409" spans="1:15" ht="60">
      <c r="A1409" s="3" t="s">
        <v>10</v>
      </c>
      <c r="B1409" s="3" t="s">
        <v>11</v>
      </c>
      <c r="C1409" s="4">
        <v>2026</v>
      </c>
      <c r="D1409" s="5" t="s">
        <v>12</v>
      </c>
      <c r="E1409" s="4">
        <v>197</v>
      </c>
      <c r="F1409" s="4" t="s">
        <v>1557</v>
      </c>
      <c r="G1409" s="4" t="s">
        <v>1554</v>
      </c>
      <c r="H1409" s="4" t="s">
        <v>15</v>
      </c>
      <c r="I1409" s="4" t="s">
        <v>401</v>
      </c>
      <c r="J1409" s="4" t="s">
        <v>402</v>
      </c>
      <c r="K1409" s="4" t="s">
        <v>66</v>
      </c>
      <c r="L1409" s="4" t="s">
        <v>3742</v>
      </c>
      <c r="M1409" s="4" t="s">
        <v>3746</v>
      </c>
      <c r="N1409" s="4" t="s">
        <v>3747</v>
      </c>
      <c r="O1409" s="17">
        <f>INDEX('список ID из СУЭ с должностями'!$A:$F,MATCH(E1409,'список ID из СУЭ с должностями'!$B:$B,0),5)</f>
        <v>0</v>
      </c>
    </row>
    <row r="1410" spans="1:15" ht="60">
      <c r="A1410" s="3" t="s">
        <v>10</v>
      </c>
      <c r="B1410" s="3" t="s">
        <v>11</v>
      </c>
      <c r="C1410" s="4">
        <v>2026</v>
      </c>
      <c r="D1410" s="5" t="s">
        <v>12</v>
      </c>
      <c r="E1410" s="4">
        <v>197</v>
      </c>
      <c r="F1410" s="4" t="s">
        <v>1557</v>
      </c>
      <c r="G1410" s="4" t="s">
        <v>1554</v>
      </c>
      <c r="H1410" s="4" t="s">
        <v>15</v>
      </c>
      <c r="I1410" s="4" t="s">
        <v>1807</v>
      </c>
      <c r="J1410" s="4" t="s">
        <v>1808</v>
      </c>
      <c r="K1410" s="4" t="s">
        <v>151</v>
      </c>
      <c r="L1410" s="4" t="s">
        <v>3742</v>
      </c>
      <c r="M1410" s="4" t="s">
        <v>3746</v>
      </c>
      <c r="N1410" s="4" t="s">
        <v>3747</v>
      </c>
      <c r="O1410" s="17">
        <f>INDEX('список ID из СУЭ с должностями'!$A:$F,MATCH(E1410,'список ID из СУЭ с должностями'!$B:$B,0),5)</f>
        <v>0</v>
      </c>
    </row>
    <row r="1411" spans="1:15" ht="60">
      <c r="A1411" s="3" t="s">
        <v>10</v>
      </c>
      <c r="B1411" s="3" t="s">
        <v>11</v>
      </c>
      <c r="C1411" s="4">
        <v>2026</v>
      </c>
      <c r="D1411" s="5" t="s">
        <v>12</v>
      </c>
      <c r="E1411" s="4">
        <v>197</v>
      </c>
      <c r="F1411" s="4" t="s">
        <v>1557</v>
      </c>
      <c r="G1411" s="4" t="s">
        <v>1554</v>
      </c>
      <c r="H1411" s="4" t="s">
        <v>15</v>
      </c>
      <c r="I1411" s="4" t="s">
        <v>1809</v>
      </c>
      <c r="J1411" s="4" t="s">
        <v>581</v>
      </c>
      <c r="K1411" s="4" t="s">
        <v>55</v>
      </c>
      <c r="L1411" s="4" t="s">
        <v>3742</v>
      </c>
      <c r="M1411" s="4" t="s">
        <v>3746</v>
      </c>
      <c r="N1411" s="4" t="s">
        <v>3747</v>
      </c>
      <c r="O1411" s="17">
        <f>INDEX('список ID из СУЭ с должностями'!$A:$F,MATCH(E1411,'список ID из СУЭ с должностями'!$B:$B,0),5)</f>
        <v>0</v>
      </c>
    </row>
    <row r="1412" spans="1:15" ht="75">
      <c r="A1412" s="3" t="s">
        <v>10</v>
      </c>
      <c r="B1412" s="3" t="s">
        <v>11</v>
      </c>
      <c r="C1412" s="4">
        <v>2026</v>
      </c>
      <c r="D1412" s="5" t="s">
        <v>12</v>
      </c>
      <c r="E1412" s="4">
        <v>198</v>
      </c>
      <c r="F1412" s="4" t="s">
        <v>385</v>
      </c>
      <c r="G1412" s="4" t="s">
        <v>477</v>
      </c>
      <c r="H1412" s="4" t="s">
        <v>15</v>
      </c>
      <c r="I1412" s="4" t="s">
        <v>1810</v>
      </c>
      <c r="J1412" s="4" t="s">
        <v>1811</v>
      </c>
      <c r="K1412" s="4" t="s">
        <v>30</v>
      </c>
      <c r="L1412" s="4" t="s">
        <v>3743</v>
      </c>
      <c r="M1412" s="4" t="s">
        <v>3746</v>
      </c>
      <c r="N1412" s="4" t="s">
        <v>3747</v>
      </c>
      <c r="O1412" s="17">
        <f>INDEX('список ID из СУЭ с должностями'!$A:$F,MATCH(E1412,'список ID из СУЭ с должностями'!$B:$B,0),5)</f>
        <v>0</v>
      </c>
    </row>
    <row r="1413" spans="1:15" ht="90">
      <c r="A1413" s="3" t="s">
        <v>10</v>
      </c>
      <c r="B1413" s="3" t="s">
        <v>11</v>
      </c>
      <c r="C1413" s="4">
        <v>2026</v>
      </c>
      <c r="D1413" s="5" t="s">
        <v>12</v>
      </c>
      <c r="E1413" s="4">
        <v>198</v>
      </c>
      <c r="F1413" s="4" t="s">
        <v>385</v>
      </c>
      <c r="G1413" s="4" t="s">
        <v>477</v>
      </c>
      <c r="H1413" s="4" t="s">
        <v>15</v>
      </c>
      <c r="I1413" s="4" t="s">
        <v>1812</v>
      </c>
      <c r="J1413" s="4" t="s">
        <v>1813</v>
      </c>
      <c r="K1413" s="4" t="s">
        <v>25</v>
      </c>
      <c r="L1413" s="4" t="s">
        <v>3743</v>
      </c>
      <c r="M1413" s="4" t="s">
        <v>3746</v>
      </c>
      <c r="N1413" s="4" t="s">
        <v>3747</v>
      </c>
      <c r="O1413" s="17">
        <f>INDEX('список ID из СУЭ с должностями'!$A:$F,MATCH(E1413,'список ID из СУЭ с должностями'!$B:$B,0),5)</f>
        <v>0</v>
      </c>
    </row>
    <row r="1414" spans="1:15" ht="75">
      <c r="A1414" s="3" t="s">
        <v>10</v>
      </c>
      <c r="B1414" s="3" t="s">
        <v>11</v>
      </c>
      <c r="C1414" s="4">
        <v>2026</v>
      </c>
      <c r="D1414" s="5" t="s">
        <v>12</v>
      </c>
      <c r="E1414" s="4">
        <v>198</v>
      </c>
      <c r="F1414" s="4" t="s">
        <v>385</v>
      </c>
      <c r="G1414" s="4" t="s">
        <v>477</v>
      </c>
      <c r="H1414" s="4" t="s">
        <v>15</v>
      </c>
      <c r="I1414" s="4" t="s">
        <v>865</v>
      </c>
      <c r="J1414" s="4" t="s">
        <v>1814</v>
      </c>
      <c r="K1414" s="4" t="s">
        <v>66</v>
      </c>
      <c r="L1414" s="4" t="s">
        <v>3743</v>
      </c>
      <c r="M1414" s="4" t="s">
        <v>3746</v>
      </c>
      <c r="N1414" s="4" t="s">
        <v>3747</v>
      </c>
      <c r="O1414" s="17">
        <f>INDEX('список ID из СУЭ с должностями'!$A:$F,MATCH(E1414,'список ID из СУЭ с должностями'!$B:$B,0),5)</f>
        <v>0</v>
      </c>
    </row>
    <row r="1415" spans="1:15" ht="75">
      <c r="A1415" s="3" t="s">
        <v>10</v>
      </c>
      <c r="B1415" s="3" t="s">
        <v>11</v>
      </c>
      <c r="C1415" s="4">
        <v>2026</v>
      </c>
      <c r="D1415" s="5" t="s">
        <v>12</v>
      </c>
      <c r="E1415" s="4">
        <v>198</v>
      </c>
      <c r="F1415" s="4" t="s">
        <v>385</v>
      </c>
      <c r="G1415" s="4" t="s">
        <v>477</v>
      </c>
      <c r="H1415" s="4" t="s">
        <v>15</v>
      </c>
      <c r="I1415" s="4" t="s">
        <v>1815</v>
      </c>
      <c r="J1415" s="4" t="s">
        <v>1816</v>
      </c>
      <c r="K1415" s="4" t="s">
        <v>1333</v>
      </c>
      <c r="L1415" s="4" t="s">
        <v>3743</v>
      </c>
      <c r="M1415" s="4" t="s">
        <v>3746</v>
      </c>
      <c r="N1415" s="4" t="s">
        <v>3754</v>
      </c>
      <c r="O1415" s="17">
        <f>INDEX('список ID из СУЭ с должностями'!$A:$F,MATCH(E1415,'список ID из СУЭ с должностями'!$B:$B,0),5)</f>
        <v>0</v>
      </c>
    </row>
    <row r="1416" spans="1:15" ht="75">
      <c r="A1416" s="3" t="s">
        <v>10</v>
      </c>
      <c r="B1416" s="3" t="s">
        <v>11</v>
      </c>
      <c r="C1416" s="4">
        <v>2026</v>
      </c>
      <c r="D1416" s="5" t="s">
        <v>12</v>
      </c>
      <c r="E1416" s="4">
        <v>198</v>
      </c>
      <c r="F1416" s="4" t="s">
        <v>385</v>
      </c>
      <c r="G1416" s="4" t="s">
        <v>477</v>
      </c>
      <c r="H1416" s="4" t="s">
        <v>15</v>
      </c>
      <c r="I1416" s="4" t="s">
        <v>1817</v>
      </c>
      <c r="J1416" s="4" t="s">
        <v>1818</v>
      </c>
      <c r="K1416" s="4" t="s">
        <v>1333</v>
      </c>
      <c r="L1416" s="4" t="s">
        <v>3742</v>
      </c>
      <c r="M1416" s="4" t="s">
        <v>3746</v>
      </c>
      <c r="N1416" s="4" t="s">
        <v>3754</v>
      </c>
      <c r="O1416" s="17">
        <f>INDEX('список ID из СУЭ с должностями'!$A:$F,MATCH(E1416,'список ID из СУЭ с должностями'!$B:$B,0),5)</f>
        <v>0</v>
      </c>
    </row>
    <row r="1417" spans="1:15" ht="75">
      <c r="A1417" s="3" t="s">
        <v>10</v>
      </c>
      <c r="B1417" s="3" t="s">
        <v>11</v>
      </c>
      <c r="C1417" s="4">
        <v>2026</v>
      </c>
      <c r="D1417" s="5" t="s">
        <v>12</v>
      </c>
      <c r="E1417" s="4">
        <v>198</v>
      </c>
      <c r="F1417" s="4" t="s">
        <v>385</v>
      </c>
      <c r="G1417" s="4" t="s">
        <v>477</v>
      </c>
      <c r="H1417" s="4" t="s">
        <v>15</v>
      </c>
      <c r="I1417" s="4" t="s">
        <v>861</v>
      </c>
      <c r="J1417" s="4" t="s">
        <v>1819</v>
      </c>
      <c r="K1417" s="4" t="s">
        <v>1333</v>
      </c>
      <c r="L1417" s="4" t="s">
        <v>3743</v>
      </c>
      <c r="M1417" s="4" t="s">
        <v>3746</v>
      </c>
      <c r="N1417" s="4" t="s">
        <v>3754</v>
      </c>
      <c r="O1417" s="17">
        <f>INDEX('список ID из СУЭ с должностями'!$A:$F,MATCH(E1417,'список ID из СУЭ с должностями'!$B:$B,0),5)</f>
        <v>0</v>
      </c>
    </row>
    <row r="1418" spans="1:15" ht="135">
      <c r="A1418" s="3" t="s">
        <v>10</v>
      </c>
      <c r="B1418" s="3" t="s">
        <v>11</v>
      </c>
      <c r="C1418" s="4">
        <v>2026</v>
      </c>
      <c r="D1418" s="5" t="s">
        <v>12</v>
      </c>
      <c r="E1418" s="4">
        <v>198</v>
      </c>
      <c r="F1418" s="4" t="s">
        <v>385</v>
      </c>
      <c r="G1418" s="4" t="s">
        <v>477</v>
      </c>
      <c r="H1418" s="4" t="s">
        <v>15</v>
      </c>
      <c r="I1418" s="4" t="s">
        <v>1820</v>
      </c>
      <c r="J1418" s="4" t="s">
        <v>1821</v>
      </c>
      <c r="K1418" s="4" t="s">
        <v>1333</v>
      </c>
      <c r="L1418" s="4" t="s">
        <v>3743</v>
      </c>
      <c r="M1418" s="4" t="s">
        <v>3746</v>
      </c>
      <c r="N1418" s="4" t="s">
        <v>3754</v>
      </c>
      <c r="O1418" s="17">
        <f>INDEX('список ID из СУЭ с должностями'!$A:$F,MATCH(E1418,'список ID из СУЭ с должностями'!$B:$B,0),5)</f>
        <v>0</v>
      </c>
    </row>
    <row r="1419" spans="1:15" ht="135">
      <c r="A1419" s="3" t="s">
        <v>10</v>
      </c>
      <c r="B1419" s="3" t="s">
        <v>11</v>
      </c>
      <c r="C1419" s="4">
        <v>2026</v>
      </c>
      <c r="D1419" s="5" t="s">
        <v>12</v>
      </c>
      <c r="E1419" s="4">
        <v>199</v>
      </c>
      <c r="F1419" s="4" t="s">
        <v>454</v>
      </c>
      <c r="G1419" s="4" t="s">
        <v>1822</v>
      </c>
      <c r="H1419" s="4" t="s">
        <v>15</v>
      </c>
      <c r="I1419" s="4" t="s">
        <v>806</v>
      </c>
      <c r="J1419" s="4" t="s">
        <v>807</v>
      </c>
      <c r="K1419" s="4" t="s">
        <v>38</v>
      </c>
      <c r="L1419" s="4" t="s">
        <v>3743</v>
      </c>
      <c r="M1419" s="4" t="s">
        <v>3746</v>
      </c>
      <c r="N1419" s="4" t="s">
        <v>3747</v>
      </c>
      <c r="O1419" s="17">
        <f>INDEX('список ID из СУЭ с должностями'!$A:$F,MATCH(E1419,'список ID из СУЭ с должностями'!$B:$B,0),5)</f>
        <v>0</v>
      </c>
    </row>
    <row r="1420" spans="1:15" ht="135">
      <c r="A1420" s="3" t="s">
        <v>10</v>
      </c>
      <c r="B1420" s="3" t="s">
        <v>11</v>
      </c>
      <c r="C1420" s="4">
        <v>2026</v>
      </c>
      <c r="D1420" s="5" t="s">
        <v>12</v>
      </c>
      <c r="E1420" s="4">
        <v>199</v>
      </c>
      <c r="F1420" s="4" t="s">
        <v>454</v>
      </c>
      <c r="G1420" s="4" t="s">
        <v>1822</v>
      </c>
      <c r="H1420" s="4" t="s">
        <v>15</v>
      </c>
      <c r="I1420" s="4" t="s">
        <v>855</v>
      </c>
      <c r="J1420" s="4" t="s">
        <v>1823</v>
      </c>
      <c r="K1420" s="4" t="s">
        <v>66</v>
      </c>
      <c r="L1420" s="4" t="s">
        <v>3743</v>
      </c>
      <c r="M1420" s="4" t="s">
        <v>3746</v>
      </c>
      <c r="N1420" s="4" t="s">
        <v>3747</v>
      </c>
      <c r="O1420" s="17">
        <f>INDEX('список ID из СУЭ с должностями'!$A:$F,MATCH(E1420,'список ID из СУЭ с должностями'!$B:$B,0),5)</f>
        <v>0</v>
      </c>
    </row>
    <row r="1421" spans="1:15" ht="210">
      <c r="A1421" s="3" t="s">
        <v>10</v>
      </c>
      <c r="B1421" s="3" t="s">
        <v>11</v>
      </c>
      <c r="C1421" s="4">
        <v>2026</v>
      </c>
      <c r="D1421" s="5" t="s">
        <v>12</v>
      </c>
      <c r="E1421" s="4">
        <v>199</v>
      </c>
      <c r="F1421" s="4" t="s">
        <v>454</v>
      </c>
      <c r="G1421" s="4" t="s">
        <v>1822</v>
      </c>
      <c r="H1421" s="4" t="s">
        <v>15</v>
      </c>
      <c r="I1421" s="4" t="s">
        <v>147</v>
      </c>
      <c r="J1421" s="4" t="s">
        <v>1824</v>
      </c>
      <c r="K1421" s="4" t="s">
        <v>35</v>
      </c>
      <c r="L1421" s="4" t="s">
        <v>3743</v>
      </c>
      <c r="M1421" s="4" t="s">
        <v>3746</v>
      </c>
      <c r="N1421" s="4" t="s">
        <v>3747</v>
      </c>
      <c r="O1421" s="17">
        <f>INDEX('список ID из СУЭ с должностями'!$A:$F,MATCH(E1421,'список ID из СУЭ с должностями'!$B:$B,0),5)</f>
        <v>0</v>
      </c>
    </row>
    <row r="1422" spans="1:15" ht="135">
      <c r="A1422" s="3" t="s">
        <v>10</v>
      </c>
      <c r="B1422" s="3" t="s">
        <v>11</v>
      </c>
      <c r="C1422" s="4">
        <v>2026</v>
      </c>
      <c r="D1422" s="5" t="s">
        <v>12</v>
      </c>
      <c r="E1422" s="4">
        <v>199</v>
      </c>
      <c r="F1422" s="4" t="s">
        <v>454</v>
      </c>
      <c r="G1422" s="4" t="s">
        <v>1822</v>
      </c>
      <c r="H1422" s="4" t="s">
        <v>15</v>
      </c>
      <c r="I1422" s="4" t="s">
        <v>149</v>
      </c>
      <c r="J1422" s="4" t="s">
        <v>1825</v>
      </c>
      <c r="K1422" s="4" t="s">
        <v>52</v>
      </c>
      <c r="L1422" s="4" t="s">
        <v>3743</v>
      </c>
      <c r="M1422" s="4" t="s">
        <v>3746</v>
      </c>
      <c r="N1422" s="4" t="s">
        <v>3747</v>
      </c>
      <c r="O1422" s="17">
        <f>INDEX('список ID из СУЭ с должностями'!$A:$F,MATCH(E1422,'список ID из СУЭ с должностями'!$B:$B,0),5)</f>
        <v>0</v>
      </c>
    </row>
    <row r="1423" spans="1:15" ht="225">
      <c r="A1423" s="3" t="s">
        <v>10</v>
      </c>
      <c r="B1423" s="3" t="s">
        <v>11</v>
      </c>
      <c r="C1423" s="4">
        <v>2026</v>
      </c>
      <c r="D1423" s="5" t="s">
        <v>12</v>
      </c>
      <c r="E1423" s="4">
        <v>199</v>
      </c>
      <c r="F1423" s="4" t="s">
        <v>454</v>
      </c>
      <c r="G1423" s="4" t="s">
        <v>1822</v>
      </c>
      <c r="H1423" s="4" t="s">
        <v>15</v>
      </c>
      <c r="I1423" s="4" t="s">
        <v>303</v>
      </c>
      <c r="J1423" s="4" t="s">
        <v>1826</v>
      </c>
      <c r="K1423" s="4" t="s">
        <v>52</v>
      </c>
      <c r="L1423" s="4" t="s">
        <v>3743</v>
      </c>
      <c r="M1423" s="4" t="s">
        <v>3746</v>
      </c>
      <c r="N1423" s="4" t="s">
        <v>3747</v>
      </c>
      <c r="O1423" s="17">
        <f>INDEX('список ID из СУЭ с должностями'!$A:$F,MATCH(E1423,'список ID из СУЭ с должностями'!$B:$B,0),5)</f>
        <v>0</v>
      </c>
    </row>
    <row r="1424" spans="1:15" ht="180">
      <c r="A1424" s="3" t="s">
        <v>10</v>
      </c>
      <c r="B1424" s="3" t="s">
        <v>11</v>
      </c>
      <c r="C1424" s="4">
        <v>2026</v>
      </c>
      <c r="D1424" s="5" t="s">
        <v>12</v>
      </c>
      <c r="E1424" s="4">
        <v>200</v>
      </c>
      <c r="F1424" s="4" t="s">
        <v>316</v>
      </c>
      <c r="G1424" s="4" t="s">
        <v>320</v>
      </c>
      <c r="H1424" s="4" t="s">
        <v>15</v>
      </c>
      <c r="I1424" s="4" t="s">
        <v>1787</v>
      </c>
      <c r="J1424" s="4" t="s">
        <v>1788</v>
      </c>
      <c r="K1424" s="4" t="s">
        <v>55</v>
      </c>
      <c r="L1424" s="4" t="s">
        <v>3743</v>
      </c>
      <c r="M1424" s="4" t="s">
        <v>3746</v>
      </c>
      <c r="N1424" s="4" t="s">
        <v>3747</v>
      </c>
      <c r="O1424" s="17">
        <f>INDEX('список ID из СУЭ с должностями'!$A:$F,MATCH(E1424,'список ID из СУЭ с должностями'!$B:$B,0),5)</f>
        <v>0</v>
      </c>
    </row>
    <row r="1425" spans="1:15" ht="105">
      <c r="A1425" s="3" t="s">
        <v>10</v>
      </c>
      <c r="B1425" s="3" t="s">
        <v>11</v>
      </c>
      <c r="C1425" s="4">
        <v>2026</v>
      </c>
      <c r="D1425" s="5" t="s">
        <v>12</v>
      </c>
      <c r="E1425" s="4">
        <v>200</v>
      </c>
      <c r="F1425" s="4" t="s">
        <v>316</v>
      </c>
      <c r="G1425" s="4" t="s">
        <v>320</v>
      </c>
      <c r="H1425" s="4" t="s">
        <v>15</v>
      </c>
      <c r="I1425" s="4" t="s">
        <v>1789</v>
      </c>
      <c r="J1425" s="4" t="s">
        <v>1790</v>
      </c>
      <c r="K1425" s="4" t="s">
        <v>55</v>
      </c>
      <c r="L1425" s="4" t="s">
        <v>3743</v>
      </c>
      <c r="M1425" s="4" t="s">
        <v>3746</v>
      </c>
      <c r="N1425" s="4" t="s">
        <v>3747</v>
      </c>
      <c r="O1425" s="17">
        <f>INDEX('список ID из СУЭ с должностями'!$A:$F,MATCH(E1425,'список ID из СУЭ с должностями'!$B:$B,0),5)</f>
        <v>0</v>
      </c>
    </row>
    <row r="1426" spans="1:15" ht="135">
      <c r="A1426" s="3" t="s">
        <v>10</v>
      </c>
      <c r="B1426" s="3" t="s">
        <v>11</v>
      </c>
      <c r="C1426" s="4">
        <v>2026</v>
      </c>
      <c r="D1426" s="5" t="s">
        <v>12</v>
      </c>
      <c r="E1426" s="4">
        <v>200</v>
      </c>
      <c r="F1426" s="4" t="s">
        <v>316</v>
      </c>
      <c r="G1426" s="4" t="s">
        <v>320</v>
      </c>
      <c r="H1426" s="4" t="s">
        <v>15</v>
      </c>
      <c r="I1426" s="4" t="s">
        <v>1792</v>
      </c>
      <c r="J1426" s="4" t="s">
        <v>1793</v>
      </c>
      <c r="K1426" s="4" t="s">
        <v>30</v>
      </c>
      <c r="L1426" s="4" t="s">
        <v>3743</v>
      </c>
      <c r="M1426" s="4" t="s">
        <v>3746</v>
      </c>
      <c r="N1426" s="4" t="s">
        <v>3747</v>
      </c>
      <c r="O1426" s="17">
        <f>INDEX('список ID из СУЭ с должностями'!$A:$F,MATCH(E1426,'список ID из СУЭ с должностями'!$B:$B,0),5)</f>
        <v>0</v>
      </c>
    </row>
    <row r="1427" spans="1:15" ht="180">
      <c r="A1427" s="3" t="s">
        <v>10</v>
      </c>
      <c r="B1427" s="3" t="s">
        <v>11</v>
      </c>
      <c r="C1427" s="4">
        <v>2026</v>
      </c>
      <c r="D1427" s="5" t="s">
        <v>12</v>
      </c>
      <c r="E1427" s="4">
        <v>200</v>
      </c>
      <c r="F1427" s="4" t="s">
        <v>316</v>
      </c>
      <c r="G1427" s="4" t="s">
        <v>320</v>
      </c>
      <c r="H1427" s="4" t="s">
        <v>15</v>
      </c>
      <c r="I1427" s="4" t="s">
        <v>1794</v>
      </c>
      <c r="J1427" s="4" t="s">
        <v>1795</v>
      </c>
      <c r="K1427" s="4" t="s">
        <v>66</v>
      </c>
      <c r="L1427" s="4" t="s">
        <v>3743</v>
      </c>
      <c r="M1427" s="4" t="s">
        <v>3746</v>
      </c>
      <c r="N1427" s="4" t="s">
        <v>3747</v>
      </c>
      <c r="O1427" s="17">
        <f>INDEX('список ID из СУЭ с должностями'!$A:$F,MATCH(E1427,'список ID из СУЭ с должностями'!$B:$B,0),5)</f>
        <v>0</v>
      </c>
    </row>
    <row r="1428" spans="1:15" ht="105">
      <c r="A1428" s="3" t="s">
        <v>10</v>
      </c>
      <c r="B1428" s="3" t="s">
        <v>11</v>
      </c>
      <c r="C1428" s="4">
        <v>2026</v>
      </c>
      <c r="D1428" s="5" t="s">
        <v>12</v>
      </c>
      <c r="E1428" s="4">
        <v>200</v>
      </c>
      <c r="F1428" s="4" t="s">
        <v>316</v>
      </c>
      <c r="G1428" s="4" t="s">
        <v>320</v>
      </c>
      <c r="H1428" s="4" t="s">
        <v>15</v>
      </c>
      <c r="I1428" s="4" t="s">
        <v>325</v>
      </c>
      <c r="J1428" s="4" t="s">
        <v>1797</v>
      </c>
      <c r="K1428" s="4" t="s">
        <v>35</v>
      </c>
      <c r="L1428" s="4" t="s">
        <v>3743</v>
      </c>
      <c r="M1428" s="4" t="s">
        <v>3746</v>
      </c>
      <c r="N1428" s="4" t="s">
        <v>3747</v>
      </c>
      <c r="O1428" s="17">
        <f>INDEX('список ID из СУЭ с должностями'!$A:$F,MATCH(E1428,'список ID из СУЭ с должностями'!$B:$B,0),5)</f>
        <v>0</v>
      </c>
    </row>
    <row r="1429" spans="1:15" ht="105">
      <c r="A1429" s="3" t="s">
        <v>10</v>
      </c>
      <c r="B1429" s="3" t="s">
        <v>11</v>
      </c>
      <c r="C1429" s="4">
        <v>2026</v>
      </c>
      <c r="D1429" s="5" t="s">
        <v>12</v>
      </c>
      <c r="E1429" s="4">
        <v>200</v>
      </c>
      <c r="F1429" s="4" t="s">
        <v>316</v>
      </c>
      <c r="G1429" s="4" t="s">
        <v>320</v>
      </c>
      <c r="H1429" s="4" t="s">
        <v>15</v>
      </c>
      <c r="I1429" s="4" t="s">
        <v>28</v>
      </c>
      <c r="J1429" s="4" t="s">
        <v>1791</v>
      </c>
      <c r="K1429" s="4" t="s">
        <v>55</v>
      </c>
      <c r="L1429" s="4" t="s">
        <v>3743</v>
      </c>
      <c r="M1429" s="4" t="s">
        <v>3746</v>
      </c>
      <c r="N1429" s="4" t="s">
        <v>3747</v>
      </c>
      <c r="O1429" s="17">
        <f>INDEX('список ID из СУЭ с должностями'!$A:$F,MATCH(E1429,'список ID из СУЭ с должностями'!$B:$B,0),5)</f>
        <v>0</v>
      </c>
    </row>
    <row r="1430" spans="1:15" ht="120">
      <c r="A1430" s="3" t="s">
        <v>10</v>
      </c>
      <c r="B1430" s="3" t="s">
        <v>11</v>
      </c>
      <c r="C1430" s="4">
        <v>2026</v>
      </c>
      <c r="D1430" s="5" t="s">
        <v>12</v>
      </c>
      <c r="E1430" s="4">
        <v>200</v>
      </c>
      <c r="F1430" s="4" t="s">
        <v>316</v>
      </c>
      <c r="G1430" s="4" t="s">
        <v>320</v>
      </c>
      <c r="H1430" s="4" t="s">
        <v>15</v>
      </c>
      <c r="I1430" s="4" t="s">
        <v>318</v>
      </c>
      <c r="J1430" s="4" t="s">
        <v>1798</v>
      </c>
      <c r="K1430" s="4" t="s">
        <v>25</v>
      </c>
      <c r="L1430" s="4" t="s">
        <v>3743</v>
      </c>
      <c r="M1430" s="4" t="s">
        <v>3746</v>
      </c>
      <c r="N1430" s="4" t="s">
        <v>3747</v>
      </c>
      <c r="O1430" s="17">
        <f>INDEX('список ID из СУЭ с должностями'!$A:$F,MATCH(E1430,'список ID из СУЭ с должностями'!$B:$B,0),5)</f>
        <v>0</v>
      </c>
    </row>
    <row r="1431" spans="1:15" ht="105">
      <c r="A1431" s="3" t="s">
        <v>10</v>
      </c>
      <c r="B1431" s="3" t="s">
        <v>11</v>
      </c>
      <c r="C1431" s="4">
        <v>2026</v>
      </c>
      <c r="D1431" s="5" t="s">
        <v>12</v>
      </c>
      <c r="E1431" s="4">
        <v>200</v>
      </c>
      <c r="F1431" s="4" t="s">
        <v>316</v>
      </c>
      <c r="G1431" s="4" t="s">
        <v>320</v>
      </c>
      <c r="H1431" s="4" t="s">
        <v>15</v>
      </c>
      <c r="I1431" s="4" t="s">
        <v>352</v>
      </c>
      <c r="J1431" s="4" t="s">
        <v>79</v>
      </c>
      <c r="K1431" s="4" t="s">
        <v>25</v>
      </c>
      <c r="L1431" s="4" t="s">
        <v>3742</v>
      </c>
      <c r="M1431" s="4" t="s">
        <v>3746</v>
      </c>
      <c r="N1431" s="4" t="s">
        <v>3747</v>
      </c>
      <c r="O1431" s="17">
        <f>INDEX('список ID из СУЭ с должностями'!$A:$F,MATCH(E1431,'список ID из СУЭ с должностями'!$B:$B,0),5)</f>
        <v>0</v>
      </c>
    </row>
    <row r="1432" spans="1:15" ht="345">
      <c r="A1432" s="3" t="s">
        <v>10</v>
      </c>
      <c r="B1432" s="3" t="s">
        <v>11</v>
      </c>
      <c r="C1432" s="4">
        <v>2026</v>
      </c>
      <c r="D1432" s="5" t="s">
        <v>12</v>
      </c>
      <c r="E1432" s="4">
        <v>200</v>
      </c>
      <c r="F1432" s="4" t="s">
        <v>316</v>
      </c>
      <c r="G1432" s="4" t="s">
        <v>320</v>
      </c>
      <c r="H1432" s="4" t="s">
        <v>15</v>
      </c>
      <c r="I1432" s="4" t="s">
        <v>323</v>
      </c>
      <c r="J1432" s="4" t="s">
        <v>1796</v>
      </c>
      <c r="K1432" s="4" t="s">
        <v>30</v>
      </c>
      <c r="L1432" s="4" t="s">
        <v>3743</v>
      </c>
      <c r="M1432" s="4" t="s">
        <v>3746</v>
      </c>
      <c r="N1432" s="4" t="s">
        <v>3747</v>
      </c>
      <c r="O1432" s="17">
        <f>INDEX('список ID из СУЭ с должностями'!$A:$F,MATCH(E1432,'список ID из СУЭ с должностями'!$B:$B,0),5)</f>
        <v>0</v>
      </c>
    </row>
    <row r="1433" spans="1:15" ht="330">
      <c r="A1433" s="3" t="s">
        <v>10</v>
      </c>
      <c r="B1433" s="3" t="s">
        <v>11</v>
      </c>
      <c r="C1433" s="4">
        <v>2026</v>
      </c>
      <c r="D1433" s="5" t="s">
        <v>12</v>
      </c>
      <c r="E1433" s="4">
        <v>201</v>
      </c>
      <c r="F1433" s="4" t="s">
        <v>67</v>
      </c>
      <c r="G1433" s="4" t="s">
        <v>459</v>
      </c>
      <c r="H1433" s="4" t="s">
        <v>15</v>
      </c>
      <c r="I1433" s="4" t="s">
        <v>1002</v>
      </c>
      <c r="J1433" s="4" t="s">
        <v>1003</v>
      </c>
      <c r="K1433" s="4" t="s">
        <v>35</v>
      </c>
      <c r="L1433" s="4" t="s">
        <v>3743</v>
      </c>
      <c r="M1433" s="4" t="s">
        <v>3746</v>
      </c>
      <c r="N1433" s="4" t="s">
        <v>3747</v>
      </c>
      <c r="O1433" s="17">
        <f>INDEX('список ID из СУЭ с должностями'!$A:$F,MATCH(E1433,'список ID из СУЭ с должностями'!$B:$B,0),5)</f>
        <v>0</v>
      </c>
    </row>
    <row r="1434" spans="1:15" ht="180">
      <c r="A1434" s="3" t="s">
        <v>10</v>
      </c>
      <c r="B1434" s="3" t="s">
        <v>11</v>
      </c>
      <c r="C1434" s="4">
        <v>2026</v>
      </c>
      <c r="D1434" s="5" t="s">
        <v>12</v>
      </c>
      <c r="E1434" s="4">
        <v>201</v>
      </c>
      <c r="F1434" s="4" t="s">
        <v>67</v>
      </c>
      <c r="G1434" s="4" t="s">
        <v>459</v>
      </c>
      <c r="H1434" s="4" t="s">
        <v>15</v>
      </c>
      <c r="I1434" s="4" t="s">
        <v>791</v>
      </c>
      <c r="J1434" s="4" t="s">
        <v>1005</v>
      </c>
      <c r="K1434" s="4" t="s">
        <v>30</v>
      </c>
      <c r="L1434" s="4" t="s">
        <v>3743</v>
      </c>
      <c r="M1434" s="4" t="s">
        <v>3746</v>
      </c>
      <c r="N1434" s="4" t="s">
        <v>3747</v>
      </c>
      <c r="O1434" s="17">
        <f>INDEX('список ID из СУЭ с должностями'!$A:$F,MATCH(E1434,'список ID из СУЭ с должностями'!$B:$B,0),5)</f>
        <v>0</v>
      </c>
    </row>
    <row r="1435" spans="1:15" ht="409.5">
      <c r="A1435" s="3" t="s">
        <v>10</v>
      </c>
      <c r="B1435" s="3" t="s">
        <v>11</v>
      </c>
      <c r="C1435" s="4">
        <v>2026</v>
      </c>
      <c r="D1435" s="5" t="s">
        <v>12</v>
      </c>
      <c r="E1435" s="4">
        <v>201</v>
      </c>
      <c r="F1435" s="4" t="s">
        <v>67</v>
      </c>
      <c r="G1435" s="4" t="s">
        <v>459</v>
      </c>
      <c r="H1435" s="4" t="s">
        <v>15</v>
      </c>
      <c r="I1435" s="4" t="s">
        <v>460</v>
      </c>
      <c r="J1435" s="4" t="s">
        <v>1006</v>
      </c>
      <c r="K1435" s="4" t="s">
        <v>38</v>
      </c>
      <c r="L1435" s="4" t="s">
        <v>3743</v>
      </c>
      <c r="M1435" s="4" t="s">
        <v>3746</v>
      </c>
      <c r="N1435" s="4" t="s">
        <v>3747</v>
      </c>
      <c r="O1435" s="17">
        <f>INDEX('список ID из СУЭ с должностями'!$A:$F,MATCH(E1435,'список ID из СУЭ с должностями'!$B:$B,0),5)</f>
        <v>0</v>
      </c>
    </row>
    <row r="1436" spans="1:15" ht="165">
      <c r="A1436" s="3" t="s">
        <v>10</v>
      </c>
      <c r="B1436" s="3" t="s">
        <v>11</v>
      </c>
      <c r="C1436" s="4">
        <v>2026</v>
      </c>
      <c r="D1436" s="5" t="s">
        <v>12</v>
      </c>
      <c r="E1436" s="4">
        <v>201</v>
      </c>
      <c r="F1436" s="4" t="s">
        <v>67</v>
      </c>
      <c r="G1436" s="4" t="s">
        <v>459</v>
      </c>
      <c r="H1436" s="4" t="s">
        <v>15</v>
      </c>
      <c r="I1436" s="4" t="s">
        <v>303</v>
      </c>
      <c r="J1436" s="4" t="s">
        <v>1007</v>
      </c>
      <c r="K1436" s="4" t="s">
        <v>30</v>
      </c>
      <c r="L1436" s="4" t="s">
        <v>3743</v>
      </c>
      <c r="M1436" s="4" t="s">
        <v>3746</v>
      </c>
      <c r="N1436" s="4" t="s">
        <v>3747</v>
      </c>
      <c r="O1436" s="17">
        <f>INDEX('список ID из СУЭ с должностями'!$A:$F,MATCH(E1436,'список ID из СУЭ с должностями'!$B:$B,0),5)</f>
        <v>0</v>
      </c>
    </row>
    <row r="1437" spans="1:15" ht="135">
      <c r="A1437" s="3" t="s">
        <v>10</v>
      </c>
      <c r="B1437" s="3" t="s">
        <v>11</v>
      </c>
      <c r="C1437" s="4">
        <v>2026</v>
      </c>
      <c r="D1437" s="5" t="s">
        <v>12</v>
      </c>
      <c r="E1437" s="4">
        <v>201</v>
      </c>
      <c r="F1437" s="4" t="s">
        <v>67</v>
      </c>
      <c r="G1437" s="4" t="s">
        <v>459</v>
      </c>
      <c r="H1437" s="4" t="s">
        <v>15</v>
      </c>
      <c r="I1437" s="4" t="s">
        <v>149</v>
      </c>
      <c r="J1437" s="4" t="s">
        <v>1008</v>
      </c>
      <c r="K1437" s="4" t="s">
        <v>55</v>
      </c>
      <c r="L1437" s="4" t="s">
        <v>3743</v>
      </c>
      <c r="M1437" s="4" t="s">
        <v>3746</v>
      </c>
      <c r="N1437" s="4" t="s">
        <v>3747</v>
      </c>
      <c r="O1437" s="17">
        <f>INDEX('список ID из СУЭ с должностями'!$A:$F,MATCH(E1437,'список ID из СУЭ с должностями'!$B:$B,0),5)</f>
        <v>0</v>
      </c>
    </row>
    <row r="1438" spans="1:15" ht="105">
      <c r="A1438" s="3" t="s">
        <v>10</v>
      </c>
      <c r="B1438" s="3" t="s">
        <v>11</v>
      </c>
      <c r="C1438" s="4">
        <v>2026</v>
      </c>
      <c r="D1438" s="5" t="s">
        <v>12</v>
      </c>
      <c r="E1438" s="4">
        <v>201</v>
      </c>
      <c r="F1438" s="4" t="s">
        <v>67</v>
      </c>
      <c r="G1438" s="4" t="s">
        <v>459</v>
      </c>
      <c r="H1438" s="4" t="s">
        <v>15</v>
      </c>
      <c r="I1438" s="4" t="s">
        <v>1009</v>
      </c>
      <c r="J1438" s="4" t="s">
        <v>1010</v>
      </c>
      <c r="K1438" s="4" t="s">
        <v>66</v>
      </c>
      <c r="L1438" s="4" t="s">
        <v>3742</v>
      </c>
      <c r="M1438" s="4" t="s">
        <v>3746</v>
      </c>
      <c r="N1438" s="4" t="s">
        <v>3747</v>
      </c>
      <c r="O1438" s="17">
        <f>INDEX('список ID из СУЭ с должностями'!$A:$F,MATCH(E1438,'список ID из СУЭ с должностями'!$B:$B,0),5)</f>
        <v>0</v>
      </c>
    </row>
    <row r="1439" spans="1:15" ht="300">
      <c r="A1439" s="3" t="s">
        <v>10</v>
      </c>
      <c r="B1439" s="3" t="s">
        <v>11</v>
      </c>
      <c r="C1439" s="4">
        <v>2026</v>
      </c>
      <c r="D1439" s="5" t="s">
        <v>12</v>
      </c>
      <c r="E1439" s="4">
        <v>201</v>
      </c>
      <c r="F1439" s="4" t="s">
        <v>67</v>
      </c>
      <c r="G1439" s="4" t="s">
        <v>459</v>
      </c>
      <c r="H1439" s="4" t="s">
        <v>15</v>
      </c>
      <c r="I1439" s="4" t="s">
        <v>147</v>
      </c>
      <c r="J1439" s="4" t="s">
        <v>1011</v>
      </c>
      <c r="K1439" s="4" t="s">
        <v>35</v>
      </c>
      <c r="L1439" s="4" t="s">
        <v>3743</v>
      </c>
      <c r="M1439" s="4" t="s">
        <v>3746</v>
      </c>
      <c r="N1439" s="4" t="s">
        <v>3747</v>
      </c>
      <c r="O1439" s="17">
        <f>INDEX('список ID из СУЭ с должностями'!$A:$F,MATCH(E1439,'список ID из СУЭ с должностями'!$B:$B,0),5)</f>
        <v>0</v>
      </c>
    </row>
    <row r="1440" spans="1:15" ht="75">
      <c r="A1440" s="3" t="s">
        <v>10</v>
      </c>
      <c r="B1440" s="3" t="s">
        <v>11</v>
      </c>
      <c r="C1440" s="4">
        <v>2026</v>
      </c>
      <c r="D1440" s="5" t="s">
        <v>12</v>
      </c>
      <c r="E1440" s="4">
        <v>202</v>
      </c>
      <c r="F1440" s="4" t="s">
        <v>84</v>
      </c>
      <c r="G1440" s="4" t="s">
        <v>85</v>
      </c>
      <c r="H1440" s="4" t="s">
        <v>41</v>
      </c>
      <c r="I1440" s="4" t="s">
        <v>1110</v>
      </c>
      <c r="J1440" s="4" t="s">
        <v>1111</v>
      </c>
      <c r="K1440" s="4" t="s">
        <v>30</v>
      </c>
      <c r="L1440" s="4" t="s">
        <v>3743</v>
      </c>
      <c r="M1440" s="4" t="s">
        <v>3746</v>
      </c>
      <c r="N1440" s="4" t="s">
        <v>3747</v>
      </c>
      <c r="O1440" s="17">
        <f>INDEX('список ID из СУЭ с должностями'!$A:$F,MATCH(E1440,'список ID из СУЭ с должностями'!$B:$B,0),5)</f>
        <v>0</v>
      </c>
    </row>
    <row r="1441" spans="1:15" ht="90">
      <c r="A1441" s="3" t="s">
        <v>10</v>
      </c>
      <c r="B1441" s="3" t="s">
        <v>11</v>
      </c>
      <c r="C1441" s="4">
        <v>2026</v>
      </c>
      <c r="D1441" s="5" t="s">
        <v>12</v>
      </c>
      <c r="E1441" s="4">
        <v>202</v>
      </c>
      <c r="F1441" s="4" t="s">
        <v>84</v>
      </c>
      <c r="G1441" s="4" t="s">
        <v>85</v>
      </c>
      <c r="H1441" s="4" t="s">
        <v>41</v>
      </c>
      <c r="I1441" s="4" t="s">
        <v>1827</v>
      </c>
      <c r="J1441" s="4" t="s">
        <v>1194</v>
      </c>
      <c r="K1441" s="4" t="s">
        <v>30</v>
      </c>
      <c r="L1441" s="4" t="s">
        <v>3743</v>
      </c>
      <c r="M1441" s="4" t="s">
        <v>3746</v>
      </c>
      <c r="N1441" s="4" t="s">
        <v>3747</v>
      </c>
      <c r="O1441" s="17">
        <f>INDEX('список ID из СУЭ с должностями'!$A:$F,MATCH(E1441,'список ID из СУЭ с должностями'!$B:$B,0),5)</f>
        <v>0</v>
      </c>
    </row>
    <row r="1442" spans="1:15" ht="120">
      <c r="A1442" s="3" t="s">
        <v>10</v>
      </c>
      <c r="B1442" s="3" t="s">
        <v>11</v>
      </c>
      <c r="C1442" s="4">
        <v>2026</v>
      </c>
      <c r="D1442" s="5" t="s">
        <v>12</v>
      </c>
      <c r="E1442" s="4">
        <v>202</v>
      </c>
      <c r="F1442" s="4" t="s">
        <v>84</v>
      </c>
      <c r="G1442" s="4" t="s">
        <v>85</v>
      </c>
      <c r="H1442" s="4" t="s">
        <v>15</v>
      </c>
      <c r="I1442" s="4" t="s">
        <v>86</v>
      </c>
      <c r="J1442" s="4" t="s">
        <v>1828</v>
      </c>
      <c r="K1442" s="4" t="s">
        <v>35</v>
      </c>
      <c r="L1442" s="4" t="s">
        <v>3743</v>
      </c>
      <c r="M1442" s="4" t="s">
        <v>3746</v>
      </c>
      <c r="N1442" s="4" t="s">
        <v>3747</v>
      </c>
      <c r="O1442" s="17">
        <f>INDEX('список ID из СУЭ с должностями'!$A:$F,MATCH(E1442,'список ID из СУЭ с должностями'!$B:$B,0),5)</f>
        <v>0</v>
      </c>
    </row>
    <row r="1443" spans="1:15" ht="105">
      <c r="A1443" s="3" t="s">
        <v>10</v>
      </c>
      <c r="B1443" s="3" t="s">
        <v>11</v>
      </c>
      <c r="C1443" s="4">
        <v>2026</v>
      </c>
      <c r="D1443" s="5" t="s">
        <v>12</v>
      </c>
      <c r="E1443" s="4">
        <v>202</v>
      </c>
      <c r="F1443" s="4" t="s">
        <v>84</v>
      </c>
      <c r="G1443" s="4" t="s">
        <v>85</v>
      </c>
      <c r="H1443" s="4" t="s">
        <v>21</v>
      </c>
      <c r="I1443" s="4" t="s">
        <v>1829</v>
      </c>
      <c r="J1443" s="4" t="s">
        <v>1830</v>
      </c>
      <c r="K1443" s="4" t="s">
        <v>30</v>
      </c>
      <c r="L1443" s="4" t="s">
        <v>3743</v>
      </c>
      <c r="M1443" s="4" t="s">
        <v>3746</v>
      </c>
      <c r="N1443" s="4" t="s">
        <v>3747</v>
      </c>
      <c r="O1443" s="17">
        <f>INDEX('список ID из СУЭ с должностями'!$A:$F,MATCH(E1443,'список ID из СУЭ с должностями'!$B:$B,0),5)</f>
        <v>0</v>
      </c>
    </row>
    <row r="1444" spans="1:15" ht="409.5">
      <c r="A1444" s="3" t="s">
        <v>10</v>
      </c>
      <c r="B1444" s="3" t="s">
        <v>11</v>
      </c>
      <c r="C1444" s="4">
        <v>2026</v>
      </c>
      <c r="D1444" s="5" t="s">
        <v>12</v>
      </c>
      <c r="E1444" s="4">
        <v>202</v>
      </c>
      <c r="F1444" s="4" t="s">
        <v>84</v>
      </c>
      <c r="G1444" s="4" t="s">
        <v>85</v>
      </c>
      <c r="H1444" s="4" t="s">
        <v>21</v>
      </c>
      <c r="I1444" s="4" t="s">
        <v>1113</v>
      </c>
      <c r="J1444" s="4" t="s">
        <v>1831</v>
      </c>
      <c r="K1444" s="4" t="s">
        <v>30</v>
      </c>
      <c r="L1444" s="4" t="s">
        <v>3743</v>
      </c>
      <c r="M1444" s="4" t="s">
        <v>3746</v>
      </c>
      <c r="N1444" s="4" t="s">
        <v>3747</v>
      </c>
      <c r="O1444" s="17">
        <f>INDEX('список ID из СУЭ с должностями'!$A:$F,MATCH(E1444,'список ID из СУЭ с должностями'!$B:$B,0),5)</f>
        <v>0</v>
      </c>
    </row>
    <row r="1445" spans="1:15" ht="75">
      <c r="A1445" s="3" t="s">
        <v>10</v>
      </c>
      <c r="B1445" s="3" t="s">
        <v>11</v>
      </c>
      <c r="C1445" s="4">
        <v>2026</v>
      </c>
      <c r="D1445" s="5" t="s">
        <v>12</v>
      </c>
      <c r="E1445" s="4">
        <v>202</v>
      </c>
      <c r="F1445" s="4" t="s">
        <v>84</v>
      </c>
      <c r="G1445" s="4" t="s">
        <v>85</v>
      </c>
      <c r="H1445" s="4" t="s">
        <v>15</v>
      </c>
      <c r="I1445" s="4" t="s">
        <v>1832</v>
      </c>
      <c r="J1445" s="4" t="s">
        <v>378</v>
      </c>
      <c r="K1445" s="4" t="s">
        <v>30</v>
      </c>
      <c r="L1445" s="4" t="s">
        <v>3742</v>
      </c>
      <c r="M1445" s="4" t="s">
        <v>3746</v>
      </c>
      <c r="N1445" s="4" t="s">
        <v>3747</v>
      </c>
      <c r="O1445" s="17">
        <f>INDEX('список ID из СУЭ с должностями'!$A:$F,MATCH(E1445,'список ID из СУЭ с должностями'!$B:$B,0),5)</f>
        <v>0</v>
      </c>
    </row>
    <row r="1446" spans="1:15" ht="105">
      <c r="A1446" s="3" t="s">
        <v>10</v>
      </c>
      <c r="B1446" s="3" t="s">
        <v>11</v>
      </c>
      <c r="C1446" s="4">
        <v>2026</v>
      </c>
      <c r="D1446" s="5" t="s">
        <v>12</v>
      </c>
      <c r="E1446" s="4">
        <v>203</v>
      </c>
      <c r="F1446" s="4" t="s">
        <v>316</v>
      </c>
      <c r="G1446" s="4" t="s">
        <v>1056</v>
      </c>
      <c r="H1446" s="4" t="s">
        <v>15</v>
      </c>
      <c r="I1446" s="4" t="s">
        <v>356</v>
      </c>
      <c r="J1446" s="4" t="s">
        <v>357</v>
      </c>
      <c r="K1446" s="4" t="s">
        <v>38</v>
      </c>
      <c r="L1446" s="4" t="s">
        <v>3743</v>
      </c>
      <c r="M1446" s="4" t="s">
        <v>3746</v>
      </c>
      <c r="N1446" s="4" t="s">
        <v>3747</v>
      </c>
      <c r="O1446" s="17">
        <f>INDEX('список ID из СУЭ с должностями'!$A:$F,MATCH(E1446,'список ID из СУЭ с должностями'!$B:$B,0),5)</f>
        <v>0</v>
      </c>
    </row>
    <row r="1447" spans="1:15" ht="409.5">
      <c r="A1447" s="3" t="s">
        <v>10</v>
      </c>
      <c r="B1447" s="3" t="s">
        <v>11</v>
      </c>
      <c r="C1447" s="4">
        <v>2026</v>
      </c>
      <c r="D1447" s="5" t="s">
        <v>12</v>
      </c>
      <c r="E1447" s="4">
        <v>203</v>
      </c>
      <c r="F1447" s="4" t="s">
        <v>316</v>
      </c>
      <c r="G1447" s="4" t="s">
        <v>1056</v>
      </c>
      <c r="H1447" s="4" t="s">
        <v>15</v>
      </c>
      <c r="I1447" s="4" t="s">
        <v>354</v>
      </c>
      <c r="J1447" s="4" t="s">
        <v>1059</v>
      </c>
      <c r="K1447" s="4" t="s">
        <v>25</v>
      </c>
      <c r="L1447" s="4" t="s">
        <v>3743</v>
      </c>
      <c r="M1447" s="4" t="s">
        <v>3746</v>
      </c>
      <c r="N1447" s="4" t="s">
        <v>3747</v>
      </c>
      <c r="O1447" s="17">
        <f>INDEX('список ID из СУЭ с должностями'!$A:$F,MATCH(E1447,'список ID из СУЭ с должностями'!$B:$B,0),5)</f>
        <v>0</v>
      </c>
    </row>
    <row r="1448" spans="1:15" ht="315">
      <c r="A1448" s="3" t="s">
        <v>10</v>
      </c>
      <c r="B1448" s="3" t="s">
        <v>11</v>
      </c>
      <c r="C1448" s="4">
        <v>2026</v>
      </c>
      <c r="D1448" s="5" t="s">
        <v>12</v>
      </c>
      <c r="E1448" s="4">
        <v>203</v>
      </c>
      <c r="F1448" s="4" t="s">
        <v>316</v>
      </c>
      <c r="G1448" s="4" t="s">
        <v>1056</v>
      </c>
      <c r="H1448" s="4" t="s">
        <v>15</v>
      </c>
      <c r="I1448" s="4" t="s">
        <v>28</v>
      </c>
      <c r="J1448" s="4" t="s">
        <v>824</v>
      </c>
      <c r="K1448" s="4" t="s">
        <v>38</v>
      </c>
      <c r="L1448" s="4" t="s">
        <v>3743</v>
      </c>
      <c r="M1448" s="4" t="s">
        <v>3746</v>
      </c>
      <c r="N1448" s="4" t="s">
        <v>3747</v>
      </c>
      <c r="O1448" s="17">
        <f>INDEX('список ID из СУЭ с должностями'!$A:$F,MATCH(E1448,'список ID из СУЭ с должностями'!$B:$B,0),5)</f>
        <v>0</v>
      </c>
    </row>
    <row r="1449" spans="1:15" ht="330">
      <c r="A1449" s="3" t="s">
        <v>10</v>
      </c>
      <c r="B1449" s="3" t="s">
        <v>11</v>
      </c>
      <c r="C1449" s="4">
        <v>2026</v>
      </c>
      <c r="D1449" s="5" t="s">
        <v>12</v>
      </c>
      <c r="E1449" s="4">
        <v>203</v>
      </c>
      <c r="F1449" s="4" t="s">
        <v>316</v>
      </c>
      <c r="G1449" s="4" t="s">
        <v>1056</v>
      </c>
      <c r="H1449" s="4" t="s">
        <v>15</v>
      </c>
      <c r="I1449" s="4" t="s">
        <v>323</v>
      </c>
      <c r="J1449" s="4" t="s">
        <v>826</v>
      </c>
      <c r="K1449" s="4" t="s">
        <v>151</v>
      </c>
      <c r="L1449" s="4" t="s">
        <v>3743</v>
      </c>
      <c r="M1449" s="4" t="s">
        <v>3746</v>
      </c>
      <c r="N1449" s="4" t="s">
        <v>3747</v>
      </c>
      <c r="O1449" s="17">
        <f>INDEX('список ID из СУЭ с должностями'!$A:$F,MATCH(E1449,'список ID из СУЭ с должностями'!$B:$B,0),5)</f>
        <v>0</v>
      </c>
    </row>
    <row r="1450" spans="1:15" ht="330">
      <c r="A1450" s="3" t="s">
        <v>10</v>
      </c>
      <c r="B1450" s="3" t="s">
        <v>11</v>
      </c>
      <c r="C1450" s="4">
        <v>2026</v>
      </c>
      <c r="D1450" s="5" t="s">
        <v>12</v>
      </c>
      <c r="E1450" s="4">
        <v>203</v>
      </c>
      <c r="F1450" s="4" t="s">
        <v>316</v>
      </c>
      <c r="G1450" s="4" t="s">
        <v>1056</v>
      </c>
      <c r="H1450" s="4" t="s">
        <v>15</v>
      </c>
      <c r="I1450" s="4" t="s">
        <v>325</v>
      </c>
      <c r="J1450" s="4" t="s">
        <v>1060</v>
      </c>
      <c r="K1450" s="4" t="s">
        <v>35</v>
      </c>
      <c r="L1450" s="4" t="s">
        <v>3743</v>
      </c>
      <c r="M1450" s="4" t="s">
        <v>3746</v>
      </c>
      <c r="N1450" s="4" t="s">
        <v>3747</v>
      </c>
      <c r="O1450" s="17">
        <f>INDEX('список ID из СУЭ с должностями'!$A:$F,MATCH(E1450,'список ID из СУЭ с должностями'!$B:$B,0),5)</f>
        <v>0</v>
      </c>
    </row>
    <row r="1451" spans="1:15" ht="165">
      <c r="A1451" s="3" t="s">
        <v>10</v>
      </c>
      <c r="B1451" s="3" t="s">
        <v>11</v>
      </c>
      <c r="C1451" s="4">
        <v>2026</v>
      </c>
      <c r="D1451" s="5" t="s">
        <v>12</v>
      </c>
      <c r="E1451" s="4">
        <v>204</v>
      </c>
      <c r="F1451" s="4" t="s">
        <v>67</v>
      </c>
      <c r="G1451" s="4" t="s">
        <v>1833</v>
      </c>
      <c r="H1451" s="4" t="s">
        <v>15</v>
      </c>
      <c r="I1451" s="4" t="s">
        <v>1834</v>
      </c>
      <c r="J1451" s="4" t="s">
        <v>1835</v>
      </c>
      <c r="K1451" s="4" t="s">
        <v>23</v>
      </c>
      <c r="L1451" s="4" t="s">
        <v>3743</v>
      </c>
      <c r="M1451" s="4" t="s">
        <v>3748</v>
      </c>
      <c r="N1451" s="4" t="s">
        <v>3749</v>
      </c>
      <c r="O1451" s="17">
        <f>INDEX('список ID из СУЭ с должностями'!$A:$F,MATCH(E1451,'список ID из СУЭ с должностями'!$B:$B,0),5)</f>
        <v>0</v>
      </c>
    </row>
    <row r="1452" spans="1:15" ht="409.5">
      <c r="A1452" s="3" t="s">
        <v>10</v>
      </c>
      <c r="B1452" s="3" t="s">
        <v>11</v>
      </c>
      <c r="C1452" s="4">
        <v>2026</v>
      </c>
      <c r="D1452" s="5" t="s">
        <v>12</v>
      </c>
      <c r="E1452" s="4">
        <v>204</v>
      </c>
      <c r="F1452" s="4" t="s">
        <v>67</v>
      </c>
      <c r="G1452" s="4" t="s">
        <v>1833</v>
      </c>
      <c r="H1452" s="4" t="s">
        <v>15</v>
      </c>
      <c r="I1452" s="4" t="s">
        <v>1836</v>
      </c>
      <c r="J1452" s="4" t="s">
        <v>1837</v>
      </c>
      <c r="K1452" s="4" t="s">
        <v>23</v>
      </c>
      <c r="L1452" s="4" t="s">
        <v>3743</v>
      </c>
      <c r="M1452" s="4" t="s">
        <v>3748</v>
      </c>
      <c r="N1452" s="4" t="s">
        <v>3752</v>
      </c>
      <c r="O1452" s="17">
        <f>INDEX('список ID из СУЭ с должностями'!$A:$F,MATCH(E1452,'список ID из СУЭ с должностями'!$B:$B,0),5)</f>
        <v>0</v>
      </c>
    </row>
    <row r="1453" spans="1:15" ht="195">
      <c r="A1453" s="3" t="s">
        <v>10</v>
      </c>
      <c r="B1453" s="3" t="s">
        <v>11</v>
      </c>
      <c r="C1453" s="4">
        <v>2026</v>
      </c>
      <c r="D1453" s="5" t="s">
        <v>12</v>
      </c>
      <c r="E1453" s="4">
        <v>204</v>
      </c>
      <c r="F1453" s="4" t="s">
        <v>67</v>
      </c>
      <c r="G1453" s="4" t="s">
        <v>1833</v>
      </c>
      <c r="H1453" s="4" t="s">
        <v>15</v>
      </c>
      <c r="I1453" s="4" t="s">
        <v>1838</v>
      </c>
      <c r="J1453" s="4" t="s">
        <v>1839</v>
      </c>
      <c r="K1453" s="4" t="s">
        <v>23</v>
      </c>
      <c r="L1453" s="4" t="s">
        <v>3743</v>
      </c>
      <c r="M1453" s="4" t="s">
        <v>3748</v>
      </c>
      <c r="N1453" s="4" t="s">
        <v>3752</v>
      </c>
      <c r="O1453" s="17">
        <f>INDEX('список ID из СУЭ с должностями'!$A:$F,MATCH(E1453,'список ID из СУЭ с должностями'!$B:$B,0),5)</f>
        <v>0</v>
      </c>
    </row>
    <row r="1454" spans="1:15" ht="240">
      <c r="A1454" s="3" t="s">
        <v>10</v>
      </c>
      <c r="B1454" s="3" t="s">
        <v>11</v>
      </c>
      <c r="C1454" s="4">
        <v>2026</v>
      </c>
      <c r="D1454" s="5" t="s">
        <v>12</v>
      </c>
      <c r="E1454" s="4">
        <v>204</v>
      </c>
      <c r="F1454" s="4" t="s">
        <v>67</v>
      </c>
      <c r="G1454" s="4" t="s">
        <v>1833</v>
      </c>
      <c r="H1454" s="4" t="s">
        <v>15</v>
      </c>
      <c r="I1454" s="4" t="s">
        <v>1840</v>
      </c>
      <c r="J1454" s="4" t="s">
        <v>1841</v>
      </c>
      <c r="K1454" s="4" t="s">
        <v>23</v>
      </c>
      <c r="L1454" s="4" t="s">
        <v>3743</v>
      </c>
      <c r="M1454" s="4" t="s">
        <v>3748</v>
      </c>
      <c r="N1454" s="4" t="s">
        <v>3752</v>
      </c>
      <c r="O1454" s="17">
        <f>INDEX('список ID из СУЭ с должностями'!$A:$F,MATCH(E1454,'список ID из СУЭ с должностями'!$B:$B,0),5)</f>
        <v>0</v>
      </c>
    </row>
    <row r="1455" spans="1:15" ht="165">
      <c r="A1455" s="3" t="s">
        <v>10</v>
      </c>
      <c r="B1455" s="3" t="s">
        <v>11</v>
      </c>
      <c r="C1455" s="4">
        <v>2026</v>
      </c>
      <c r="D1455" s="5" t="s">
        <v>12</v>
      </c>
      <c r="E1455" s="4">
        <v>204</v>
      </c>
      <c r="F1455" s="4" t="s">
        <v>67</v>
      </c>
      <c r="G1455" s="4" t="s">
        <v>1833</v>
      </c>
      <c r="H1455" s="4" t="s">
        <v>15</v>
      </c>
      <c r="I1455" s="4" t="s">
        <v>1842</v>
      </c>
      <c r="J1455" s="4" t="s">
        <v>1843</v>
      </c>
      <c r="K1455" s="4" t="s">
        <v>23</v>
      </c>
      <c r="L1455" s="4" t="s">
        <v>3743</v>
      </c>
      <c r="M1455" s="4" t="s">
        <v>3748</v>
      </c>
      <c r="N1455" s="4" t="s">
        <v>3752</v>
      </c>
      <c r="O1455" s="17">
        <f>INDEX('список ID из СУЭ с должностями'!$A:$F,MATCH(E1455,'список ID из СУЭ с должностями'!$B:$B,0),5)</f>
        <v>0</v>
      </c>
    </row>
    <row r="1456" spans="1:15" ht="150">
      <c r="A1456" s="3" t="s">
        <v>10</v>
      </c>
      <c r="B1456" s="3" t="s">
        <v>11</v>
      </c>
      <c r="C1456" s="4">
        <v>2026</v>
      </c>
      <c r="D1456" s="5" t="s">
        <v>12</v>
      </c>
      <c r="E1456" s="4">
        <v>204</v>
      </c>
      <c r="F1456" s="4" t="s">
        <v>67</v>
      </c>
      <c r="G1456" s="4" t="s">
        <v>1833</v>
      </c>
      <c r="H1456" s="4" t="s">
        <v>15</v>
      </c>
      <c r="I1456" s="4" t="s">
        <v>1844</v>
      </c>
      <c r="J1456" s="4" t="s">
        <v>1845</v>
      </c>
      <c r="K1456" s="4" t="s">
        <v>23</v>
      </c>
      <c r="L1456" s="4" t="s">
        <v>3743</v>
      </c>
      <c r="M1456" s="4" t="s">
        <v>3748</v>
      </c>
      <c r="N1456" s="4" t="s">
        <v>3752</v>
      </c>
      <c r="O1456" s="17">
        <f>INDEX('список ID из СУЭ с должностями'!$A:$F,MATCH(E1456,'список ID из СУЭ с должностями'!$B:$B,0),5)</f>
        <v>0</v>
      </c>
    </row>
    <row r="1457" spans="1:15" ht="105">
      <c r="A1457" s="3" t="s">
        <v>10</v>
      </c>
      <c r="B1457" s="3" t="s">
        <v>11</v>
      </c>
      <c r="C1457" s="4">
        <v>2026</v>
      </c>
      <c r="D1457" s="5" t="s">
        <v>12</v>
      </c>
      <c r="E1457" s="4">
        <v>204</v>
      </c>
      <c r="F1457" s="4" t="s">
        <v>67</v>
      </c>
      <c r="G1457" s="4" t="s">
        <v>1833</v>
      </c>
      <c r="H1457" s="4" t="s">
        <v>15</v>
      </c>
      <c r="I1457" s="4" t="s">
        <v>1846</v>
      </c>
      <c r="J1457" s="4" t="s">
        <v>1847</v>
      </c>
      <c r="K1457" s="4" t="s">
        <v>23</v>
      </c>
      <c r="L1457" s="4" t="s">
        <v>3743</v>
      </c>
      <c r="M1457" s="4" t="s">
        <v>3748</v>
      </c>
      <c r="N1457" s="4" t="s">
        <v>3752</v>
      </c>
      <c r="O1457" s="17">
        <f>INDEX('список ID из СУЭ с должностями'!$A:$F,MATCH(E1457,'список ID из СУЭ с должностями'!$B:$B,0),5)</f>
        <v>0</v>
      </c>
    </row>
    <row r="1458" spans="1:15" ht="90">
      <c r="A1458" s="3" t="s">
        <v>10</v>
      </c>
      <c r="B1458" s="3" t="s">
        <v>11</v>
      </c>
      <c r="C1458" s="4">
        <v>2026</v>
      </c>
      <c r="D1458" s="5" t="s">
        <v>12</v>
      </c>
      <c r="E1458" s="4">
        <v>205</v>
      </c>
      <c r="F1458" s="4" t="s">
        <v>116</v>
      </c>
      <c r="G1458" s="4" t="s">
        <v>1269</v>
      </c>
      <c r="H1458" s="4" t="s">
        <v>15</v>
      </c>
      <c r="I1458" s="4" t="s">
        <v>149</v>
      </c>
      <c r="J1458" s="4" t="s">
        <v>1848</v>
      </c>
      <c r="K1458" s="4" t="s">
        <v>30</v>
      </c>
      <c r="L1458" s="4" t="s">
        <v>3743</v>
      </c>
      <c r="M1458" s="4" t="s">
        <v>3746</v>
      </c>
      <c r="N1458" s="4" t="s">
        <v>3747</v>
      </c>
      <c r="O1458" s="17">
        <f>INDEX('список ID из СУЭ с должностями'!$A:$F,MATCH(E1458,'список ID из СУЭ с должностями'!$B:$B,0),5)</f>
        <v>0</v>
      </c>
    </row>
    <row r="1459" spans="1:15" ht="90">
      <c r="A1459" s="3" t="s">
        <v>10</v>
      </c>
      <c r="B1459" s="3" t="s">
        <v>11</v>
      </c>
      <c r="C1459" s="4">
        <v>2026</v>
      </c>
      <c r="D1459" s="5" t="s">
        <v>12</v>
      </c>
      <c r="E1459" s="4">
        <v>205</v>
      </c>
      <c r="F1459" s="4" t="s">
        <v>116</v>
      </c>
      <c r="G1459" s="4" t="s">
        <v>1269</v>
      </c>
      <c r="H1459" s="4" t="s">
        <v>41</v>
      </c>
      <c r="I1459" s="4" t="s">
        <v>806</v>
      </c>
      <c r="J1459" s="4" t="s">
        <v>1271</v>
      </c>
      <c r="K1459" s="4" t="s">
        <v>38</v>
      </c>
      <c r="L1459" s="4" t="s">
        <v>3743</v>
      </c>
      <c r="M1459" s="4" t="s">
        <v>3746</v>
      </c>
      <c r="N1459" s="4" t="s">
        <v>3747</v>
      </c>
      <c r="O1459" s="17">
        <f>INDEX('список ID из СУЭ с должностями'!$A:$F,MATCH(E1459,'список ID из СУЭ с должностями'!$B:$B,0),5)</f>
        <v>0</v>
      </c>
    </row>
    <row r="1460" spans="1:15" ht="135">
      <c r="A1460" s="3" t="s">
        <v>10</v>
      </c>
      <c r="B1460" s="3" t="s">
        <v>11</v>
      </c>
      <c r="C1460" s="4">
        <v>2026</v>
      </c>
      <c r="D1460" s="5" t="s">
        <v>12</v>
      </c>
      <c r="E1460" s="4">
        <v>205</v>
      </c>
      <c r="F1460" s="4" t="s">
        <v>116</v>
      </c>
      <c r="G1460" s="4" t="s">
        <v>1269</v>
      </c>
      <c r="H1460" s="4" t="s">
        <v>15</v>
      </c>
      <c r="I1460" s="4" t="s">
        <v>857</v>
      </c>
      <c r="J1460" s="4" t="s">
        <v>1223</v>
      </c>
      <c r="K1460" s="4" t="s">
        <v>35</v>
      </c>
      <c r="L1460" s="4" t="s">
        <v>3743</v>
      </c>
      <c r="M1460" s="4" t="s">
        <v>3746</v>
      </c>
      <c r="N1460" s="4" t="s">
        <v>3747</v>
      </c>
      <c r="O1460" s="17">
        <f>INDEX('список ID из СУЭ с должностями'!$A:$F,MATCH(E1460,'список ID из СУЭ с должностями'!$B:$B,0),5)</f>
        <v>0</v>
      </c>
    </row>
    <row r="1461" spans="1:15" ht="60">
      <c r="A1461" s="3" t="s">
        <v>10</v>
      </c>
      <c r="B1461" s="3" t="s">
        <v>11</v>
      </c>
      <c r="C1461" s="4">
        <v>2026</v>
      </c>
      <c r="D1461" s="5" t="s">
        <v>12</v>
      </c>
      <c r="E1461" s="4">
        <v>206</v>
      </c>
      <c r="F1461" s="4" t="s">
        <v>307</v>
      </c>
      <c r="G1461" s="4" t="s">
        <v>1332</v>
      </c>
      <c r="H1461" s="4" t="s">
        <v>15</v>
      </c>
      <c r="I1461" s="4" t="s">
        <v>1849</v>
      </c>
      <c r="J1461" s="4" t="s">
        <v>1850</v>
      </c>
      <c r="K1461" s="4" t="s">
        <v>38</v>
      </c>
      <c r="L1461" s="4" t="s">
        <v>3743</v>
      </c>
      <c r="M1461" s="4" t="s">
        <v>3746</v>
      </c>
      <c r="N1461" s="4" t="s">
        <v>3747</v>
      </c>
      <c r="O1461" s="17">
        <f>INDEX('список ID из СУЭ с должностями'!$A:$F,MATCH(E1461,'список ID из СУЭ с должностями'!$B:$B,0),5)</f>
        <v>0</v>
      </c>
    </row>
    <row r="1462" spans="1:15" ht="60">
      <c r="A1462" s="3" t="s">
        <v>10</v>
      </c>
      <c r="B1462" s="3" t="s">
        <v>11</v>
      </c>
      <c r="C1462" s="4">
        <v>2026</v>
      </c>
      <c r="D1462" s="5" t="s">
        <v>12</v>
      </c>
      <c r="E1462" s="4">
        <v>206</v>
      </c>
      <c r="F1462" s="4" t="s">
        <v>307</v>
      </c>
      <c r="G1462" s="4" t="s">
        <v>1332</v>
      </c>
      <c r="H1462" s="4" t="s">
        <v>15</v>
      </c>
      <c r="I1462" s="4" t="s">
        <v>1851</v>
      </c>
      <c r="J1462" s="4" t="s">
        <v>1852</v>
      </c>
      <c r="K1462" s="4" t="s">
        <v>38</v>
      </c>
      <c r="L1462" s="4" t="s">
        <v>3743</v>
      </c>
      <c r="M1462" s="4" t="s">
        <v>3746</v>
      </c>
      <c r="N1462" s="4" t="s">
        <v>3747</v>
      </c>
      <c r="O1462" s="17">
        <f>INDEX('список ID из СУЭ с должностями'!$A:$F,MATCH(E1462,'список ID из СУЭ с должностями'!$B:$B,0),5)</f>
        <v>0</v>
      </c>
    </row>
    <row r="1463" spans="1:15" ht="60">
      <c r="A1463" s="3" t="s">
        <v>10</v>
      </c>
      <c r="B1463" s="3" t="s">
        <v>11</v>
      </c>
      <c r="C1463" s="4">
        <v>2026</v>
      </c>
      <c r="D1463" s="5" t="s">
        <v>12</v>
      </c>
      <c r="E1463" s="4">
        <v>206</v>
      </c>
      <c r="F1463" s="4" t="s">
        <v>307</v>
      </c>
      <c r="G1463" s="4" t="s">
        <v>1332</v>
      </c>
      <c r="H1463" s="4" t="s">
        <v>15</v>
      </c>
      <c r="I1463" s="4" t="s">
        <v>1853</v>
      </c>
      <c r="J1463" s="4" t="s">
        <v>1854</v>
      </c>
      <c r="K1463" s="4" t="s">
        <v>38</v>
      </c>
      <c r="L1463" s="4" t="s">
        <v>3743</v>
      </c>
      <c r="M1463" s="4" t="s">
        <v>3746</v>
      </c>
      <c r="N1463" s="4" t="s">
        <v>3747</v>
      </c>
      <c r="O1463" s="17">
        <f>INDEX('список ID из СУЭ с должностями'!$A:$F,MATCH(E1463,'список ID из СУЭ с должностями'!$B:$B,0),5)</f>
        <v>0</v>
      </c>
    </row>
    <row r="1464" spans="1:15" ht="60">
      <c r="A1464" s="3" t="s">
        <v>10</v>
      </c>
      <c r="B1464" s="3" t="s">
        <v>11</v>
      </c>
      <c r="C1464" s="4">
        <v>2026</v>
      </c>
      <c r="D1464" s="5" t="s">
        <v>12</v>
      </c>
      <c r="E1464" s="4">
        <v>206</v>
      </c>
      <c r="F1464" s="4" t="s">
        <v>307</v>
      </c>
      <c r="G1464" s="4" t="s">
        <v>1332</v>
      </c>
      <c r="H1464" s="4" t="s">
        <v>15</v>
      </c>
      <c r="I1464" s="4" t="s">
        <v>1855</v>
      </c>
      <c r="J1464" s="4" t="s">
        <v>1856</v>
      </c>
      <c r="K1464" s="4" t="s">
        <v>38</v>
      </c>
      <c r="L1464" s="4" t="s">
        <v>3743</v>
      </c>
      <c r="M1464" s="4" t="s">
        <v>3746</v>
      </c>
      <c r="N1464" s="4" t="s">
        <v>3747</v>
      </c>
      <c r="O1464" s="17">
        <f>INDEX('список ID из СУЭ с должностями'!$A:$F,MATCH(E1464,'список ID из СУЭ с должностями'!$B:$B,0),5)</f>
        <v>0</v>
      </c>
    </row>
    <row r="1465" spans="1:15" ht="60">
      <c r="A1465" s="3" t="s">
        <v>10</v>
      </c>
      <c r="B1465" s="3" t="s">
        <v>11</v>
      </c>
      <c r="C1465" s="4">
        <v>2026</v>
      </c>
      <c r="D1465" s="5" t="s">
        <v>12</v>
      </c>
      <c r="E1465" s="4">
        <v>206</v>
      </c>
      <c r="F1465" s="4" t="s">
        <v>307</v>
      </c>
      <c r="G1465" s="4" t="s">
        <v>1332</v>
      </c>
      <c r="H1465" s="4" t="s">
        <v>15</v>
      </c>
      <c r="I1465" s="4" t="s">
        <v>1857</v>
      </c>
      <c r="J1465" s="4" t="s">
        <v>1858</v>
      </c>
      <c r="K1465" s="4" t="s">
        <v>38</v>
      </c>
      <c r="L1465" s="4" t="s">
        <v>3743</v>
      </c>
      <c r="M1465" s="4" t="s">
        <v>3746</v>
      </c>
      <c r="N1465" s="4" t="s">
        <v>3747</v>
      </c>
      <c r="O1465" s="17">
        <f>INDEX('список ID из СУЭ с должностями'!$A:$F,MATCH(E1465,'список ID из СУЭ с должностями'!$B:$B,0),5)</f>
        <v>0</v>
      </c>
    </row>
    <row r="1466" spans="1:15" ht="375">
      <c r="A1466" s="3" t="s">
        <v>10</v>
      </c>
      <c r="B1466" s="3" t="s">
        <v>11</v>
      </c>
      <c r="C1466" s="4">
        <v>2026</v>
      </c>
      <c r="D1466" s="5" t="s">
        <v>12</v>
      </c>
      <c r="E1466" s="4">
        <v>207</v>
      </c>
      <c r="F1466" s="4" t="s">
        <v>307</v>
      </c>
      <c r="G1466" s="4" t="s">
        <v>1554</v>
      </c>
      <c r="H1466" s="4" t="s">
        <v>21</v>
      </c>
      <c r="I1466" s="4" t="s">
        <v>1859</v>
      </c>
      <c r="J1466" s="4" t="s">
        <v>1860</v>
      </c>
      <c r="K1466" s="4" t="s">
        <v>25</v>
      </c>
      <c r="L1466" s="4" t="s">
        <v>3743</v>
      </c>
      <c r="M1466" s="4" t="s">
        <v>3746</v>
      </c>
      <c r="N1466" s="4" t="s">
        <v>3747</v>
      </c>
      <c r="O1466" s="17">
        <f>INDEX('список ID из СУЭ с должностями'!$A:$F,MATCH(E1466,'список ID из СУЭ с должностями'!$B:$B,0),5)</f>
        <v>0</v>
      </c>
    </row>
    <row r="1467" spans="1:15" ht="315">
      <c r="A1467" s="3" t="s">
        <v>10</v>
      </c>
      <c r="B1467" s="3" t="s">
        <v>11</v>
      </c>
      <c r="C1467" s="4">
        <v>2026</v>
      </c>
      <c r="D1467" s="5" t="s">
        <v>12</v>
      </c>
      <c r="E1467" s="4">
        <v>207</v>
      </c>
      <c r="F1467" s="4" t="s">
        <v>307</v>
      </c>
      <c r="G1467" s="4" t="s">
        <v>1554</v>
      </c>
      <c r="H1467" s="4" t="s">
        <v>15</v>
      </c>
      <c r="I1467" s="4" t="s">
        <v>1861</v>
      </c>
      <c r="J1467" s="4" t="s">
        <v>1862</v>
      </c>
      <c r="K1467" s="4" t="s">
        <v>25</v>
      </c>
      <c r="L1467" s="4" t="s">
        <v>3743</v>
      </c>
      <c r="M1467" s="4" t="s">
        <v>3746</v>
      </c>
      <c r="N1467" s="4" t="s">
        <v>3747</v>
      </c>
      <c r="O1467" s="17">
        <f>INDEX('список ID из СУЭ с должностями'!$A:$F,MATCH(E1467,'список ID из СУЭ с должностями'!$B:$B,0),5)</f>
        <v>0</v>
      </c>
    </row>
    <row r="1468" spans="1:15" ht="60">
      <c r="A1468" s="3" t="s">
        <v>10</v>
      </c>
      <c r="B1468" s="3" t="s">
        <v>11</v>
      </c>
      <c r="C1468" s="4">
        <v>2026</v>
      </c>
      <c r="D1468" s="5" t="s">
        <v>12</v>
      </c>
      <c r="E1468" s="4">
        <v>207</v>
      </c>
      <c r="F1468" s="4" t="s">
        <v>307</v>
      </c>
      <c r="G1468" s="4" t="s">
        <v>1554</v>
      </c>
      <c r="H1468" s="4" t="s">
        <v>15</v>
      </c>
      <c r="I1468" s="4" t="s">
        <v>1863</v>
      </c>
      <c r="J1468" s="4" t="s">
        <v>1864</v>
      </c>
      <c r="K1468" s="4" t="s">
        <v>66</v>
      </c>
      <c r="L1468" s="4" t="s">
        <v>3742</v>
      </c>
      <c r="M1468" s="4" t="s">
        <v>3746</v>
      </c>
      <c r="N1468" s="4" t="s">
        <v>3747</v>
      </c>
      <c r="O1468" s="17">
        <f>INDEX('список ID из СУЭ с должностями'!$A:$F,MATCH(E1468,'список ID из СУЭ с должностями'!$B:$B,0),5)</f>
        <v>0</v>
      </c>
    </row>
    <row r="1469" spans="1:15" ht="255">
      <c r="A1469" s="3" t="s">
        <v>10</v>
      </c>
      <c r="B1469" s="3" t="s">
        <v>11</v>
      </c>
      <c r="C1469" s="4">
        <v>2026</v>
      </c>
      <c r="D1469" s="5" t="s">
        <v>12</v>
      </c>
      <c r="E1469" s="4">
        <v>207</v>
      </c>
      <c r="F1469" s="4" t="s">
        <v>307</v>
      </c>
      <c r="G1469" s="4" t="s">
        <v>1554</v>
      </c>
      <c r="H1469" s="4" t="s">
        <v>41</v>
      </c>
      <c r="I1469" s="4" t="s">
        <v>1865</v>
      </c>
      <c r="J1469" s="4" t="s">
        <v>1866</v>
      </c>
      <c r="K1469" s="4" t="s">
        <v>66</v>
      </c>
      <c r="L1469" s="4" t="s">
        <v>3743</v>
      </c>
      <c r="M1469" s="4" t="s">
        <v>3746</v>
      </c>
      <c r="N1469" s="4" t="s">
        <v>3747</v>
      </c>
      <c r="O1469" s="17">
        <f>INDEX('список ID из СУЭ с должностями'!$A:$F,MATCH(E1469,'список ID из СУЭ с должностями'!$B:$B,0),5)</f>
        <v>0</v>
      </c>
    </row>
    <row r="1470" spans="1:15" ht="60">
      <c r="A1470" s="3" t="s">
        <v>10</v>
      </c>
      <c r="B1470" s="3" t="s">
        <v>11</v>
      </c>
      <c r="C1470" s="4">
        <v>2026</v>
      </c>
      <c r="D1470" s="5" t="s">
        <v>12</v>
      </c>
      <c r="E1470" s="4">
        <v>207</v>
      </c>
      <c r="F1470" s="4" t="s">
        <v>307</v>
      </c>
      <c r="G1470" s="4" t="s">
        <v>1554</v>
      </c>
      <c r="H1470" s="4" t="s">
        <v>15</v>
      </c>
      <c r="I1470" s="4" t="s">
        <v>1601</v>
      </c>
      <c r="J1470" s="4" t="s">
        <v>1867</v>
      </c>
      <c r="K1470" s="4" t="s">
        <v>35</v>
      </c>
      <c r="L1470" s="4" t="s">
        <v>3743</v>
      </c>
      <c r="M1470" s="4" t="s">
        <v>3746</v>
      </c>
      <c r="N1470" s="4" t="s">
        <v>3747</v>
      </c>
      <c r="O1470" s="17">
        <f>INDEX('список ID из СУЭ с должностями'!$A:$F,MATCH(E1470,'список ID из СУЭ с должностями'!$B:$B,0),5)</f>
        <v>0</v>
      </c>
    </row>
    <row r="1471" spans="1:15" ht="165">
      <c r="A1471" s="3" t="s">
        <v>10</v>
      </c>
      <c r="B1471" s="3" t="s">
        <v>11</v>
      </c>
      <c r="C1471" s="4">
        <v>2026</v>
      </c>
      <c r="D1471" s="5" t="s">
        <v>12</v>
      </c>
      <c r="E1471" s="4">
        <v>207</v>
      </c>
      <c r="F1471" s="4" t="s">
        <v>307</v>
      </c>
      <c r="G1471" s="4" t="s">
        <v>1554</v>
      </c>
      <c r="H1471" s="4" t="s">
        <v>21</v>
      </c>
      <c r="I1471" s="4" t="s">
        <v>1868</v>
      </c>
      <c r="J1471" s="4" t="s">
        <v>1869</v>
      </c>
      <c r="K1471" s="4" t="s">
        <v>25</v>
      </c>
      <c r="L1471" s="4" t="s">
        <v>3743</v>
      </c>
      <c r="M1471" s="4" t="s">
        <v>3746</v>
      </c>
      <c r="N1471" s="4" t="s">
        <v>3747</v>
      </c>
      <c r="O1471" s="17">
        <f>INDEX('список ID из СУЭ с должностями'!$A:$F,MATCH(E1471,'список ID из СУЭ с должностями'!$B:$B,0),5)</f>
        <v>0</v>
      </c>
    </row>
    <row r="1472" spans="1:15" ht="60">
      <c r="A1472" s="3" t="s">
        <v>10</v>
      </c>
      <c r="B1472" s="3" t="s">
        <v>11</v>
      </c>
      <c r="C1472" s="4">
        <v>2026</v>
      </c>
      <c r="D1472" s="5" t="s">
        <v>12</v>
      </c>
      <c r="E1472" s="4">
        <v>207</v>
      </c>
      <c r="F1472" s="4" t="s">
        <v>307</v>
      </c>
      <c r="G1472" s="4" t="s">
        <v>1554</v>
      </c>
      <c r="H1472" s="4" t="s">
        <v>15</v>
      </c>
      <c r="I1472" s="4" t="s">
        <v>1870</v>
      </c>
      <c r="J1472" s="4" t="s">
        <v>1566</v>
      </c>
      <c r="K1472" s="4" t="s">
        <v>188</v>
      </c>
      <c r="L1472" s="4" t="s">
        <v>3742</v>
      </c>
      <c r="M1472" s="4" t="s">
        <v>3746</v>
      </c>
      <c r="N1472" s="4" t="s">
        <v>3747</v>
      </c>
      <c r="O1472" s="17">
        <f>INDEX('список ID из СУЭ с должностями'!$A:$F,MATCH(E1472,'список ID из СУЭ с должностями'!$B:$B,0),5)</f>
        <v>0</v>
      </c>
    </row>
    <row r="1473" spans="1:15" ht="285">
      <c r="A1473" s="3" t="s">
        <v>10</v>
      </c>
      <c r="B1473" s="3" t="s">
        <v>11</v>
      </c>
      <c r="C1473" s="4">
        <v>2026</v>
      </c>
      <c r="D1473" s="5" t="s">
        <v>12</v>
      </c>
      <c r="E1473" s="4">
        <v>207</v>
      </c>
      <c r="F1473" s="4" t="s">
        <v>307</v>
      </c>
      <c r="G1473" s="4" t="s">
        <v>1554</v>
      </c>
      <c r="H1473" s="4" t="s">
        <v>15</v>
      </c>
      <c r="I1473" s="4" t="s">
        <v>1563</v>
      </c>
      <c r="J1473" s="4" t="s">
        <v>1871</v>
      </c>
      <c r="K1473" s="4" t="s">
        <v>55</v>
      </c>
      <c r="L1473" s="4" t="s">
        <v>3743</v>
      </c>
      <c r="M1473" s="4" t="s">
        <v>3746</v>
      </c>
      <c r="N1473" s="4" t="s">
        <v>3747</v>
      </c>
      <c r="O1473" s="17">
        <f>INDEX('список ID из СУЭ с должностями'!$A:$F,MATCH(E1473,'список ID из СУЭ с должностями'!$B:$B,0),5)</f>
        <v>0</v>
      </c>
    </row>
    <row r="1474" spans="1:15" ht="60">
      <c r="A1474" s="3" t="s">
        <v>10</v>
      </c>
      <c r="B1474" s="3" t="s">
        <v>11</v>
      </c>
      <c r="C1474" s="4">
        <v>2026</v>
      </c>
      <c r="D1474" s="5" t="s">
        <v>12</v>
      </c>
      <c r="E1474" s="4">
        <v>207</v>
      </c>
      <c r="F1474" s="4" t="s">
        <v>307</v>
      </c>
      <c r="G1474" s="4" t="s">
        <v>1554</v>
      </c>
      <c r="H1474" s="4" t="s">
        <v>15</v>
      </c>
      <c r="I1474" s="4" t="s">
        <v>1872</v>
      </c>
      <c r="J1474" s="4" t="s">
        <v>392</v>
      </c>
      <c r="K1474" s="4" t="s">
        <v>55</v>
      </c>
      <c r="L1474" s="4" t="s">
        <v>3742</v>
      </c>
      <c r="M1474" s="4" t="s">
        <v>3746</v>
      </c>
      <c r="N1474" s="4" t="s">
        <v>3747</v>
      </c>
      <c r="O1474" s="17">
        <f>INDEX('список ID из СУЭ с должностями'!$A:$F,MATCH(E1474,'список ID из СУЭ с должностями'!$B:$B,0),5)</f>
        <v>0</v>
      </c>
    </row>
    <row r="1475" spans="1:15" ht="60">
      <c r="A1475" s="3" t="s">
        <v>10</v>
      </c>
      <c r="B1475" s="3" t="s">
        <v>11</v>
      </c>
      <c r="C1475" s="4">
        <v>2026</v>
      </c>
      <c r="D1475" s="5" t="s">
        <v>12</v>
      </c>
      <c r="E1475" s="4">
        <v>207</v>
      </c>
      <c r="F1475" s="4" t="s">
        <v>307</v>
      </c>
      <c r="G1475" s="4" t="s">
        <v>1554</v>
      </c>
      <c r="H1475" s="4" t="s">
        <v>15</v>
      </c>
      <c r="I1475" s="4" t="s">
        <v>1873</v>
      </c>
      <c r="J1475" s="4" t="s">
        <v>182</v>
      </c>
      <c r="K1475" s="4" t="s">
        <v>66</v>
      </c>
      <c r="L1475" s="4" t="s">
        <v>3742</v>
      </c>
      <c r="M1475" s="4" t="s">
        <v>3746</v>
      </c>
      <c r="N1475" s="4" t="s">
        <v>3747</v>
      </c>
      <c r="O1475" s="17">
        <f>INDEX('список ID из СУЭ с должностями'!$A:$F,MATCH(E1475,'список ID из СУЭ с должностями'!$B:$B,0),5)</f>
        <v>0</v>
      </c>
    </row>
    <row r="1476" spans="1:15" ht="90">
      <c r="A1476" s="3" t="s">
        <v>10</v>
      </c>
      <c r="B1476" s="3" t="s">
        <v>11</v>
      </c>
      <c r="C1476" s="4">
        <v>2026</v>
      </c>
      <c r="D1476" s="5" t="s">
        <v>12</v>
      </c>
      <c r="E1476" s="4">
        <v>208</v>
      </c>
      <c r="F1476" s="4" t="s">
        <v>88</v>
      </c>
      <c r="G1476" s="4" t="s">
        <v>1833</v>
      </c>
      <c r="H1476" s="4" t="s">
        <v>15</v>
      </c>
      <c r="I1476" s="4" t="s">
        <v>1874</v>
      </c>
      <c r="J1476" s="4" t="s">
        <v>1875</v>
      </c>
      <c r="K1476" s="4" t="s">
        <v>23</v>
      </c>
      <c r="L1476" s="4" t="s">
        <v>3743</v>
      </c>
      <c r="M1476" s="4" t="s">
        <v>3748</v>
      </c>
      <c r="N1476" s="4" t="s">
        <v>3752</v>
      </c>
      <c r="O1476" s="17">
        <f>INDEX('список ID из СУЭ с должностями'!$A:$F,MATCH(E1476,'список ID из СУЭ с должностями'!$B:$B,0),5)</f>
        <v>0</v>
      </c>
    </row>
    <row r="1477" spans="1:15" ht="375">
      <c r="A1477" s="3" t="s">
        <v>10</v>
      </c>
      <c r="B1477" s="3" t="s">
        <v>11</v>
      </c>
      <c r="C1477" s="4">
        <v>2026</v>
      </c>
      <c r="D1477" s="5" t="s">
        <v>12</v>
      </c>
      <c r="E1477" s="4">
        <v>208</v>
      </c>
      <c r="F1477" s="4" t="s">
        <v>88</v>
      </c>
      <c r="G1477" s="4" t="s">
        <v>1833</v>
      </c>
      <c r="H1477" s="4" t="s">
        <v>15</v>
      </c>
      <c r="I1477" s="4" t="s">
        <v>1876</v>
      </c>
      <c r="J1477" s="4" t="s">
        <v>1877</v>
      </c>
      <c r="K1477" s="4" t="s">
        <v>23</v>
      </c>
      <c r="L1477" s="4" t="s">
        <v>3743</v>
      </c>
      <c r="M1477" s="4" t="s">
        <v>3748</v>
      </c>
      <c r="N1477" s="4" t="s">
        <v>3749</v>
      </c>
      <c r="O1477" s="17">
        <f>INDEX('список ID из СУЭ с должностями'!$A:$F,MATCH(E1477,'список ID из СУЭ с должностями'!$B:$B,0),5)</f>
        <v>0</v>
      </c>
    </row>
    <row r="1478" spans="1:15" ht="300">
      <c r="A1478" s="3" t="s">
        <v>10</v>
      </c>
      <c r="B1478" s="3" t="s">
        <v>11</v>
      </c>
      <c r="C1478" s="4">
        <v>2026</v>
      </c>
      <c r="D1478" s="5" t="s">
        <v>12</v>
      </c>
      <c r="E1478" s="4">
        <v>208</v>
      </c>
      <c r="F1478" s="4" t="s">
        <v>88</v>
      </c>
      <c r="G1478" s="4" t="s">
        <v>1833</v>
      </c>
      <c r="H1478" s="4" t="s">
        <v>21</v>
      </c>
      <c r="I1478" s="4" t="s">
        <v>1878</v>
      </c>
      <c r="J1478" s="4" t="s">
        <v>1879</v>
      </c>
      <c r="K1478" s="4" t="s">
        <v>23</v>
      </c>
      <c r="L1478" s="4" t="s">
        <v>3743</v>
      </c>
      <c r="M1478" s="4" t="s">
        <v>3748</v>
      </c>
      <c r="N1478" s="4" t="s">
        <v>3752</v>
      </c>
      <c r="O1478" s="17">
        <f>INDEX('список ID из СУЭ с должностями'!$A:$F,MATCH(E1478,'список ID из СУЭ с должностями'!$B:$B,0),5)</f>
        <v>0</v>
      </c>
    </row>
    <row r="1479" spans="1:15" ht="255">
      <c r="A1479" s="3" t="s">
        <v>10</v>
      </c>
      <c r="B1479" s="3" t="s">
        <v>11</v>
      </c>
      <c r="C1479" s="4">
        <v>2026</v>
      </c>
      <c r="D1479" s="5" t="s">
        <v>12</v>
      </c>
      <c r="E1479" s="4">
        <v>208</v>
      </c>
      <c r="F1479" s="4" t="s">
        <v>88</v>
      </c>
      <c r="G1479" s="4" t="s">
        <v>1833</v>
      </c>
      <c r="H1479" s="4" t="s">
        <v>15</v>
      </c>
      <c r="I1479" s="4" t="s">
        <v>1880</v>
      </c>
      <c r="J1479" s="4" t="s">
        <v>1881</v>
      </c>
      <c r="K1479" s="4" t="s">
        <v>23</v>
      </c>
      <c r="L1479" s="4" t="s">
        <v>3743</v>
      </c>
      <c r="M1479" s="4" t="s">
        <v>3748</v>
      </c>
      <c r="N1479" s="4" t="s">
        <v>3749</v>
      </c>
      <c r="O1479" s="17">
        <f>INDEX('список ID из СУЭ с должностями'!$A:$F,MATCH(E1479,'список ID из СУЭ с должностями'!$B:$B,0),5)</f>
        <v>0</v>
      </c>
    </row>
    <row r="1480" spans="1:15" ht="409.5">
      <c r="A1480" s="3" t="s">
        <v>10</v>
      </c>
      <c r="B1480" s="3" t="s">
        <v>11</v>
      </c>
      <c r="C1480" s="4">
        <v>2026</v>
      </c>
      <c r="D1480" s="5" t="s">
        <v>12</v>
      </c>
      <c r="E1480" s="4">
        <v>208</v>
      </c>
      <c r="F1480" s="4" t="s">
        <v>88</v>
      </c>
      <c r="G1480" s="4" t="s">
        <v>1833</v>
      </c>
      <c r="H1480" s="4" t="s">
        <v>15</v>
      </c>
      <c r="I1480" s="4" t="s">
        <v>1842</v>
      </c>
      <c r="J1480" s="4" t="s">
        <v>1882</v>
      </c>
      <c r="K1480" s="4" t="s">
        <v>23</v>
      </c>
      <c r="L1480" s="4" t="s">
        <v>3743</v>
      </c>
      <c r="M1480" s="4" t="s">
        <v>3748</v>
      </c>
      <c r="N1480" s="4" t="s">
        <v>3752</v>
      </c>
      <c r="O1480" s="17">
        <f>INDEX('список ID из СУЭ с должностями'!$A:$F,MATCH(E1480,'список ID из СУЭ с должностями'!$B:$B,0),5)</f>
        <v>0</v>
      </c>
    </row>
    <row r="1481" spans="1:15" ht="409.5">
      <c r="A1481" s="3" t="s">
        <v>10</v>
      </c>
      <c r="B1481" s="3" t="s">
        <v>11</v>
      </c>
      <c r="C1481" s="4">
        <v>2026</v>
      </c>
      <c r="D1481" s="5" t="s">
        <v>12</v>
      </c>
      <c r="E1481" s="4">
        <v>208</v>
      </c>
      <c r="F1481" s="4" t="s">
        <v>88</v>
      </c>
      <c r="G1481" s="4" t="s">
        <v>1833</v>
      </c>
      <c r="H1481" s="4" t="s">
        <v>21</v>
      </c>
      <c r="I1481" s="4" t="s">
        <v>1883</v>
      </c>
      <c r="J1481" s="4" t="s">
        <v>1884</v>
      </c>
      <c r="K1481" s="4" t="s">
        <v>23</v>
      </c>
      <c r="L1481" s="4" t="s">
        <v>3743</v>
      </c>
      <c r="M1481" s="4" t="s">
        <v>3748</v>
      </c>
      <c r="N1481" s="4" t="s">
        <v>3752</v>
      </c>
      <c r="O1481" s="17">
        <f>INDEX('список ID из СУЭ с должностями'!$A:$F,MATCH(E1481,'список ID из СУЭ с должностями'!$B:$B,0),5)</f>
        <v>0</v>
      </c>
    </row>
    <row r="1482" spans="1:15" ht="409.5">
      <c r="A1482" s="3" t="s">
        <v>10</v>
      </c>
      <c r="B1482" s="3" t="s">
        <v>11</v>
      </c>
      <c r="C1482" s="4">
        <v>2026</v>
      </c>
      <c r="D1482" s="5" t="s">
        <v>12</v>
      </c>
      <c r="E1482" s="4">
        <v>208</v>
      </c>
      <c r="F1482" s="4" t="s">
        <v>88</v>
      </c>
      <c r="G1482" s="4" t="s">
        <v>1833</v>
      </c>
      <c r="H1482" s="4" t="s">
        <v>21</v>
      </c>
      <c r="I1482" s="4" t="s">
        <v>1885</v>
      </c>
      <c r="J1482" s="4" t="s">
        <v>1886</v>
      </c>
      <c r="K1482" s="4" t="s">
        <v>23</v>
      </c>
      <c r="L1482" s="4" t="s">
        <v>3743</v>
      </c>
      <c r="M1482" s="4" t="s">
        <v>3748</v>
      </c>
      <c r="N1482" s="4" t="s">
        <v>3749</v>
      </c>
      <c r="O1482" s="17">
        <f>INDEX('список ID из СУЭ с должностями'!$A:$F,MATCH(E1482,'список ID из СУЭ с должностями'!$B:$B,0),5)</f>
        <v>0</v>
      </c>
    </row>
    <row r="1483" spans="1:15" ht="409.5">
      <c r="A1483" s="3" t="s">
        <v>10</v>
      </c>
      <c r="B1483" s="3" t="s">
        <v>11</v>
      </c>
      <c r="C1483" s="4">
        <v>2026</v>
      </c>
      <c r="D1483" s="5" t="s">
        <v>12</v>
      </c>
      <c r="E1483" s="4">
        <v>208</v>
      </c>
      <c r="F1483" s="4" t="s">
        <v>88</v>
      </c>
      <c r="G1483" s="4" t="s">
        <v>1833</v>
      </c>
      <c r="H1483" s="4" t="s">
        <v>15</v>
      </c>
      <c r="I1483" s="4" t="s">
        <v>1887</v>
      </c>
      <c r="J1483" s="4" t="s">
        <v>1888</v>
      </c>
      <c r="K1483" s="4" t="s">
        <v>23</v>
      </c>
      <c r="L1483" s="4" t="s">
        <v>3743</v>
      </c>
      <c r="M1483" s="4" t="s">
        <v>3748</v>
      </c>
      <c r="N1483" s="4" t="s">
        <v>3752</v>
      </c>
      <c r="O1483" s="17">
        <f>INDEX('список ID из СУЭ с должностями'!$A:$F,MATCH(E1483,'список ID из СУЭ с должностями'!$B:$B,0),5)</f>
        <v>0</v>
      </c>
    </row>
    <row r="1484" spans="1:15" ht="60">
      <c r="A1484" s="3" t="s">
        <v>10</v>
      </c>
      <c r="B1484" s="3" t="s">
        <v>11</v>
      </c>
      <c r="C1484" s="4">
        <v>2026</v>
      </c>
      <c r="D1484" s="5" t="s">
        <v>12</v>
      </c>
      <c r="E1484" s="4">
        <v>209</v>
      </c>
      <c r="F1484" s="4" t="s">
        <v>280</v>
      </c>
      <c r="G1484" s="4" t="s">
        <v>1611</v>
      </c>
      <c r="H1484" s="4" t="s">
        <v>15</v>
      </c>
      <c r="I1484" s="4" t="s">
        <v>62</v>
      </c>
      <c r="J1484" s="4" t="s">
        <v>1889</v>
      </c>
      <c r="K1484" s="4" t="s">
        <v>55</v>
      </c>
      <c r="L1484" s="4" t="s">
        <v>3743</v>
      </c>
      <c r="M1484" s="4" t="s">
        <v>3746</v>
      </c>
      <c r="N1484" s="4" t="s">
        <v>3747</v>
      </c>
      <c r="O1484" s="17" t="str">
        <f>INDEX('список ID из СУЭ с должностями'!$A:$F,MATCH(E1484,'список ID из СУЭ с должностями'!$B:$B,0),5)</f>
        <v>ВИП</v>
      </c>
    </row>
    <row r="1485" spans="1:15" ht="60">
      <c r="A1485" s="3" t="s">
        <v>10</v>
      </c>
      <c r="B1485" s="3" t="s">
        <v>11</v>
      </c>
      <c r="C1485" s="4">
        <v>2026</v>
      </c>
      <c r="D1485" s="5" t="s">
        <v>12</v>
      </c>
      <c r="E1485" s="4">
        <v>209</v>
      </c>
      <c r="F1485" s="4" t="s">
        <v>280</v>
      </c>
      <c r="G1485" s="4" t="s">
        <v>1611</v>
      </c>
      <c r="H1485" s="4" t="s">
        <v>15</v>
      </c>
      <c r="I1485" s="4" t="s">
        <v>1250</v>
      </c>
      <c r="J1485" s="4" t="s">
        <v>1251</v>
      </c>
      <c r="K1485" s="4" t="s">
        <v>52</v>
      </c>
      <c r="L1485" s="4" t="s">
        <v>3743</v>
      </c>
      <c r="M1485" s="4" t="s">
        <v>3746</v>
      </c>
      <c r="N1485" s="4" t="s">
        <v>3747</v>
      </c>
      <c r="O1485" s="17" t="str">
        <f>INDEX('список ID из СУЭ с должностями'!$A:$F,MATCH(E1485,'список ID из СУЭ с должностями'!$B:$B,0),5)</f>
        <v>ВИП</v>
      </c>
    </row>
    <row r="1486" spans="1:15" ht="105">
      <c r="A1486" s="3" t="s">
        <v>10</v>
      </c>
      <c r="B1486" s="3" t="s">
        <v>11</v>
      </c>
      <c r="C1486" s="4">
        <v>2026</v>
      </c>
      <c r="D1486" s="5" t="s">
        <v>12</v>
      </c>
      <c r="E1486" s="4">
        <v>209</v>
      </c>
      <c r="F1486" s="4" t="s">
        <v>280</v>
      </c>
      <c r="G1486" s="4" t="s">
        <v>1611</v>
      </c>
      <c r="H1486" s="4" t="s">
        <v>15</v>
      </c>
      <c r="I1486" s="4" t="s">
        <v>1591</v>
      </c>
      <c r="J1486" s="4" t="s">
        <v>1890</v>
      </c>
      <c r="K1486" s="4" t="s">
        <v>30</v>
      </c>
      <c r="L1486" s="4" t="s">
        <v>3743</v>
      </c>
      <c r="M1486" s="4" t="s">
        <v>3746</v>
      </c>
      <c r="N1486" s="4" t="s">
        <v>3747</v>
      </c>
      <c r="O1486" s="17" t="str">
        <f>INDEX('список ID из СУЭ с должностями'!$A:$F,MATCH(E1486,'список ID из СУЭ с должностями'!$B:$B,0),5)</f>
        <v>ВИП</v>
      </c>
    </row>
    <row r="1487" spans="1:15" ht="315">
      <c r="A1487" s="3" t="s">
        <v>10</v>
      </c>
      <c r="B1487" s="3" t="s">
        <v>11</v>
      </c>
      <c r="C1487" s="4">
        <v>2026</v>
      </c>
      <c r="D1487" s="5" t="s">
        <v>12</v>
      </c>
      <c r="E1487" s="4">
        <v>209</v>
      </c>
      <c r="F1487" s="4" t="s">
        <v>280</v>
      </c>
      <c r="G1487" s="4" t="s">
        <v>1611</v>
      </c>
      <c r="H1487" s="4" t="s">
        <v>15</v>
      </c>
      <c r="I1487" s="4" t="s">
        <v>1595</v>
      </c>
      <c r="J1487" s="4" t="s">
        <v>1596</v>
      </c>
      <c r="K1487" s="4" t="s">
        <v>66</v>
      </c>
      <c r="L1487" s="4" t="s">
        <v>3743</v>
      </c>
      <c r="M1487" s="4" t="s">
        <v>3746</v>
      </c>
      <c r="N1487" s="4" t="s">
        <v>3747</v>
      </c>
      <c r="O1487" s="17" t="str">
        <f>INDEX('список ID из СУЭ с должностями'!$A:$F,MATCH(E1487,'список ID из СУЭ с должностями'!$B:$B,0),5)</f>
        <v>ВИП</v>
      </c>
    </row>
    <row r="1488" spans="1:15" ht="60">
      <c r="A1488" s="3" t="s">
        <v>10</v>
      </c>
      <c r="B1488" s="3" t="s">
        <v>11</v>
      </c>
      <c r="C1488" s="4">
        <v>2026</v>
      </c>
      <c r="D1488" s="5" t="s">
        <v>12</v>
      </c>
      <c r="E1488" s="4">
        <v>209</v>
      </c>
      <c r="F1488" s="4" t="s">
        <v>280</v>
      </c>
      <c r="G1488" s="4" t="s">
        <v>1611</v>
      </c>
      <c r="H1488" s="4" t="s">
        <v>15</v>
      </c>
      <c r="I1488" s="4" t="s">
        <v>245</v>
      </c>
      <c r="J1488" s="4" t="s">
        <v>182</v>
      </c>
      <c r="K1488" s="4" t="s">
        <v>66</v>
      </c>
      <c r="L1488" s="4" t="s">
        <v>3742</v>
      </c>
      <c r="M1488" s="4" t="s">
        <v>3746</v>
      </c>
      <c r="N1488" s="4" t="s">
        <v>3747</v>
      </c>
      <c r="O1488" s="17" t="str">
        <f>INDEX('список ID из СУЭ с должностями'!$A:$F,MATCH(E1488,'список ID из СУЭ с должностями'!$B:$B,0),5)</f>
        <v>ВИП</v>
      </c>
    </row>
    <row r="1489" spans="1:15" ht="60">
      <c r="A1489" s="3" t="s">
        <v>10</v>
      </c>
      <c r="B1489" s="3" t="s">
        <v>11</v>
      </c>
      <c r="C1489" s="4">
        <v>2026</v>
      </c>
      <c r="D1489" s="5" t="s">
        <v>12</v>
      </c>
      <c r="E1489" s="4">
        <v>209</v>
      </c>
      <c r="F1489" s="4" t="s">
        <v>280</v>
      </c>
      <c r="G1489" s="4" t="s">
        <v>1611</v>
      </c>
      <c r="H1489" s="4" t="s">
        <v>41</v>
      </c>
      <c r="I1489" s="4" t="s">
        <v>1593</v>
      </c>
      <c r="J1489" s="4" t="s">
        <v>1594</v>
      </c>
      <c r="K1489" s="4" t="s">
        <v>52</v>
      </c>
      <c r="L1489" s="4" t="s">
        <v>3742</v>
      </c>
      <c r="M1489" s="4" t="s">
        <v>3746</v>
      </c>
      <c r="N1489" s="4" t="s">
        <v>3747</v>
      </c>
      <c r="O1489" s="17" t="str">
        <f>INDEX('список ID из СУЭ с должностями'!$A:$F,MATCH(E1489,'список ID из СУЭ с должностями'!$B:$B,0),5)</f>
        <v>ВИП</v>
      </c>
    </row>
    <row r="1490" spans="1:15" ht="60">
      <c r="A1490" s="3" t="s">
        <v>10</v>
      </c>
      <c r="B1490" s="3" t="s">
        <v>11</v>
      </c>
      <c r="C1490" s="4">
        <v>2026</v>
      </c>
      <c r="D1490" s="5" t="s">
        <v>12</v>
      </c>
      <c r="E1490" s="4">
        <v>209</v>
      </c>
      <c r="F1490" s="4" t="s">
        <v>280</v>
      </c>
      <c r="G1490" s="4" t="s">
        <v>1611</v>
      </c>
      <c r="H1490" s="4" t="s">
        <v>15</v>
      </c>
      <c r="I1490" s="4" t="s">
        <v>48</v>
      </c>
      <c r="J1490" s="4" t="s">
        <v>187</v>
      </c>
      <c r="K1490" s="4" t="s">
        <v>35</v>
      </c>
      <c r="L1490" s="4" t="s">
        <v>3743</v>
      </c>
      <c r="M1490" s="4" t="s">
        <v>3746</v>
      </c>
      <c r="N1490" s="4" t="s">
        <v>3747</v>
      </c>
      <c r="O1490" s="17" t="str">
        <f>INDEX('список ID из СУЭ с должностями'!$A:$F,MATCH(E1490,'список ID из СУЭ с должностями'!$B:$B,0),5)</f>
        <v>ВИП</v>
      </c>
    </row>
    <row r="1491" spans="1:15" ht="60">
      <c r="A1491" s="3" t="s">
        <v>10</v>
      </c>
      <c r="B1491" s="3" t="s">
        <v>11</v>
      </c>
      <c r="C1491" s="4">
        <v>2026</v>
      </c>
      <c r="D1491" s="5" t="s">
        <v>12</v>
      </c>
      <c r="E1491" s="4">
        <v>209</v>
      </c>
      <c r="F1491" s="4" t="s">
        <v>280</v>
      </c>
      <c r="G1491" s="4" t="s">
        <v>1611</v>
      </c>
      <c r="H1491" s="4" t="s">
        <v>15</v>
      </c>
      <c r="I1491" s="4" t="s">
        <v>819</v>
      </c>
      <c r="J1491" s="4" t="s">
        <v>200</v>
      </c>
      <c r="K1491" s="4" t="s">
        <v>66</v>
      </c>
      <c r="L1491" s="4" t="s">
        <v>3742</v>
      </c>
      <c r="M1491" s="4" t="s">
        <v>3746</v>
      </c>
      <c r="N1491" s="4" t="s">
        <v>3747</v>
      </c>
      <c r="O1491" s="17" t="str">
        <f>INDEX('список ID из СУЭ с должностями'!$A:$F,MATCH(E1491,'список ID из СУЭ с должностями'!$B:$B,0),5)</f>
        <v>ВИП</v>
      </c>
    </row>
    <row r="1492" spans="1:15" ht="60">
      <c r="A1492" s="3" t="s">
        <v>10</v>
      </c>
      <c r="B1492" s="3" t="s">
        <v>11</v>
      </c>
      <c r="C1492" s="4">
        <v>2026</v>
      </c>
      <c r="D1492" s="5" t="s">
        <v>12</v>
      </c>
      <c r="E1492" s="4">
        <v>209</v>
      </c>
      <c r="F1492" s="4" t="s">
        <v>280</v>
      </c>
      <c r="G1492" s="4" t="s">
        <v>1611</v>
      </c>
      <c r="H1492" s="4" t="s">
        <v>15</v>
      </c>
      <c r="I1492" s="4" t="s">
        <v>1588</v>
      </c>
      <c r="J1492" s="4" t="s">
        <v>1589</v>
      </c>
      <c r="K1492" s="4" t="s">
        <v>151</v>
      </c>
      <c r="L1492" s="4" t="s">
        <v>3742</v>
      </c>
      <c r="M1492" s="4" t="s">
        <v>3746</v>
      </c>
      <c r="N1492" s="4" t="s">
        <v>3747</v>
      </c>
      <c r="O1492" s="17" t="str">
        <f>INDEX('список ID из СУЭ с должностями'!$A:$F,MATCH(E1492,'список ID из СУЭ с должностями'!$B:$B,0),5)</f>
        <v>ВИП</v>
      </c>
    </row>
    <row r="1493" spans="1:15" ht="60">
      <c r="A1493" s="3" t="s">
        <v>10</v>
      </c>
      <c r="B1493" s="3" t="s">
        <v>11</v>
      </c>
      <c r="C1493" s="4">
        <v>2026</v>
      </c>
      <c r="D1493" s="5" t="s">
        <v>12</v>
      </c>
      <c r="E1493" s="4">
        <v>210</v>
      </c>
      <c r="F1493" s="4" t="s">
        <v>239</v>
      </c>
      <c r="G1493" s="4" t="s">
        <v>1611</v>
      </c>
      <c r="H1493" s="4" t="s">
        <v>15</v>
      </c>
      <c r="I1493" s="4" t="s">
        <v>816</v>
      </c>
      <c r="J1493" s="4" t="s">
        <v>182</v>
      </c>
      <c r="K1493" s="4" t="s">
        <v>38</v>
      </c>
      <c r="L1493" s="4" t="s">
        <v>3742</v>
      </c>
      <c r="M1493" s="4" t="s">
        <v>3746</v>
      </c>
      <c r="N1493" s="4" t="s">
        <v>3747</v>
      </c>
      <c r="O1493" s="17" t="str">
        <f>INDEX('список ID из СУЭ с должностями'!$A:$F,MATCH(E1493,'список ID из СУЭ с должностями'!$B:$B,0),5)</f>
        <v>ИПП</v>
      </c>
    </row>
    <row r="1494" spans="1:15" ht="60">
      <c r="A1494" s="3" t="s">
        <v>10</v>
      </c>
      <c r="B1494" s="3" t="s">
        <v>11</v>
      </c>
      <c r="C1494" s="4">
        <v>2026</v>
      </c>
      <c r="D1494" s="5" t="s">
        <v>12</v>
      </c>
      <c r="E1494" s="4">
        <v>210</v>
      </c>
      <c r="F1494" s="4" t="s">
        <v>239</v>
      </c>
      <c r="G1494" s="4" t="s">
        <v>1611</v>
      </c>
      <c r="H1494" s="4" t="s">
        <v>15</v>
      </c>
      <c r="I1494" s="4" t="s">
        <v>817</v>
      </c>
      <c r="J1494" s="4" t="s">
        <v>196</v>
      </c>
      <c r="K1494" s="4" t="s">
        <v>38</v>
      </c>
      <c r="L1494" s="4" t="s">
        <v>3742</v>
      </c>
      <c r="M1494" s="4" t="s">
        <v>3746</v>
      </c>
      <c r="N1494" s="4" t="s">
        <v>3747</v>
      </c>
      <c r="O1494" s="17" t="str">
        <f>INDEX('список ID из СУЭ с должностями'!$A:$F,MATCH(E1494,'список ID из СУЭ с должностями'!$B:$B,0),5)</f>
        <v>ИПП</v>
      </c>
    </row>
    <row r="1495" spans="1:15" ht="60">
      <c r="A1495" s="3" t="s">
        <v>10</v>
      </c>
      <c r="B1495" s="3" t="s">
        <v>11</v>
      </c>
      <c r="C1495" s="4">
        <v>2026</v>
      </c>
      <c r="D1495" s="5" t="s">
        <v>12</v>
      </c>
      <c r="E1495" s="4">
        <v>210</v>
      </c>
      <c r="F1495" s="4" t="s">
        <v>239</v>
      </c>
      <c r="G1495" s="4" t="s">
        <v>1611</v>
      </c>
      <c r="H1495" s="4" t="s">
        <v>15</v>
      </c>
      <c r="I1495" s="4" t="s">
        <v>243</v>
      </c>
      <c r="J1495" s="4" t="s">
        <v>132</v>
      </c>
      <c r="K1495" s="4" t="s">
        <v>38</v>
      </c>
      <c r="L1495" s="4" t="s">
        <v>3742</v>
      </c>
      <c r="M1495" s="4" t="s">
        <v>3746</v>
      </c>
      <c r="N1495" s="4" t="s">
        <v>3747</v>
      </c>
      <c r="O1495" s="17" t="str">
        <f>INDEX('список ID из СУЭ с должностями'!$A:$F,MATCH(E1495,'список ID из СУЭ с должностями'!$B:$B,0),5)</f>
        <v>ИПП</v>
      </c>
    </row>
    <row r="1496" spans="1:15" ht="90">
      <c r="A1496" s="3" t="s">
        <v>10</v>
      </c>
      <c r="B1496" s="3" t="s">
        <v>11</v>
      </c>
      <c r="C1496" s="4">
        <v>2026</v>
      </c>
      <c r="D1496" s="5" t="s">
        <v>12</v>
      </c>
      <c r="E1496" s="4">
        <v>210</v>
      </c>
      <c r="F1496" s="4" t="s">
        <v>239</v>
      </c>
      <c r="G1496" s="4" t="s">
        <v>1611</v>
      </c>
      <c r="H1496" s="4" t="s">
        <v>15</v>
      </c>
      <c r="I1496" s="4" t="s">
        <v>198</v>
      </c>
      <c r="J1496" s="4" t="s">
        <v>818</v>
      </c>
      <c r="K1496" s="4" t="s">
        <v>20</v>
      </c>
      <c r="L1496" s="4" t="s">
        <v>3743</v>
      </c>
      <c r="M1496" s="4" t="s">
        <v>3746</v>
      </c>
      <c r="N1496" s="4" t="s">
        <v>3747</v>
      </c>
      <c r="O1496" s="17" t="str">
        <f>INDEX('список ID из СУЭ с должностями'!$A:$F,MATCH(E1496,'список ID из СУЭ с должностями'!$B:$B,0),5)</f>
        <v>ИПП</v>
      </c>
    </row>
    <row r="1497" spans="1:15" ht="60">
      <c r="A1497" s="3" t="s">
        <v>10</v>
      </c>
      <c r="B1497" s="3" t="s">
        <v>11</v>
      </c>
      <c r="C1497" s="4">
        <v>2026</v>
      </c>
      <c r="D1497" s="5" t="s">
        <v>12</v>
      </c>
      <c r="E1497" s="4">
        <v>210</v>
      </c>
      <c r="F1497" s="4" t="s">
        <v>239</v>
      </c>
      <c r="G1497" s="4" t="s">
        <v>1611</v>
      </c>
      <c r="H1497" s="4" t="s">
        <v>15</v>
      </c>
      <c r="I1497" s="4" t="s">
        <v>819</v>
      </c>
      <c r="J1497" s="4" t="s">
        <v>200</v>
      </c>
      <c r="K1497" s="4" t="s">
        <v>66</v>
      </c>
      <c r="L1497" s="4" t="s">
        <v>3742</v>
      </c>
      <c r="M1497" s="4" t="s">
        <v>3746</v>
      </c>
      <c r="N1497" s="4" t="s">
        <v>3747</v>
      </c>
      <c r="O1497" s="17" t="str">
        <f>INDEX('список ID из СУЭ с должностями'!$A:$F,MATCH(E1497,'список ID из СУЭ с должностями'!$B:$B,0),5)</f>
        <v>ИПП</v>
      </c>
    </row>
    <row r="1498" spans="1:15" ht="60">
      <c r="A1498" s="3" t="s">
        <v>10</v>
      </c>
      <c r="B1498" s="3" t="s">
        <v>11</v>
      </c>
      <c r="C1498" s="4">
        <v>2026</v>
      </c>
      <c r="D1498" s="5" t="s">
        <v>12</v>
      </c>
      <c r="E1498" s="4">
        <v>210</v>
      </c>
      <c r="F1498" s="4" t="s">
        <v>239</v>
      </c>
      <c r="G1498" s="4" t="s">
        <v>1611</v>
      </c>
      <c r="H1498" s="4" t="s">
        <v>15</v>
      </c>
      <c r="I1498" s="4" t="s">
        <v>48</v>
      </c>
      <c r="J1498" s="4" t="s">
        <v>187</v>
      </c>
      <c r="K1498" s="4" t="s">
        <v>35</v>
      </c>
      <c r="L1498" s="4" t="s">
        <v>3743</v>
      </c>
      <c r="M1498" s="4" t="s">
        <v>3746</v>
      </c>
      <c r="N1498" s="4" t="s">
        <v>3747</v>
      </c>
      <c r="O1498" s="17" t="str">
        <f>INDEX('список ID из СУЭ с должностями'!$A:$F,MATCH(E1498,'список ID из СУЭ с должностями'!$B:$B,0),5)</f>
        <v>ИПП</v>
      </c>
    </row>
    <row r="1499" spans="1:15" ht="165">
      <c r="A1499" s="3" t="s">
        <v>10</v>
      </c>
      <c r="B1499" s="3" t="s">
        <v>11</v>
      </c>
      <c r="C1499" s="4">
        <v>2026</v>
      </c>
      <c r="D1499" s="5" t="s">
        <v>12</v>
      </c>
      <c r="E1499" s="4">
        <v>211</v>
      </c>
      <c r="F1499" s="4" t="s">
        <v>39</v>
      </c>
      <c r="G1499" s="4" t="s">
        <v>964</v>
      </c>
      <c r="H1499" s="4" t="s">
        <v>15</v>
      </c>
      <c r="I1499" s="4" t="s">
        <v>189</v>
      </c>
      <c r="J1499" s="4" t="s">
        <v>1615</v>
      </c>
      <c r="K1499" s="4" t="s">
        <v>23</v>
      </c>
      <c r="L1499" s="4" t="s">
        <v>3743</v>
      </c>
      <c r="M1499" s="4" t="s">
        <v>3748</v>
      </c>
      <c r="N1499" s="4" t="s">
        <v>3749</v>
      </c>
      <c r="O1499" s="17" t="str">
        <f>INDEX('список ID из СУЭ с должностями'!$A:$F,MATCH(E1499,'список ID из СУЭ с должностями'!$B:$B,0),5)</f>
        <v>НС</v>
      </c>
    </row>
    <row r="1500" spans="1:15" ht="60">
      <c r="A1500" s="3" t="s">
        <v>10</v>
      </c>
      <c r="B1500" s="3" t="s">
        <v>11</v>
      </c>
      <c r="C1500" s="4">
        <v>2026</v>
      </c>
      <c r="D1500" s="5" t="s">
        <v>12</v>
      </c>
      <c r="E1500" s="4">
        <v>211</v>
      </c>
      <c r="F1500" s="4" t="s">
        <v>39</v>
      </c>
      <c r="G1500" s="4" t="s">
        <v>964</v>
      </c>
      <c r="H1500" s="4" t="s">
        <v>15</v>
      </c>
      <c r="I1500" s="4" t="s">
        <v>1612</v>
      </c>
      <c r="J1500" s="4" t="s">
        <v>1613</v>
      </c>
      <c r="K1500" s="4" t="s">
        <v>188</v>
      </c>
      <c r="L1500" s="4" t="s">
        <v>3742</v>
      </c>
      <c r="M1500" s="4" t="s">
        <v>3746</v>
      </c>
      <c r="N1500" s="4" t="s">
        <v>3747</v>
      </c>
      <c r="O1500" s="17" t="str">
        <f>INDEX('список ID из СУЭ с должностями'!$A:$F,MATCH(E1500,'список ID из СУЭ с должностями'!$B:$B,0),5)</f>
        <v>НС</v>
      </c>
    </row>
    <row r="1501" spans="1:15" ht="45">
      <c r="A1501" s="3" t="s">
        <v>10</v>
      </c>
      <c r="B1501" s="3" t="s">
        <v>11</v>
      </c>
      <c r="C1501" s="4">
        <v>2026</v>
      </c>
      <c r="D1501" s="5" t="s">
        <v>12</v>
      </c>
      <c r="E1501" s="4">
        <v>211</v>
      </c>
      <c r="F1501" s="4" t="s">
        <v>39</v>
      </c>
      <c r="G1501" s="4" t="s">
        <v>964</v>
      </c>
      <c r="H1501" s="4" t="s">
        <v>15</v>
      </c>
      <c r="I1501" s="4" t="s">
        <v>984</v>
      </c>
      <c r="J1501" s="4" t="s">
        <v>832</v>
      </c>
      <c r="K1501" s="4" t="s">
        <v>66</v>
      </c>
      <c r="L1501" s="4" t="s">
        <v>3742</v>
      </c>
      <c r="M1501" s="4" t="s">
        <v>3746</v>
      </c>
      <c r="N1501" s="4" t="s">
        <v>3747</v>
      </c>
      <c r="O1501" s="17" t="str">
        <f>INDEX('список ID из СУЭ с должностями'!$A:$F,MATCH(E1501,'список ID из СУЭ с должностями'!$B:$B,0),5)</f>
        <v>НС</v>
      </c>
    </row>
    <row r="1502" spans="1:15" ht="75">
      <c r="A1502" s="3" t="s">
        <v>10</v>
      </c>
      <c r="B1502" s="3" t="s">
        <v>11</v>
      </c>
      <c r="C1502" s="4">
        <v>2026</v>
      </c>
      <c r="D1502" s="5" t="s">
        <v>12</v>
      </c>
      <c r="E1502" s="4">
        <v>211</v>
      </c>
      <c r="F1502" s="4" t="s">
        <v>39</v>
      </c>
      <c r="G1502" s="4" t="s">
        <v>964</v>
      </c>
      <c r="H1502" s="4" t="s">
        <v>15</v>
      </c>
      <c r="I1502" s="4" t="s">
        <v>62</v>
      </c>
      <c r="J1502" s="4" t="s">
        <v>1614</v>
      </c>
      <c r="K1502" s="4" t="s">
        <v>20</v>
      </c>
      <c r="L1502" s="4" t="s">
        <v>3743</v>
      </c>
      <c r="M1502" s="4" t="s">
        <v>3746</v>
      </c>
      <c r="N1502" s="4" t="s">
        <v>3747</v>
      </c>
      <c r="O1502" s="17" t="str">
        <f>INDEX('список ID из СУЭ с должностями'!$A:$F,MATCH(E1502,'список ID из СУЭ с должностями'!$B:$B,0),5)</f>
        <v>НС</v>
      </c>
    </row>
    <row r="1503" spans="1:15" ht="45">
      <c r="A1503" s="3" t="s">
        <v>10</v>
      </c>
      <c r="B1503" s="3" t="s">
        <v>11</v>
      </c>
      <c r="C1503" s="4">
        <v>2026</v>
      </c>
      <c r="D1503" s="5" t="s">
        <v>12</v>
      </c>
      <c r="E1503" s="4">
        <v>211</v>
      </c>
      <c r="F1503" s="4" t="s">
        <v>39</v>
      </c>
      <c r="G1503" s="4" t="s">
        <v>964</v>
      </c>
      <c r="H1503" s="4" t="s">
        <v>15</v>
      </c>
      <c r="I1503" s="4" t="s">
        <v>596</v>
      </c>
      <c r="J1503" s="4" t="s">
        <v>1616</v>
      </c>
      <c r="K1503" s="4" t="s">
        <v>55</v>
      </c>
      <c r="L1503" s="4" t="s">
        <v>3742</v>
      </c>
      <c r="M1503" s="4" t="s">
        <v>3746</v>
      </c>
      <c r="N1503" s="4" t="s">
        <v>3747</v>
      </c>
      <c r="O1503" s="17" t="str">
        <f>INDEX('список ID из СУЭ с должностями'!$A:$F,MATCH(E1503,'список ID из СУЭ с должностями'!$B:$B,0),5)</f>
        <v>НС</v>
      </c>
    </row>
    <row r="1504" spans="1:15" ht="60">
      <c r="A1504" s="3" t="s">
        <v>10</v>
      </c>
      <c r="B1504" s="3" t="s">
        <v>11</v>
      </c>
      <c r="C1504" s="4">
        <v>2026</v>
      </c>
      <c r="D1504" s="5" t="s">
        <v>12</v>
      </c>
      <c r="E1504" s="4">
        <v>211</v>
      </c>
      <c r="F1504" s="4" t="s">
        <v>39</v>
      </c>
      <c r="G1504" s="4" t="s">
        <v>964</v>
      </c>
      <c r="H1504" s="4" t="s">
        <v>15</v>
      </c>
      <c r="I1504" s="4" t="s">
        <v>1588</v>
      </c>
      <c r="J1504" s="4" t="s">
        <v>1619</v>
      </c>
      <c r="K1504" s="4" t="s">
        <v>151</v>
      </c>
      <c r="L1504" s="4" t="s">
        <v>3742</v>
      </c>
      <c r="M1504" s="4" t="s">
        <v>3746</v>
      </c>
      <c r="N1504" s="4" t="s">
        <v>3747</v>
      </c>
      <c r="O1504" s="17" t="str">
        <f>INDEX('список ID из СУЭ с должностями'!$A:$F,MATCH(E1504,'список ID из СУЭ с должностями'!$B:$B,0),5)</f>
        <v>НС</v>
      </c>
    </row>
    <row r="1505" spans="1:15" ht="60">
      <c r="A1505" s="3" t="s">
        <v>10</v>
      </c>
      <c r="B1505" s="3" t="s">
        <v>11</v>
      </c>
      <c r="C1505" s="4">
        <v>2026</v>
      </c>
      <c r="D1505" s="5" t="s">
        <v>12</v>
      </c>
      <c r="E1505" s="4">
        <v>211</v>
      </c>
      <c r="F1505" s="4" t="s">
        <v>39</v>
      </c>
      <c r="G1505" s="4" t="s">
        <v>964</v>
      </c>
      <c r="H1505" s="4" t="s">
        <v>15</v>
      </c>
      <c r="I1505" s="4" t="s">
        <v>56</v>
      </c>
      <c r="J1505" s="4" t="s">
        <v>1617</v>
      </c>
      <c r="K1505" s="4" t="s">
        <v>30</v>
      </c>
      <c r="L1505" s="4" t="s">
        <v>3743</v>
      </c>
      <c r="M1505" s="4" t="s">
        <v>3746</v>
      </c>
      <c r="N1505" s="4" t="s">
        <v>3747</v>
      </c>
      <c r="O1505" s="17" t="str">
        <f>INDEX('список ID из СУЭ с должностями'!$A:$F,MATCH(E1505,'список ID из СУЭ с должностями'!$B:$B,0),5)</f>
        <v>НС</v>
      </c>
    </row>
    <row r="1506" spans="1:15" ht="60">
      <c r="A1506" s="3" t="s">
        <v>10</v>
      </c>
      <c r="B1506" s="3" t="s">
        <v>11</v>
      </c>
      <c r="C1506" s="4">
        <v>2026</v>
      </c>
      <c r="D1506" s="5" t="s">
        <v>12</v>
      </c>
      <c r="E1506" s="4">
        <v>211</v>
      </c>
      <c r="F1506" s="4" t="s">
        <v>39</v>
      </c>
      <c r="G1506" s="4" t="s">
        <v>964</v>
      </c>
      <c r="H1506" s="4" t="s">
        <v>15</v>
      </c>
      <c r="I1506" s="4" t="s">
        <v>1250</v>
      </c>
      <c r="J1506" s="4" t="s">
        <v>1251</v>
      </c>
      <c r="K1506" s="4" t="s">
        <v>38</v>
      </c>
      <c r="L1506" s="4" t="s">
        <v>3743</v>
      </c>
      <c r="M1506" s="4" t="s">
        <v>3746</v>
      </c>
      <c r="N1506" s="4" t="s">
        <v>3747</v>
      </c>
      <c r="O1506" s="17" t="str">
        <f>INDEX('список ID из СУЭ с должностями'!$A:$F,MATCH(E1506,'список ID из СУЭ с должностями'!$B:$B,0),5)</f>
        <v>НС</v>
      </c>
    </row>
    <row r="1507" spans="1:15" ht="150">
      <c r="A1507" s="3" t="s">
        <v>10</v>
      </c>
      <c r="B1507" s="3" t="s">
        <v>11</v>
      </c>
      <c r="C1507" s="4">
        <v>2026</v>
      </c>
      <c r="D1507" s="5" t="s">
        <v>12</v>
      </c>
      <c r="E1507" s="4">
        <v>211</v>
      </c>
      <c r="F1507" s="4" t="s">
        <v>39</v>
      </c>
      <c r="G1507" s="4" t="s">
        <v>964</v>
      </c>
      <c r="H1507" s="4" t="s">
        <v>21</v>
      </c>
      <c r="I1507" s="4" t="s">
        <v>46</v>
      </c>
      <c r="J1507" s="4" t="s">
        <v>1618</v>
      </c>
      <c r="K1507" s="4" t="s">
        <v>20</v>
      </c>
      <c r="L1507" s="4" t="s">
        <v>3743</v>
      </c>
      <c r="M1507" s="4" t="s">
        <v>3746</v>
      </c>
      <c r="N1507" s="4" t="s">
        <v>3747</v>
      </c>
      <c r="O1507" s="17" t="str">
        <f>INDEX('список ID из СУЭ с должностями'!$A:$F,MATCH(E1507,'список ID из СУЭ с должностями'!$B:$B,0),5)</f>
        <v>НС</v>
      </c>
    </row>
    <row r="1508" spans="1:15" ht="45">
      <c r="A1508" s="3" t="s">
        <v>10</v>
      </c>
      <c r="B1508" s="3" t="s">
        <v>11</v>
      </c>
      <c r="C1508" s="4">
        <v>2026</v>
      </c>
      <c r="D1508" s="5" t="s">
        <v>12</v>
      </c>
      <c r="E1508" s="4">
        <v>211</v>
      </c>
      <c r="F1508" s="4" t="s">
        <v>39</v>
      </c>
      <c r="G1508" s="4" t="s">
        <v>964</v>
      </c>
      <c r="H1508" s="4" t="s">
        <v>15</v>
      </c>
      <c r="I1508" s="4" t="s">
        <v>48</v>
      </c>
      <c r="J1508" s="4" t="s">
        <v>187</v>
      </c>
      <c r="K1508" s="4" t="s">
        <v>35</v>
      </c>
      <c r="L1508" s="4" t="s">
        <v>3743</v>
      </c>
      <c r="M1508" s="4" t="s">
        <v>3746</v>
      </c>
      <c r="N1508" s="4" t="s">
        <v>3747</v>
      </c>
      <c r="O1508" s="17" t="str">
        <f>INDEX('список ID из СУЭ с должностями'!$A:$F,MATCH(E1508,'список ID из СУЭ с должностями'!$B:$B,0),5)</f>
        <v>НС</v>
      </c>
    </row>
    <row r="1509" spans="1:15" ht="135">
      <c r="A1509" s="3" t="s">
        <v>10</v>
      </c>
      <c r="B1509" s="3" t="s">
        <v>11</v>
      </c>
      <c r="C1509" s="4">
        <v>2026</v>
      </c>
      <c r="D1509" s="5" t="s">
        <v>12</v>
      </c>
      <c r="E1509" s="4">
        <v>212</v>
      </c>
      <c r="F1509" s="4" t="s">
        <v>458</v>
      </c>
      <c r="G1509" s="4" t="s">
        <v>1822</v>
      </c>
      <c r="H1509" s="4" t="s">
        <v>21</v>
      </c>
      <c r="I1509" s="4" t="s">
        <v>1171</v>
      </c>
      <c r="J1509" s="4" t="s">
        <v>1172</v>
      </c>
      <c r="K1509" s="4" t="s">
        <v>38</v>
      </c>
      <c r="L1509" s="4" t="s">
        <v>3743</v>
      </c>
      <c r="M1509" s="4" t="s">
        <v>3746</v>
      </c>
      <c r="N1509" s="4" t="s">
        <v>3747</v>
      </c>
      <c r="O1509" s="17">
        <f>INDEX('список ID из СУЭ с должностями'!$A:$F,MATCH(E1509,'список ID из СУЭ с должностями'!$B:$B,0),5)</f>
        <v>0</v>
      </c>
    </row>
    <row r="1510" spans="1:15" ht="409.5">
      <c r="A1510" s="3" t="s">
        <v>10</v>
      </c>
      <c r="B1510" s="3" t="s">
        <v>11</v>
      </c>
      <c r="C1510" s="4">
        <v>2026</v>
      </c>
      <c r="D1510" s="5" t="s">
        <v>12</v>
      </c>
      <c r="E1510" s="4">
        <v>212</v>
      </c>
      <c r="F1510" s="4" t="s">
        <v>458</v>
      </c>
      <c r="G1510" s="4" t="s">
        <v>1822</v>
      </c>
      <c r="H1510" s="4" t="s">
        <v>15</v>
      </c>
      <c r="I1510" s="4" t="s">
        <v>464</v>
      </c>
      <c r="J1510" s="4" t="s">
        <v>1891</v>
      </c>
      <c r="K1510" s="4" t="s">
        <v>25</v>
      </c>
      <c r="L1510" s="4" t="s">
        <v>3743</v>
      </c>
      <c r="M1510" s="4" t="s">
        <v>3746</v>
      </c>
      <c r="N1510" s="4" t="s">
        <v>3747</v>
      </c>
      <c r="O1510" s="17">
        <f>INDEX('список ID из СУЭ с должностями'!$A:$F,MATCH(E1510,'список ID из СУЭ с должностями'!$B:$B,0),5)</f>
        <v>0</v>
      </c>
    </row>
    <row r="1511" spans="1:15" ht="409.5">
      <c r="A1511" s="3" t="s">
        <v>10</v>
      </c>
      <c r="B1511" s="3" t="s">
        <v>11</v>
      </c>
      <c r="C1511" s="4">
        <v>2026</v>
      </c>
      <c r="D1511" s="5" t="s">
        <v>12</v>
      </c>
      <c r="E1511" s="4">
        <v>212</v>
      </c>
      <c r="F1511" s="4" t="s">
        <v>458</v>
      </c>
      <c r="G1511" s="4" t="s">
        <v>1822</v>
      </c>
      <c r="H1511" s="4" t="s">
        <v>15</v>
      </c>
      <c r="I1511" s="4" t="s">
        <v>1168</v>
      </c>
      <c r="J1511" s="4" t="s">
        <v>1237</v>
      </c>
      <c r="K1511" s="4" t="s">
        <v>25</v>
      </c>
      <c r="L1511" s="4" t="s">
        <v>3743</v>
      </c>
      <c r="M1511" s="4" t="s">
        <v>3746</v>
      </c>
      <c r="N1511" s="4" t="s">
        <v>3747</v>
      </c>
      <c r="O1511" s="17">
        <f>INDEX('список ID из СУЭ с должностями'!$A:$F,MATCH(E1511,'список ID из СУЭ с должностями'!$B:$B,0),5)</f>
        <v>0</v>
      </c>
    </row>
    <row r="1512" spans="1:15" ht="390">
      <c r="A1512" s="3" t="s">
        <v>10</v>
      </c>
      <c r="B1512" s="3" t="s">
        <v>11</v>
      </c>
      <c r="C1512" s="4">
        <v>2026</v>
      </c>
      <c r="D1512" s="5" t="s">
        <v>12</v>
      </c>
      <c r="E1512" s="4">
        <v>212</v>
      </c>
      <c r="F1512" s="4" t="s">
        <v>458</v>
      </c>
      <c r="G1512" s="4" t="s">
        <v>1822</v>
      </c>
      <c r="H1512" s="4" t="s">
        <v>15</v>
      </c>
      <c r="I1512" s="4" t="s">
        <v>855</v>
      </c>
      <c r="J1512" s="4" t="s">
        <v>1892</v>
      </c>
      <c r="K1512" s="4" t="s">
        <v>52</v>
      </c>
      <c r="L1512" s="4" t="s">
        <v>3743</v>
      </c>
      <c r="M1512" s="4" t="s">
        <v>3746</v>
      </c>
      <c r="N1512" s="4" t="s">
        <v>3747</v>
      </c>
      <c r="O1512" s="17">
        <f>INDEX('список ID из СУЭ с должностями'!$A:$F,MATCH(E1512,'список ID из СУЭ с должностями'!$B:$B,0),5)</f>
        <v>0</v>
      </c>
    </row>
    <row r="1513" spans="1:15" ht="409.5">
      <c r="A1513" s="3" t="s">
        <v>10</v>
      </c>
      <c r="B1513" s="3" t="s">
        <v>11</v>
      </c>
      <c r="C1513" s="4">
        <v>2026</v>
      </c>
      <c r="D1513" s="5" t="s">
        <v>12</v>
      </c>
      <c r="E1513" s="4">
        <v>212</v>
      </c>
      <c r="F1513" s="4" t="s">
        <v>458</v>
      </c>
      <c r="G1513" s="4" t="s">
        <v>1822</v>
      </c>
      <c r="H1513" s="4" t="s">
        <v>15</v>
      </c>
      <c r="I1513" s="4" t="s">
        <v>460</v>
      </c>
      <c r="J1513" s="4" t="s">
        <v>1170</v>
      </c>
      <c r="K1513" s="4" t="s">
        <v>38</v>
      </c>
      <c r="L1513" s="4" t="s">
        <v>3743</v>
      </c>
      <c r="M1513" s="4" t="s">
        <v>3746</v>
      </c>
      <c r="N1513" s="4" t="s">
        <v>3747</v>
      </c>
      <c r="O1513" s="17">
        <f>INDEX('список ID из СУЭ с должностями'!$A:$F,MATCH(E1513,'список ID из СУЭ с должностями'!$B:$B,0),5)</f>
        <v>0</v>
      </c>
    </row>
    <row r="1514" spans="1:15" ht="330">
      <c r="A1514" s="3" t="s">
        <v>10</v>
      </c>
      <c r="B1514" s="3" t="s">
        <v>11</v>
      </c>
      <c r="C1514" s="4">
        <v>2026</v>
      </c>
      <c r="D1514" s="5" t="s">
        <v>12</v>
      </c>
      <c r="E1514" s="4">
        <v>212</v>
      </c>
      <c r="F1514" s="4" t="s">
        <v>458</v>
      </c>
      <c r="G1514" s="4" t="s">
        <v>1822</v>
      </c>
      <c r="H1514" s="4" t="s">
        <v>15</v>
      </c>
      <c r="I1514" s="4" t="s">
        <v>147</v>
      </c>
      <c r="J1514" s="4" t="s">
        <v>1893</v>
      </c>
      <c r="K1514" s="4" t="s">
        <v>35</v>
      </c>
      <c r="L1514" s="4" t="s">
        <v>3743</v>
      </c>
      <c r="M1514" s="4" t="s">
        <v>3746</v>
      </c>
      <c r="N1514" s="4" t="s">
        <v>3747</v>
      </c>
      <c r="O1514" s="17">
        <f>INDEX('список ID из СУЭ с должностями'!$A:$F,MATCH(E1514,'список ID из СУЭ с должностями'!$B:$B,0),5)</f>
        <v>0</v>
      </c>
    </row>
    <row r="1515" spans="1:15" ht="315">
      <c r="A1515" s="3" t="s">
        <v>10</v>
      </c>
      <c r="B1515" s="3" t="s">
        <v>11</v>
      </c>
      <c r="C1515" s="4">
        <v>2026</v>
      </c>
      <c r="D1515" s="5" t="s">
        <v>12</v>
      </c>
      <c r="E1515" s="4">
        <v>212</v>
      </c>
      <c r="F1515" s="4" t="s">
        <v>458</v>
      </c>
      <c r="G1515" s="4" t="s">
        <v>1822</v>
      </c>
      <c r="H1515" s="4" t="s">
        <v>15</v>
      </c>
      <c r="I1515" s="4" t="s">
        <v>303</v>
      </c>
      <c r="J1515" s="4" t="s">
        <v>1894</v>
      </c>
      <c r="K1515" s="4" t="s">
        <v>66</v>
      </c>
      <c r="L1515" s="4" t="s">
        <v>3743</v>
      </c>
      <c r="M1515" s="4" t="s">
        <v>3746</v>
      </c>
      <c r="N1515" s="4" t="s">
        <v>3747</v>
      </c>
      <c r="O1515" s="17">
        <f>INDEX('список ID из СУЭ с должностями'!$A:$F,MATCH(E1515,'список ID из СУЭ с должностями'!$B:$B,0),5)</f>
        <v>0</v>
      </c>
    </row>
    <row r="1516" spans="1:15" ht="409.5">
      <c r="A1516" s="3" t="s">
        <v>10</v>
      </c>
      <c r="B1516" s="3" t="s">
        <v>11</v>
      </c>
      <c r="C1516" s="4">
        <v>2026</v>
      </c>
      <c r="D1516" s="5" t="s">
        <v>12</v>
      </c>
      <c r="E1516" s="4">
        <v>212</v>
      </c>
      <c r="F1516" s="4" t="s">
        <v>458</v>
      </c>
      <c r="G1516" s="4" t="s">
        <v>1822</v>
      </c>
      <c r="H1516" s="4" t="s">
        <v>15</v>
      </c>
      <c r="I1516" s="4" t="s">
        <v>149</v>
      </c>
      <c r="J1516" s="4" t="s">
        <v>1895</v>
      </c>
      <c r="K1516" s="4" t="s">
        <v>25</v>
      </c>
      <c r="L1516" s="4" t="s">
        <v>3743</v>
      </c>
      <c r="M1516" s="4" t="s">
        <v>3746</v>
      </c>
      <c r="N1516" s="4" t="s">
        <v>3747</v>
      </c>
      <c r="O1516" s="17">
        <f>INDEX('список ID из СУЭ с должностями'!$A:$F,MATCH(E1516,'список ID из СУЭ с должностями'!$B:$B,0),5)</f>
        <v>0</v>
      </c>
    </row>
    <row r="1517" spans="1:15" ht="90">
      <c r="A1517" s="3" t="s">
        <v>10</v>
      </c>
      <c r="B1517" s="3" t="s">
        <v>11</v>
      </c>
      <c r="C1517" s="4">
        <v>2026</v>
      </c>
      <c r="D1517" s="5" t="s">
        <v>12</v>
      </c>
      <c r="E1517" s="4">
        <v>213</v>
      </c>
      <c r="F1517" s="4" t="s">
        <v>116</v>
      </c>
      <c r="G1517" s="4" t="s">
        <v>117</v>
      </c>
      <c r="H1517" s="4" t="s">
        <v>21</v>
      </c>
      <c r="I1517" s="4" t="s">
        <v>1896</v>
      </c>
      <c r="J1517" s="4" t="s">
        <v>1897</v>
      </c>
      <c r="K1517" s="4" t="s">
        <v>126</v>
      </c>
      <c r="L1517" s="4" t="s">
        <v>3742</v>
      </c>
      <c r="M1517" s="4" t="s">
        <v>3750</v>
      </c>
      <c r="N1517" s="4" t="s">
        <v>3751</v>
      </c>
      <c r="O1517" s="17">
        <f>INDEX('список ID из СУЭ с должностями'!$A:$F,MATCH(E1517,'список ID из СУЭ с должностями'!$B:$B,0),5)</f>
        <v>0</v>
      </c>
    </row>
    <row r="1518" spans="1:15" ht="90">
      <c r="A1518" s="3" t="s">
        <v>10</v>
      </c>
      <c r="B1518" s="3" t="s">
        <v>11</v>
      </c>
      <c r="C1518" s="4">
        <v>2026</v>
      </c>
      <c r="D1518" s="5" t="s">
        <v>12</v>
      </c>
      <c r="E1518" s="4">
        <v>213</v>
      </c>
      <c r="F1518" s="4" t="s">
        <v>116</v>
      </c>
      <c r="G1518" s="4" t="s">
        <v>117</v>
      </c>
      <c r="H1518" s="4" t="s">
        <v>15</v>
      </c>
      <c r="I1518" s="4" t="s">
        <v>1898</v>
      </c>
      <c r="J1518" s="4" t="s">
        <v>1899</v>
      </c>
      <c r="K1518" s="4" t="s">
        <v>25</v>
      </c>
      <c r="L1518" s="4" t="s">
        <v>3743</v>
      </c>
      <c r="M1518" s="4" t="s">
        <v>3746</v>
      </c>
      <c r="N1518" s="4" t="s">
        <v>3747</v>
      </c>
      <c r="O1518" s="17">
        <f>INDEX('список ID из СУЭ с должностями'!$A:$F,MATCH(E1518,'список ID из СУЭ с должностями'!$B:$B,0),5)</f>
        <v>0</v>
      </c>
    </row>
    <row r="1519" spans="1:15" ht="75">
      <c r="A1519" s="3" t="s">
        <v>10</v>
      </c>
      <c r="B1519" s="3" t="s">
        <v>11</v>
      </c>
      <c r="C1519" s="4">
        <v>2026</v>
      </c>
      <c r="D1519" s="5" t="s">
        <v>12</v>
      </c>
      <c r="E1519" s="4">
        <v>213</v>
      </c>
      <c r="F1519" s="4" t="s">
        <v>116</v>
      </c>
      <c r="G1519" s="4" t="s">
        <v>117</v>
      </c>
      <c r="H1519" s="4" t="s">
        <v>15</v>
      </c>
      <c r="I1519" s="4" t="s">
        <v>1900</v>
      </c>
      <c r="J1519" s="4" t="s">
        <v>132</v>
      </c>
      <c r="K1519" s="4" t="s">
        <v>30</v>
      </c>
      <c r="L1519" s="4" t="s">
        <v>3742</v>
      </c>
      <c r="M1519" s="4" t="s">
        <v>3746</v>
      </c>
      <c r="N1519" s="4" t="s">
        <v>3747</v>
      </c>
      <c r="O1519" s="17">
        <f>INDEX('список ID из СУЭ с должностями'!$A:$F,MATCH(E1519,'список ID из СУЭ с должностями'!$B:$B,0),5)</f>
        <v>0</v>
      </c>
    </row>
    <row r="1520" spans="1:15" ht="75">
      <c r="A1520" s="3" t="s">
        <v>10</v>
      </c>
      <c r="B1520" s="3" t="s">
        <v>11</v>
      </c>
      <c r="C1520" s="4">
        <v>2026</v>
      </c>
      <c r="D1520" s="5" t="s">
        <v>12</v>
      </c>
      <c r="E1520" s="4">
        <v>213</v>
      </c>
      <c r="F1520" s="4" t="s">
        <v>116</v>
      </c>
      <c r="G1520" s="4" t="s">
        <v>117</v>
      </c>
      <c r="H1520" s="4" t="s">
        <v>15</v>
      </c>
      <c r="I1520" s="4" t="s">
        <v>1901</v>
      </c>
      <c r="J1520" s="4" t="s">
        <v>1902</v>
      </c>
      <c r="K1520" s="4" t="s">
        <v>139</v>
      </c>
      <c r="L1520" s="4" t="s">
        <v>3742</v>
      </c>
      <c r="M1520" s="4" t="s">
        <v>3750</v>
      </c>
      <c r="N1520" s="4" t="s">
        <v>3751</v>
      </c>
      <c r="O1520" s="17">
        <f>INDEX('список ID из СУЭ с должностями'!$A:$F,MATCH(E1520,'список ID из СУЭ с должностями'!$B:$B,0),5)</f>
        <v>0</v>
      </c>
    </row>
    <row r="1521" spans="1:15" ht="75">
      <c r="A1521" s="3" t="s">
        <v>10</v>
      </c>
      <c r="B1521" s="3" t="s">
        <v>11</v>
      </c>
      <c r="C1521" s="4">
        <v>2026</v>
      </c>
      <c r="D1521" s="5" t="s">
        <v>12</v>
      </c>
      <c r="E1521" s="4">
        <v>213</v>
      </c>
      <c r="F1521" s="4" t="s">
        <v>116</v>
      </c>
      <c r="G1521" s="4" t="s">
        <v>117</v>
      </c>
      <c r="H1521" s="4" t="s">
        <v>15</v>
      </c>
      <c r="I1521" s="4" t="s">
        <v>1903</v>
      </c>
      <c r="J1521" s="4" t="s">
        <v>1904</v>
      </c>
      <c r="K1521" s="4" t="s">
        <v>123</v>
      </c>
      <c r="L1521" s="4" t="s">
        <v>3742</v>
      </c>
      <c r="M1521" s="4" t="s">
        <v>3750</v>
      </c>
      <c r="N1521" s="4" t="s">
        <v>3751</v>
      </c>
      <c r="O1521" s="17">
        <f>INDEX('список ID из СУЭ с должностями'!$A:$F,MATCH(E1521,'список ID из СУЭ с должностями'!$B:$B,0),5)</f>
        <v>0</v>
      </c>
    </row>
    <row r="1522" spans="1:15" ht="90">
      <c r="A1522" s="3" t="s">
        <v>10</v>
      </c>
      <c r="B1522" s="3" t="s">
        <v>11</v>
      </c>
      <c r="C1522" s="4">
        <v>2026</v>
      </c>
      <c r="D1522" s="5" t="s">
        <v>12</v>
      </c>
      <c r="E1522" s="4">
        <v>213</v>
      </c>
      <c r="F1522" s="4" t="s">
        <v>116</v>
      </c>
      <c r="G1522" s="4" t="s">
        <v>117</v>
      </c>
      <c r="H1522" s="4" t="s">
        <v>15</v>
      </c>
      <c r="I1522" s="4" t="s">
        <v>1905</v>
      </c>
      <c r="J1522" s="4" t="s">
        <v>1897</v>
      </c>
      <c r="K1522" s="4" t="s">
        <v>126</v>
      </c>
      <c r="L1522" s="4" t="s">
        <v>3742</v>
      </c>
      <c r="M1522" s="4" t="s">
        <v>3750</v>
      </c>
      <c r="N1522" s="4" t="s">
        <v>3751</v>
      </c>
      <c r="O1522" s="17">
        <f>INDEX('список ID из СУЭ с должностями'!$A:$F,MATCH(E1522,'список ID из СУЭ с должностями'!$B:$B,0),5)</f>
        <v>0</v>
      </c>
    </row>
    <row r="1523" spans="1:15" ht="75">
      <c r="A1523" s="3" t="s">
        <v>10</v>
      </c>
      <c r="B1523" s="3" t="s">
        <v>11</v>
      </c>
      <c r="C1523" s="4">
        <v>2026</v>
      </c>
      <c r="D1523" s="5" t="s">
        <v>12</v>
      </c>
      <c r="E1523" s="4">
        <v>213</v>
      </c>
      <c r="F1523" s="4" t="s">
        <v>116</v>
      </c>
      <c r="G1523" s="4" t="s">
        <v>117</v>
      </c>
      <c r="H1523" s="4" t="s">
        <v>15</v>
      </c>
      <c r="I1523" s="4" t="s">
        <v>1906</v>
      </c>
      <c r="J1523" s="4" t="s">
        <v>1907</v>
      </c>
      <c r="K1523" s="4" t="s">
        <v>30</v>
      </c>
      <c r="L1523" s="4" t="s">
        <v>3742</v>
      </c>
      <c r="M1523" s="4" t="s">
        <v>3746</v>
      </c>
      <c r="N1523" s="4" t="s">
        <v>3747</v>
      </c>
      <c r="O1523" s="17">
        <f>INDEX('список ID из СУЭ с должностями'!$A:$F,MATCH(E1523,'список ID из СУЭ с должностями'!$B:$B,0),5)</f>
        <v>0</v>
      </c>
    </row>
    <row r="1524" spans="1:15" ht="75">
      <c r="A1524" s="3" t="s">
        <v>10</v>
      </c>
      <c r="B1524" s="3" t="s">
        <v>11</v>
      </c>
      <c r="C1524" s="4">
        <v>2026</v>
      </c>
      <c r="D1524" s="5" t="s">
        <v>12</v>
      </c>
      <c r="E1524" s="4">
        <v>213</v>
      </c>
      <c r="F1524" s="4" t="s">
        <v>116</v>
      </c>
      <c r="G1524" s="4" t="s">
        <v>117</v>
      </c>
      <c r="H1524" s="4" t="s">
        <v>15</v>
      </c>
      <c r="I1524" s="4" t="s">
        <v>1908</v>
      </c>
      <c r="J1524" s="4" t="s">
        <v>79</v>
      </c>
      <c r="K1524" s="4" t="s">
        <v>123</v>
      </c>
      <c r="L1524" s="4" t="s">
        <v>3742</v>
      </c>
      <c r="M1524" s="4" t="s">
        <v>3750</v>
      </c>
      <c r="N1524" s="4" t="s">
        <v>3751</v>
      </c>
      <c r="O1524" s="17">
        <f>INDEX('список ID из СУЭ с должностями'!$A:$F,MATCH(E1524,'список ID из СУЭ с должностями'!$B:$B,0),5)</f>
        <v>0</v>
      </c>
    </row>
    <row r="1525" spans="1:15" ht="75">
      <c r="A1525" s="3" t="s">
        <v>10</v>
      </c>
      <c r="B1525" s="3" t="s">
        <v>11</v>
      </c>
      <c r="C1525" s="4">
        <v>2026</v>
      </c>
      <c r="D1525" s="5" t="s">
        <v>12</v>
      </c>
      <c r="E1525" s="4">
        <v>213</v>
      </c>
      <c r="F1525" s="4" t="s">
        <v>116</v>
      </c>
      <c r="G1525" s="4" t="s">
        <v>117</v>
      </c>
      <c r="H1525" s="4" t="s">
        <v>15</v>
      </c>
      <c r="I1525" s="4" t="s">
        <v>133</v>
      </c>
      <c r="J1525" s="4" t="s">
        <v>1909</v>
      </c>
      <c r="K1525" s="4" t="s">
        <v>123</v>
      </c>
      <c r="L1525" s="4" t="s">
        <v>3742</v>
      </c>
      <c r="M1525" s="4" t="s">
        <v>3750</v>
      </c>
      <c r="N1525" s="4" t="s">
        <v>3751</v>
      </c>
      <c r="O1525" s="17">
        <f>INDEX('список ID из СУЭ с должностями'!$A:$F,MATCH(E1525,'список ID из СУЭ с должностями'!$B:$B,0),5)</f>
        <v>0</v>
      </c>
    </row>
    <row r="1526" spans="1:15" ht="90">
      <c r="A1526" s="3" t="s">
        <v>10</v>
      </c>
      <c r="B1526" s="3" t="s">
        <v>11</v>
      </c>
      <c r="C1526" s="4">
        <v>2026</v>
      </c>
      <c r="D1526" s="5" t="s">
        <v>12</v>
      </c>
      <c r="E1526" s="4">
        <v>213</v>
      </c>
      <c r="F1526" s="4" t="s">
        <v>116</v>
      </c>
      <c r="G1526" s="4" t="s">
        <v>117</v>
      </c>
      <c r="H1526" s="4" t="s">
        <v>15</v>
      </c>
      <c r="I1526" s="4" t="s">
        <v>1910</v>
      </c>
      <c r="J1526" s="4" t="s">
        <v>79</v>
      </c>
      <c r="K1526" s="4" t="s">
        <v>141</v>
      </c>
      <c r="L1526" s="4" t="s">
        <v>3742</v>
      </c>
      <c r="M1526" s="4" t="s">
        <v>3750</v>
      </c>
      <c r="N1526" s="4" t="s">
        <v>3751</v>
      </c>
      <c r="O1526" s="17">
        <f>INDEX('список ID из СУЭ с должностями'!$A:$F,MATCH(E1526,'список ID из СУЭ с должностями'!$B:$B,0),5)</f>
        <v>0</v>
      </c>
    </row>
    <row r="1527" spans="1:15" ht="165">
      <c r="A1527" s="3" t="s">
        <v>10</v>
      </c>
      <c r="B1527" s="3" t="s">
        <v>11</v>
      </c>
      <c r="C1527" s="4">
        <v>2026</v>
      </c>
      <c r="D1527" s="5" t="s">
        <v>12</v>
      </c>
      <c r="E1527" s="4">
        <v>214</v>
      </c>
      <c r="F1527" s="4" t="s">
        <v>454</v>
      </c>
      <c r="G1527" s="4" t="s">
        <v>852</v>
      </c>
      <c r="H1527" s="4" t="s">
        <v>21</v>
      </c>
      <c r="I1527" s="4" t="s">
        <v>806</v>
      </c>
      <c r="J1527" s="4" t="s">
        <v>853</v>
      </c>
      <c r="K1527" s="4" t="s">
        <v>35</v>
      </c>
      <c r="L1527" s="4" t="s">
        <v>3742</v>
      </c>
      <c r="M1527" s="4" t="s">
        <v>3746</v>
      </c>
      <c r="N1527" s="4" t="s">
        <v>3747</v>
      </c>
      <c r="O1527" s="17">
        <f>INDEX('список ID из СУЭ с должностями'!$A:$F,MATCH(E1527,'список ID из СУЭ с должностями'!$B:$B,0),5)</f>
        <v>0</v>
      </c>
    </row>
    <row r="1528" spans="1:15" ht="165">
      <c r="A1528" s="3" t="s">
        <v>10</v>
      </c>
      <c r="B1528" s="3" t="s">
        <v>11</v>
      </c>
      <c r="C1528" s="4">
        <v>2026</v>
      </c>
      <c r="D1528" s="5" t="s">
        <v>12</v>
      </c>
      <c r="E1528" s="4">
        <v>214</v>
      </c>
      <c r="F1528" s="4" t="s">
        <v>454</v>
      </c>
      <c r="G1528" s="4" t="s">
        <v>852</v>
      </c>
      <c r="H1528" s="4" t="s">
        <v>15</v>
      </c>
      <c r="I1528" s="4" t="s">
        <v>855</v>
      </c>
      <c r="J1528" s="4" t="s">
        <v>856</v>
      </c>
      <c r="K1528" s="4" t="s">
        <v>35</v>
      </c>
      <c r="L1528" s="4" t="s">
        <v>3743</v>
      </c>
      <c r="M1528" s="4" t="s">
        <v>3746</v>
      </c>
      <c r="N1528" s="4" t="s">
        <v>3747</v>
      </c>
      <c r="O1528" s="17">
        <f>INDEX('список ID из СУЭ с должностями'!$A:$F,MATCH(E1528,'список ID из СУЭ с должностями'!$B:$B,0),5)</f>
        <v>0</v>
      </c>
    </row>
    <row r="1529" spans="1:15" ht="165">
      <c r="A1529" s="3" t="s">
        <v>10</v>
      </c>
      <c r="B1529" s="3" t="s">
        <v>11</v>
      </c>
      <c r="C1529" s="4">
        <v>2026</v>
      </c>
      <c r="D1529" s="5" t="s">
        <v>12</v>
      </c>
      <c r="E1529" s="4">
        <v>214</v>
      </c>
      <c r="F1529" s="4" t="s">
        <v>454</v>
      </c>
      <c r="G1529" s="4" t="s">
        <v>852</v>
      </c>
      <c r="H1529" s="4" t="s">
        <v>15</v>
      </c>
      <c r="I1529" s="4" t="s">
        <v>149</v>
      </c>
      <c r="J1529" s="4" t="s">
        <v>859</v>
      </c>
      <c r="K1529" s="4" t="s">
        <v>52</v>
      </c>
      <c r="L1529" s="4" t="s">
        <v>3743</v>
      </c>
      <c r="M1529" s="4" t="s">
        <v>3746</v>
      </c>
      <c r="N1529" s="4" t="s">
        <v>3747</v>
      </c>
      <c r="O1529" s="17">
        <f>INDEX('список ID из СУЭ с должностями'!$A:$F,MATCH(E1529,'список ID из СУЭ с должностями'!$B:$B,0),5)</f>
        <v>0</v>
      </c>
    </row>
    <row r="1530" spans="1:15" ht="195">
      <c r="A1530" s="3" t="s">
        <v>10</v>
      </c>
      <c r="B1530" s="3" t="s">
        <v>11</v>
      </c>
      <c r="C1530" s="4">
        <v>2026</v>
      </c>
      <c r="D1530" s="5" t="s">
        <v>12</v>
      </c>
      <c r="E1530" s="4">
        <v>214</v>
      </c>
      <c r="F1530" s="4" t="s">
        <v>454</v>
      </c>
      <c r="G1530" s="4" t="s">
        <v>852</v>
      </c>
      <c r="H1530" s="4" t="s">
        <v>15</v>
      </c>
      <c r="I1530" s="4" t="s">
        <v>147</v>
      </c>
      <c r="J1530" s="4" t="s">
        <v>1911</v>
      </c>
      <c r="K1530" s="4" t="s">
        <v>35</v>
      </c>
      <c r="L1530" s="4" t="s">
        <v>3743</v>
      </c>
      <c r="M1530" s="4" t="s">
        <v>3746</v>
      </c>
      <c r="N1530" s="4" t="s">
        <v>3747</v>
      </c>
      <c r="O1530" s="17">
        <f>INDEX('список ID из СУЭ с должностями'!$A:$F,MATCH(E1530,'список ID из СУЭ с должностями'!$B:$B,0),5)</f>
        <v>0</v>
      </c>
    </row>
    <row r="1531" spans="1:15" ht="225">
      <c r="A1531" s="3" t="s">
        <v>10</v>
      </c>
      <c r="B1531" s="3" t="s">
        <v>11</v>
      </c>
      <c r="C1531" s="4">
        <v>2026</v>
      </c>
      <c r="D1531" s="5" t="s">
        <v>12</v>
      </c>
      <c r="E1531" s="4">
        <v>214</v>
      </c>
      <c r="F1531" s="4" t="s">
        <v>454</v>
      </c>
      <c r="G1531" s="4" t="s">
        <v>852</v>
      </c>
      <c r="H1531" s="4" t="s">
        <v>15</v>
      </c>
      <c r="I1531" s="4" t="s">
        <v>303</v>
      </c>
      <c r="J1531" s="4" t="s">
        <v>1912</v>
      </c>
      <c r="K1531" s="4" t="s">
        <v>66</v>
      </c>
      <c r="L1531" s="4" t="s">
        <v>3743</v>
      </c>
      <c r="M1531" s="4" t="s">
        <v>3746</v>
      </c>
      <c r="N1531" s="4" t="s">
        <v>3747</v>
      </c>
      <c r="O1531" s="17">
        <f>INDEX('список ID из СУЭ с должностями'!$A:$F,MATCH(E1531,'список ID из СУЭ с должностями'!$B:$B,0),5)</f>
        <v>0</v>
      </c>
    </row>
    <row r="1532" spans="1:15" ht="75">
      <c r="A1532" s="3" t="s">
        <v>10</v>
      </c>
      <c r="B1532" s="3" t="s">
        <v>11</v>
      </c>
      <c r="C1532" s="4">
        <v>2026</v>
      </c>
      <c r="D1532" s="5" t="s">
        <v>12</v>
      </c>
      <c r="E1532" s="4">
        <v>215</v>
      </c>
      <c r="F1532" s="4" t="s">
        <v>280</v>
      </c>
      <c r="G1532" s="4" t="s">
        <v>1913</v>
      </c>
      <c r="H1532" s="4" t="s">
        <v>15</v>
      </c>
      <c r="I1532" s="4" t="s">
        <v>890</v>
      </c>
      <c r="J1532" s="4" t="s">
        <v>1914</v>
      </c>
      <c r="K1532" s="4" t="s">
        <v>35</v>
      </c>
      <c r="L1532" s="4" t="s">
        <v>3743</v>
      </c>
      <c r="M1532" s="4" t="s">
        <v>3746</v>
      </c>
      <c r="N1532" s="4" t="s">
        <v>3747</v>
      </c>
      <c r="O1532" s="17">
        <f>INDEX('список ID из СУЭ с должностями'!$A:$F,MATCH(E1532,'список ID из СУЭ с должностями'!$B:$B,0),5)</f>
        <v>0</v>
      </c>
    </row>
    <row r="1533" spans="1:15" ht="75">
      <c r="A1533" s="3" t="s">
        <v>10</v>
      </c>
      <c r="B1533" s="3" t="s">
        <v>11</v>
      </c>
      <c r="C1533" s="4">
        <v>2026</v>
      </c>
      <c r="D1533" s="5" t="s">
        <v>12</v>
      </c>
      <c r="E1533" s="4">
        <v>215</v>
      </c>
      <c r="F1533" s="4" t="s">
        <v>280</v>
      </c>
      <c r="G1533" s="4" t="s">
        <v>1913</v>
      </c>
      <c r="H1533" s="4" t="s">
        <v>15</v>
      </c>
      <c r="I1533" s="4" t="s">
        <v>1916</v>
      </c>
      <c r="J1533" s="4" t="s">
        <v>1914</v>
      </c>
      <c r="K1533" s="4" t="s">
        <v>52</v>
      </c>
      <c r="L1533" s="4" t="s">
        <v>3743</v>
      </c>
      <c r="M1533" s="4" t="s">
        <v>3746</v>
      </c>
      <c r="N1533" s="4" t="s">
        <v>3747</v>
      </c>
      <c r="O1533" s="17">
        <f>INDEX('список ID из СУЭ с должностями'!$A:$F,MATCH(E1533,'список ID из СУЭ с должностями'!$B:$B,0),5)</f>
        <v>0</v>
      </c>
    </row>
    <row r="1534" spans="1:15" ht="75">
      <c r="A1534" s="3" t="s">
        <v>10</v>
      </c>
      <c r="B1534" s="3" t="s">
        <v>11</v>
      </c>
      <c r="C1534" s="4">
        <v>2026</v>
      </c>
      <c r="D1534" s="5" t="s">
        <v>12</v>
      </c>
      <c r="E1534" s="4">
        <v>215</v>
      </c>
      <c r="F1534" s="4" t="s">
        <v>280</v>
      </c>
      <c r="G1534" s="4" t="s">
        <v>1913</v>
      </c>
      <c r="H1534" s="4" t="s">
        <v>15</v>
      </c>
      <c r="I1534" s="4" t="s">
        <v>1917</v>
      </c>
      <c r="J1534" s="4" t="s">
        <v>1917</v>
      </c>
      <c r="K1534" s="4" t="s">
        <v>66</v>
      </c>
      <c r="L1534" s="4" t="s">
        <v>3743</v>
      </c>
      <c r="M1534" s="4" t="s">
        <v>3746</v>
      </c>
      <c r="N1534" s="4" t="s">
        <v>3747</v>
      </c>
      <c r="O1534" s="17">
        <f>INDEX('список ID из СУЭ с должностями'!$A:$F,MATCH(E1534,'список ID из СУЭ с должностями'!$B:$B,0),5)</f>
        <v>0</v>
      </c>
    </row>
    <row r="1535" spans="1:15" ht="105">
      <c r="A1535" s="3" t="s">
        <v>10</v>
      </c>
      <c r="B1535" s="3" t="s">
        <v>11</v>
      </c>
      <c r="C1535" s="4">
        <v>2026</v>
      </c>
      <c r="D1535" s="5" t="s">
        <v>12</v>
      </c>
      <c r="E1535" s="4">
        <v>216</v>
      </c>
      <c r="F1535" s="4" t="s">
        <v>1918</v>
      </c>
      <c r="G1535" s="4" t="s">
        <v>1919</v>
      </c>
      <c r="H1535" s="4" t="s">
        <v>15</v>
      </c>
      <c r="I1535" s="4" t="s">
        <v>1920</v>
      </c>
      <c r="J1535" s="4" t="s">
        <v>1921</v>
      </c>
      <c r="K1535" s="4" t="s">
        <v>23</v>
      </c>
      <c r="L1535" s="4" t="s">
        <v>3743</v>
      </c>
      <c r="M1535" s="4" t="s">
        <v>3748</v>
      </c>
      <c r="N1535" s="4" t="s">
        <v>3752</v>
      </c>
      <c r="O1535" s="17">
        <f>INDEX('список ID из СУЭ с должностями'!$A:$F,MATCH(E1535,'список ID из СУЭ с должностями'!$B:$B,0),5)</f>
        <v>0</v>
      </c>
    </row>
    <row r="1536" spans="1:15" ht="75">
      <c r="A1536" s="3" t="s">
        <v>10</v>
      </c>
      <c r="B1536" s="3" t="s">
        <v>11</v>
      </c>
      <c r="C1536" s="4">
        <v>2026</v>
      </c>
      <c r="D1536" s="5" t="s">
        <v>12</v>
      </c>
      <c r="E1536" s="4">
        <v>216</v>
      </c>
      <c r="F1536" s="4" t="s">
        <v>1918</v>
      </c>
      <c r="G1536" s="4" t="s">
        <v>1919</v>
      </c>
      <c r="H1536" s="4" t="s">
        <v>15</v>
      </c>
      <c r="I1536" s="4" t="s">
        <v>1922</v>
      </c>
      <c r="J1536" s="4" t="s">
        <v>1091</v>
      </c>
      <c r="K1536" s="4" t="s">
        <v>23</v>
      </c>
      <c r="L1536" s="4" t="s">
        <v>3742</v>
      </c>
      <c r="M1536" s="4" t="s">
        <v>3748</v>
      </c>
      <c r="N1536" s="4" t="s">
        <v>3752</v>
      </c>
      <c r="O1536" s="17">
        <f>INDEX('список ID из СУЭ с должностями'!$A:$F,MATCH(E1536,'список ID из СУЭ с должностями'!$B:$B,0),5)</f>
        <v>0</v>
      </c>
    </row>
    <row r="1537" spans="1:15" ht="75">
      <c r="A1537" s="3" t="s">
        <v>10</v>
      </c>
      <c r="B1537" s="3" t="s">
        <v>11</v>
      </c>
      <c r="C1537" s="4">
        <v>2026</v>
      </c>
      <c r="D1537" s="5" t="s">
        <v>12</v>
      </c>
      <c r="E1537" s="4">
        <v>216</v>
      </c>
      <c r="F1537" s="4" t="s">
        <v>1918</v>
      </c>
      <c r="G1537" s="4" t="s">
        <v>1919</v>
      </c>
      <c r="H1537" s="4" t="s">
        <v>15</v>
      </c>
      <c r="I1537" s="4" t="s">
        <v>1923</v>
      </c>
      <c r="J1537" s="4" t="s">
        <v>1924</v>
      </c>
      <c r="K1537" s="4" t="s">
        <v>23</v>
      </c>
      <c r="L1537" s="4" t="s">
        <v>3743</v>
      </c>
      <c r="M1537" s="4" t="s">
        <v>3748</v>
      </c>
      <c r="N1537" s="4" t="s">
        <v>3752</v>
      </c>
      <c r="O1537" s="17">
        <f>INDEX('список ID из СУЭ с должностями'!$A:$F,MATCH(E1537,'список ID из СУЭ с должностями'!$B:$B,0),5)</f>
        <v>0</v>
      </c>
    </row>
    <row r="1538" spans="1:15" ht="165">
      <c r="A1538" s="3" t="s">
        <v>10</v>
      </c>
      <c r="B1538" s="3" t="s">
        <v>11</v>
      </c>
      <c r="C1538" s="4">
        <v>2026</v>
      </c>
      <c r="D1538" s="5" t="s">
        <v>12</v>
      </c>
      <c r="E1538" s="4">
        <v>216</v>
      </c>
      <c r="F1538" s="4" t="s">
        <v>1918</v>
      </c>
      <c r="G1538" s="4" t="s">
        <v>1919</v>
      </c>
      <c r="H1538" s="4" t="s">
        <v>15</v>
      </c>
      <c r="I1538" s="4" t="s">
        <v>1925</v>
      </c>
      <c r="J1538" s="4" t="s">
        <v>1926</v>
      </c>
      <c r="K1538" s="4" t="s">
        <v>23</v>
      </c>
      <c r="L1538" s="4" t="s">
        <v>3743</v>
      </c>
      <c r="M1538" s="4" t="s">
        <v>3748</v>
      </c>
      <c r="N1538" s="4" t="s">
        <v>3749</v>
      </c>
      <c r="O1538" s="17">
        <f>INDEX('список ID из СУЭ с должностями'!$A:$F,MATCH(E1538,'список ID из СУЭ с должностями'!$B:$B,0),5)</f>
        <v>0</v>
      </c>
    </row>
    <row r="1539" spans="1:15" ht="180">
      <c r="A1539" s="3" t="s">
        <v>10</v>
      </c>
      <c r="B1539" s="3" t="s">
        <v>11</v>
      </c>
      <c r="C1539" s="4">
        <v>2026</v>
      </c>
      <c r="D1539" s="5" t="s">
        <v>12</v>
      </c>
      <c r="E1539" s="4">
        <v>216</v>
      </c>
      <c r="F1539" s="4" t="s">
        <v>1918</v>
      </c>
      <c r="G1539" s="4" t="s">
        <v>1919</v>
      </c>
      <c r="H1539" s="4" t="s">
        <v>15</v>
      </c>
      <c r="I1539" s="4" t="s">
        <v>1927</v>
      </c>
      <c r="J1539" s="4" t="s">
        <v>1928</v>
      </c>
      <c r="K1539" s="4" t="s">
        <v>23</v>
      </c>
      <c r="L1539" s="4" t="s">
        <v>3743</v>
      </c>
      <c r="M1539" s="4" t="s">
        <v>3748</v>
      </c>
      <c r="N1539" s="4" t="s">
        <v>3749</v>
      </c>
      <c r="O1539" s="17">
        <f>INDEX('список ID из СУЭ с должностями'!$A:$F,MATCH(E1539,'список ID из СУЭ с должностями'!$B:$B,0),5)</f>
        <v>0</v>
      </c>
    </row>
    <row r="1540" spans="1:15" ht="90">
      <c r="A1540" s="3" t="s">
        <v>10</v>
      </c>
      <c r="B1540" s="3" t="s">
        <v>11</v>
      </c>
      <c r="C1540" s="4">
        <v>2026</v>
      </c>
      <c r="D1540" s="5" t="s">
        <v>12</v>
      </c>
      <c r="E1540" s="4">
        <v>217</v>
      </c>
      <c r="F1540" s="4" t="s">
        <v>1268</v>
      </c>
      <c r="G1540" s="4" t="s">
        <v>1269</v>
      </c>
      <c r="H1540" s="4" t="s">
        <v>15</v>
      </c>
      <c r="I1540" s="4" t="s">
        <v>1168</v>
      </c>
      <c r="J1540" s="4" t="s">
        <v>1270</v>
      </c>
      <c r="K1540" s="4" t="s">
        <v>25</v>
      </c>
      <c r="L1540" s="4" t="s">
        <v>3743</v>
      </c>
      <c r="M1540" s="4" t="s">
        <v>3746</v>
      </c>
      <c r="N1540" s="4" t="s">
        <v>3747</v>
      </c>
      <c r="O1540" s="17">
        <f>INDEX('список ID из СУЭ с должностями'!$A:$F,MATCH(E1540,'список ID из СУЭ с должностями'!$B:$B,0),5)</f>
        <v>0</v>
      </c>
    </row>
    <row r="1541" spans="1:15" ht="300">
      <c r="A1541" s="3" t="s">
        <v>10</v>
      </c>
      <c r="B1541" s="3" t="s">
        <v>11</v>
      </c>
      <c r="C1541" s="4">
        <v>2026</v>
      </c>
      <c r="D1541" s="5" t="s">
        <v>12</v>
      </c>
      <c r="E1541" s="4">
        <v>217</v>
      </c>
      <c r="F1541" s="4" t="s">
        <v>1268</v>
      </c>
      <c r="G1541" s="4" t="s">
        <v>1269</v>
      </c>
      <c r="H1541" s="4" t="s">
        <v>15</v>
      </c>
      <c r="I1541" s="4" t="s">
        <v>857</v>
      </c>
      <c r="J1541" s="4" t="s">
        <v>1273</v>
      </c>
      <c r="K1541" s="4" t="s">
        <v>35</v>
      </c>
      <c r="L1541" s="4" t="s">
        <v>3743</v>
      </c>
      <c r="M1541" s="4" t="s">
        <v>3746</v>
      </c>
      <c r="N1541" s="4" t="s">
        <v>3747</v>
      </c>
      <c r="O1541" s="17">
        <f>INDEX('список ID из СУЭ с должностями'!$A:$F,MATCH(E1541,'список ID из СУЭ с должностями'!$B:$B,0),5)</f>
        <v>0</v>
      </c>
    </row>
    <row r="1542" spans="1:15" ht="120">
      <c r="A1542" s="3" t="s">
        <v>10</v>
      </c>
      <c r="B1542" s="3" t="s">
        <v>11</v>
      </c>
      <c r="C1542" s="4">
        <v>2026</v>
      </c>
      <c r="D1542" s="5" t="s">
        <v>12</v>
      </c>
      <c r="E1542" s="4">
        <v>217</v>
      </c>
      <c r="F1542" s="4" t="s">
        <v>1268</v>
      </c>
      <c r="G1542" s="4" t="s">
        <v>1269</v>
      </c>
      <c r="H1542" s="4" t="s">
        <v>15</v>
      </c>
      <c r="I1542" s="4" t="s">
        <v>809</v>
      </c>
      <c r="J1542" s="4" t="s">
        <v>1929</v>
      </c>
      <c r="K1542" s="4" t="s">
        <v>20</v>
      </c>
      <c r="L1542" s="4" t="s">
        <v>3743</v>
      </c>
      <c r="M1542" s="4" t="s">
        <v>3746</v>
      </c>
      <c r="N1542" s="4" t="s">
        <v>3747</v>
      </c>
      <c r="O1542" s="17">
        <f>INDEX('список ID из СУЭ с должностями'!$A:$F,MATCH(E1542,'список ID из СУЭ с должностями'!$B:$B,0),5)</f>
        <v>0</v>
      </c>
    </row>
    <row r="1543" spans="1:15" ht="150">
      <c r="A1543" s="3" t="s">
        <v>10</v>
      </c>
      <c r="B1543" s="3" t="s">
        <v>11</v>
      </c>
      <c r="C1543" s="4">
        <v>2026</v>
      </c>
      <c r="D1543" s="5" t="s">
        <v>12</v>
      </c>
      <c r="E1543" s="4">
        <v>217</v>
      </c>
      <c r="F1543" s="4" t="s">
        <v>1268</v>
      </c>
      <c r="G1543" s="4" t="s">
        <v>1269</v>
      </c>
      <c r="H1543" s="4" t="s">
        <v>15</v>
      </c>
      <c r="I1543" s="4" t="s">
        <v>303</v>
      </c>
      <c r="J1543" s="4" t="s">
        <v>1930</v>
      </c>
      <c r="K1543" s="4" t="s">
        <v>52</v>
      </c>
      <c r="L1543" s="4" t="s">
        <v>3743</v>
      </c>
      <c r="M1543" s="4" t="s">
        <v>3746</v>
      </c>
      <c r="N1543" s="4" t="s">
        <v>3747</v>
      </c>
      <c r="O1543" s="17">
        <f>INDEX('список ID из СУЭ с должностями'!$A:$F,MATCH(E1543,'список ID из СУЭ с должностями'!$B:$B,0),5)</f>
        <v>0</v>
      </c>
    </row>
    <row r="1544" spans="1:15" ht="90">
      <c r="A1544" s="3" t="s">
        <v>10</v>
      </c>
      <c r="B1544" s="3" t="s">
        <v>11</v>
      </c>
      <c r="C1544" s="4">
        <v>2026</v>
      </c>
      <c r="D1544" s="5" t="s">
        <v>12</v>
      </c>
      <c r="E1544" s="4">
        <v>217</v>
      </c>
      <c r="F1544" s="4" t="s">
        <v>1268</v>
      </c>
      <c r="G1544" s="4" t="s">
        <v>1269</v>
      </c>
      <c r="H1544" s="4" t="s">
        <v>41</v>
      </c>
      <c r="I1544" s="4" t="s">
        <v>806</v>
      </c>
      <c r="J1544" s="4" t="s">
        <v>1271</v>
      </c>
      <c r="K1544" s="4" t="s">
        <v>38</v>
      </c>
      <c r="L1544" s="4" t="s">
        <v>3743</v>
      </c>
      <c r="M1544" s="4" t="s">
        <v>3746</v>
      </c>
      <c r="N1544" s="4" t="s">
        <v>3747</v>
      </c>
      <c r="O1544" s="17">
        <f>INDEX('список ID из СУЭ с должностями'!$A:$F,MATCH(E1544,'список ID из СУЭ с должностями'!$B:$B,0),5)</f>
        <v>0</v>
      </c>
    </row>
    <row r="1545" spans="1:15" ht="270">
      <c r="A1545" s="3" t="s">
        <v>10</v>
      </c>
      <c r="B1545" s="3" t="s">
        <v>11</v>
      </c>
      <c r="C1545" s="4">
        <v>2026</v>
      </c>
      <c r="D1545" s="5" t="s">
        <v>12</v>
      </c>
      <c r="E1545" s="4">
        <v>218</v>
      </c>
      <c r="F1545" s="4" t="s">
        <v>67</v>
      </c>
      <c r="G1545" s="4" t="s">
        <v>929</v>
      </c>
      <c r="H1545" s="4" t="s">
        <v>15</v>
      </c>
      <c r="I1545" s="4" t="s">
        <v>1931</v>
      </c>
      <c r="J1545" s="4" t="s">
        <v>1932</v>
      </c>
      <c r="K1545" s="4" t="s">
        <v>230</v>
      </c>
      <c r="L1545" s="4" t="s">
        <v>3743</v>
      </c>
      <c r="M1545" s="4" t="s">
        <v>3746</v>
      </c>
      <c r="N1545" s="4" t="s">
        <v>3754</v>
      </c>
      <c r="O1545" s="17">
        <f>INDEX('список ID из СУЭ с должностями'!$A:$F,MATCH(E1545,'список ID из СУЭ с должностями'!$B:$B,0),5)</f>
        <v>0</v>
      </c>
    </row>
    <row r="1546" spans="1:15" ht="135">
      <c r="A1546" s="3" t="s">
        <v>10</v>
      </c>
      <c r="B1546" s="3" t="s">
        <v>11</v>
      </c>
      <c r="C1546" s="4">
        <v>2026</v>
      </c>
      <c r="D1546" s="5" t="s">
        <v>12</v>
      </c>
      <c r="E1546" s="4">
        <v>218</v>
      </c>
      <c r="F1546" s="4" t="s">
        <v>67</v>
      </c>
      <c r="G1546" s="4" t="s">
        <v>929</v>
      </c>
      <c r="H1546" s="4" t="s">
        <v>21</v>
      </c>
      <c r="I1546" s="4" t="s">
        <v>1933</v>
      </c>
      <c r="J1546" s="4" t="s">
        <v>1934</v>
      </c>
      <c r="K1546" s="4" t="s">
        <v>52</v>
      </c>
      <c r="L1546" s="4" t="s">
        <v>3743</v>
      </c>
      <c r="M1546" s="4" t="s">
        <v>3746</v>
      </c>
      <c r="N1546" s="4" t="s">
        <v>3747</v>
      </c>
      <c r="O1546" s="17">
        <f>INDEX('список ID из СУЭ с должностями'!$A:$F,MATCH(E1546,'список ID из СУЭ с должностями'!$B:$B,0),5)</f>
        <v>0</v>
      </c>
    </row>
    <row r="1547" spans="1:15" ht="225">
      <c r="A1547" s="3" t="s">
        <v>10</v>
      </c>
      <c r="B1547" s="3" t="s">
        <v>11</v>
      </c>
      <c r="C1547" s="4">
        <v>2026</v>
      </c>
      <c r="D1547" s="5" t="s">
        <v>12</v>
      </c>
      <c r="E1547" s="4">
        <v>218</v>
      </c>
      <c r="F1547" s="4" t="s">
        <v>67</v>
      </c>
      <c r="G1547" s="4" t="s">
        <v>929</v>
      </c>
      <c r="H1547" s="4" t="s">
        <v>21</v>
      </c>
      <c r="I1547" s="4" t="s">
        <v>1935</v>
      </c>
      <c r="J1547" s="4" t="s">
        <v>1936</v>
      </c>
      <c r="K1547" s="4" t="s">
        <v>230</v>
      </c>
      <c r="L1547" s="4" t="s">
        <v>3743</v>
      </c>
      <c r="M1547" s="4" t="s">
        <v>3746</v>
      </c>
      <c r="N1547" s="4" t="s">
        <v>3754</v>
      </c>
      <c r="O1547" s="17">
        <f>INDEX('список ID из СУЭ с должностями'!$A:$F,MATCH(E1547,'список ID из СУЭ с должностями'!$B:$B,0),5)</f>
        <v>0</v>
      </c>
    </row>
    <row r="1548" spans="1:15" ht="135">
      <c r="A1548" s="3" t="s">
        <v>10</v>
      </c>
      <c r="B1548" s="3" t="s">
        <v>11</v>
      </c>
      <c r="C1548" s="4">
        <v>2026</v>
      </c>
      <c r="D1548" s="5" t="s">
        <v>12</v>
      </c>
      <c r="E1548" s="4">
        <v>218</v>
      </c>
      <c r="F1548" s="4" t="s">
        <v>67</v>
      </c>
      <c r="G1548" s="4" t="s">
        <v>929</v>
      </c>
      <c r="H1548" s="4" t="s">
        <v>15</v>
      </c>
      <c r="I1548" s="4" t="s">
        <v>1937</v>
      </c>
      <c r="J1548" s="4" t="s">
        <v>1938</v>
      </c>
      <c r="K1548" s="4" t="s">
        <v>52</v>
      </c>
      <c r="L1548" s="4" t="s">
        <v>3743</v>
      </c>
      <c r="M1548" s="4" t="s">
        <v>3746</v>
      </c>
      <c r="N1548" s="4" t="s">
        <v>3747</v>
      </c>
      <c r="O1548" s="17">
        <f>INDEX('список ID из СУЭ с должностями'!$A:$F,MATCH(E1548,'список ID из СУЭ с должностями'!$B:$B,0),5)</f>
        <v>0</v>
      </c>
    </row>
    <row r="1549" spans="1:15" ht="120">
      <c r="A1549" s="3" t="s">
        <v>10</v>
      </c>
      <c r="B1549" s="3" t="s">
        <v>11</v>
      </c>
      <c r="C1549" s="4">
        <v>2026</v>
      </c>
      <c r="D1549" s="5" t="s">
        <v>12</v>
      </c>
      <c r="E1549" s="4">
        <v>218</v>
      </c>
      <c r="F1549" s="4" t="s">
        <v>67</v>
      </c>
      <c r="G1549" s="4" t="s">
        <v>929</v>
      </c>
      <c r="H1549" s="4" t="s">
        <v>15</v>
      </c>
      <c r="I1549" s="4" t="s">
        <v>35</v>
      </c>
      <c r="J1549" s="4" t="s">
        <v>1939</v>
      </c>
      <c r="K1549" s="4" t="s">
        <v>35</v>
      </c>
      <c r="L1549" s="4" t="s">
        <v>3743</v>
      </c>
      <c r="M1549" s="4" t="s">
        <v>3746</v>
      </c>
      <c r="N1549" s="4" t="s">
        <v>3747</v>
      </c>
      <c r="O1549" s="17">
        <f>INDEX('список ID из СУЭ с должностями'!$A:$F,MATCH(E1549,'список ID из СУЭ с должностями'!$B:$B,0),5)</f>
        <v>0</v>
      </c>
    </row>
    <row r="1550" spans="1:15" ht="75">
      <c r="A1550" s="3" t="s">
        <v>10</v>
      </c>
      <c r="B1550" s="3" t="s">
        <v>11</v>
      </c>
      <c r="C1550" s="4">
        <v>2026</v>
      </c>
      <c r="D1550" s="5" t="s">
        <v>12</v>
      </c>
      <c r="E1550" s="4">
        <v>219</v>
      </c>
      <c r="F1550" s="4" t="s">
        <v>652</v>
      </c>
      <c r="G1550" s="4" t="s">
        <v>558</v>
      </c>
      <c r="H1550" s="4" t="s">
        <v>15</v>
      </c>
      <c r="I1550" s="4" t="s">
        <v>35</v>
      </c>
      <c r="J1550" s="4">
        <v>0</v>
      </c>
      <c r="K1550" s="4" t="s">
        <v>35</v>
      </c>
      <c r="L1550" s="4" t="s">
        <v>3743</v>
      </c>
      <c r="M1550" s="4" t="s">
        <v>3746</v>
      </c>
      <c r="N1550" s="4" t="s">
        <v>3747</v>
      </c>
      <c r="O1550" s="17">
        <f>INDEX('список ID из СУЭ с должностями'!$A:$F,MATCH(E1550,'список ID из СУЭ с должностями'!$B:$B,0),5)</f>
        <v>0</v>
      </c>
    </row>
    <row r="1551" spans="1:15" ht="75">
      <c r="A1551" s="3" t="s">
        <v>10</v>
      </c>
      <c r="B1551" s="3" t="s">
        <v>11</v>
      </c>
      <c r="C1551" s="4">
        <v>2026</v>
      </c>
      <c r="D1551" s="5" t="s">
        <v>12</v>
      </c>
      <c r="E1551" s="4">
        <v>219</v>
      </c>
      <c r="F1551" s="4" t="s">
        <v>652</v>
      </c>
      <c r="G1551" s="4" t="s">
        <v>558</v>
      </c>
      <c r="H1551" s="4" t="s">
        <v>21</v>
      </c>
      <c r="I1551" s="4" t="s">
        <v>559</v>
      </c>
      <c r="J1551" s="4" t="s">
        <v>560</v>
      </c>
      <c r="K1551" s="4" t="s">
        <v>25</v>
      </c>
      <c r="L1551" s="4" t="s">
        <v>3743</v>
      </c>
      <c r="M1551" s="4" t="s">
        <v>3746</v>
      </c>
      <c r="N1551" s="4" t="s">
        <v>3747</v>
      </c>
      <c r="O1551" s="17">
        <f>INDEX('список ID из СУЭ с должностями'!$A:$F,MATCH(E1551,'список ID из СУЭ с должностями'!$B:$B,0),5)</f>
        <v>0</v>
      </c>
    </row>
    <row r="1552" spans="1:15" ht="75">
      <c r="A1552" s="3" t="s">
        <v>10</v>
      </c>
      <c r="B1552" s="3" t="s">
        <v>11</v>
      </c>
      <c r="C1552" s="4">
        <v>2026</v>
      </c>
      <c r="D1552" s="5" t="s">
        <v>12</v>
      </c>
      <c r="E1552" s="4">
        <v>219</v>
      </c>
      <c r="F1552" s="4" t="s">
        <v>652</v>
      </c>
      <c r="G1552" s="4" t="s">
        <v>558</v>
      </c>
      <c r="H1552" s="4" t="s">
        <v>21</v>
      </c>
      <c r="I1552" s="4" t="s">
        <v>563</v>
      </c>
      <c r="J1552" s="4" t="s">
        <v>182</v>
      </c>
      <c r="K1552" s="4" t="s">
        <v>1940</v>
      </c>
      <c r="L1552" s="4" t="s">
        <v>3742</v>
      </c>
      <c r="M1552" s="4" t="s">
        <v>3750</v>
      </c>
      <c r="N1552" s="4" t="s">
        <v>3771</v>
      </c>
      <c r="O1552" s="17">
        <f>INDEX('список ID из СУЭ с должностями'!$A:$F,MATCH(E1552,'список ID из СУЭ с должностями'!$B:$B,0),5)</f>
        <v>0</v>
      </c>
    </row>
    <row r="1553" spans="1:15" ht="75">
      <c r="A1553" s="3" t="s">
        <v>10</v>
      </c>
      <c r="B1553" s="3" t="s">
        <v>11</v>
      </c>
      <c r="C1553" s="4">
        <v>2026</v>
      </c>
      <c r="D1553" s="5" t="s">
        <v>12</v>
      </c>
      <c r="E1553" s="4">
        <v>219</v>
      </c>
      <c r="F1553" s="4" t="s">
        <v>652</v>
      </c>
      <c r="G1553" s="4" t="s">
        <v>558</v>
      </c>
      <c r="H1553" s="4" t="s">
        <v>41</v>
      </c>
      <c r="I1553" s="4" t="s">
        <v>1941</v>
      </c>
      <c r="J1553" s="4" t="s">
        <v>258</v>
      </c>
      <c r="K1553" s="4" t="s">
        <v>20</v>
      </c>
      <c r="L1553" s="4" t="s">
        <v>3742</v>
      </c>
      <c r="M1553" s="4" t="s">
        <v>3746</v>
      </c>
      <c r="N1553" s="4" t="s">
        <v>3747</v>
      </c>
      <c r="O1553" s="17">
        <f>INDEX('список ID из СУЭ с должностями'!$A:$F,MATCH(E1553,'список ID из СУЭ с должностями'!$B:$B,0),5)</f>
        <v>0</v>
      </c>
    </row>
    <row r="1554" spans="1:15" ht="75">
      <c r="A1554" s="3" t="s">
        <v>10</v>
      </c>
      <c r="B1554" s="3" t="s">
        <v>11</v>
      </c>
      <c r="C1554" s="4">
        <v>2026</v>
      </c>
      <c r="D1554" s="5" t="s">
        <v>12</v>
      </c>
      <c r="E1554" s="4">
        <v>219</v>
      </c>
      <c r="F1554" s="4" t="s">
        <v>652</v>
      </c>
      <c r="G1554" s="4" t="s">
        <v>558</v>
      </c>
      <c r="H1554" s="4" t="s">
        <v>41</v>
      </c>
      <c r="I1554" s="4" t="s">
        <v>188</v>
      </c>
      <c r="J1554" s="4" t="s">
        <v>258</v>
      </c>
      <c r="K1554" s="4" t="s">
        <v>35</v>
      </c>
      <c r="L1554" s="4" t="s">
        <v>3742</v>
      </c>
      <c r="M1554" s="4" t="s">
        <v>3746</v>
      </c>
      <c r="N1554" s="4" t="s">
        <v>3747</v>
      </c>
      <c r="O1554" s="17">
        <f>INDEX('список ID из СУЭ с должностями'!$A:$F,MATCH(E1554,'список ID из СУЭ с должностями'!$B:$B,0),5)</f>
        <v>0</v>
      </c>
    </row>
    <row r="1555" spans="1:15" ht="150">
      <c r="A1555" s="3" t="s">
        <v>10</v>
      </c>
      <c r="B1555" s="3" t="s">
        <v>11</v>
      </c>
      <c r="C1555" s="4">
        <v>2026</v>
      </c>
      <c r="D1555" s="5" t="s">
        <v>12</v>
      </c>
      <c r="E1555" s="4">
        <v>219</v>
      </c>
      <c r="F1555" s="4" t="s">
        <v>652</v>
      </c>
      <c r="G1555" s="4" t="s">
        <v>558</v>
      </c>
      <c r="H1555" s="4" t="s">
        <v>41</v>
      </c>
      <c r="I1555" s="4" t="s">
        <v>653</v>
      </c>
      <c r="J1555" s="4" t="s">
        <v>654</v>
      </c>
      <c r="K1555" s="4" t="s">
        <v>20</v>
      </c>
      <c r="L1555" s="4" t="s">
        <v>3743</v>
      </c>
      <c r="M1555" s="4" t="s">
        <v>3746</v>
      </c>
      <c r="N1555" s="4" t="s">
        <v>3747</v>
      </c>
      <c r="O1555" s="17">
        <f>INDEX('список ID из СУЭ с должностями'!$A:$F,MATCH(E1555,'список ID из СУЭ с должностями'!$B:$B,0),5)</f>
        <v>0</v>
      </c>
    </row>
    <row r="1556" spans="1:15" ht="120">
      <c r="A1556" s="3" t="s">
        <v>10</v>
      </c>
      <c r="B1556" s="3" t="s">
        <v>11</v>
      </c>
      <c r="C1556" s="4">
        <v>2026</v>
      </c>
      <c r="D1556" s="5" t="s">
        <v>12</v>
      </c>
      <c r="E1556" s="4">
        <v>220</v>
      </c>
      <c r="F1556" s="4" t="s">
        <v>454</v>
      </c>
      <c r="G1556" s="4" t="s">
        <v>455</v>
      </c>
      <c r="H1556" s="4" t="s">
        <v>15</v>
      </c>
      <c r="I1556" s="4" t="s">
        <v>456</v>
      </c>
      <c r="J1556" s="4" t="s">
        <v>457</v>
      </c>
      <c r="K1556" s="4" t="s">
        <v>23</v>
      </c>
      <c r="L1556" s="4" t="s">
        <v>3743</v>
      </c>
      <c r="M1556" s="4" t="s">
        <v>3748</v>
      </c>
      <c r="N1556" s="4" t="s">
        <v>3752</v>
      </c>
      <c r="O1556" s="17">
        <f>INDEX('список ID из СУЭ с должностями'!$A:$F,MATCH(E1556,'список ID из СУЭ с должностями'!$B:$B,0),5)</f>
        <v>0</v>
      </c>
    </row>
    <row r="1557" spans="1:15" ht="375">
      <c r="A1557" s="3" t="s">
        <v>10</v>
      </c>
      <c r="B1557" s="3" t="s">
        <v>11</v>
      </c>
      <c r="C1557" s="4">
        <v>2026</v>
      </c>
      <c r="D1557" s="5" t="s">
        <v>12</v>
      </c>
      <c r="E1557" s="4">
        <v>220</v>
      </c>
      <c r="F1557" s="4" t="s">
        <v>454</v>
      </c>
      <c r="G1557" s="4" t="s">
        <v>455</v>
      </c>
      <c r="H1557" s="4" t="s">
        <v>15</v>
      </c>
      <c r="I1557" s="4" t="s">
        <v>460</v>
      </c>
      <c r="J1557" s="4" t="s">
        <v>461</v>
      </c>
      <c r="K1557" s="4" t="s">
        <v>38</v>
      </c>
      <c r="L1557" s="4" t="s">
        <v>3743</v>
      </c>
      <c r="M1557" s="4" t="s">
        <v>3746</v>
      </c>
      <c r="N1557" s="4" t="s">
        <v>3747</v>
      </c>
      <c r="O1557" s="17">
        <f>INDEX('список ID из СУЭ с должностями'!$A:$F,MATCH(E1557,'список ID из СУЭ с должностями'!$B:$B,0),5)</f>
        <v>0</v>
      </c>
    </row>
    <row r="1558" spans="1:15" ht="120">
      <c r="A1558" s="3" t="s">
        <v>10</v>
      </c>
      <c r="B1558" s="3" t="s">
        <v>11</v>
      </c>
      <c r="C1558" s="4">
        <v>2026</v>
      </c>
      <c r="D1558" s="5" t="s">
        <v>12</v>
      </c>
      <c r="E1558" s="4">
        <v>220</v>
      </c>
      <c r="F1558" s="4" t="s">
        <v>454</v>
      </c>
      <c r="G1558" s="4" t="s">
        <v>455</v>
      </c>
      <c r="H1558" s="4" t="s">
        <v>15</v>
      </c>
      <c r="I1558" s="4" t="s">
        <v>462</v>
      </c>
      <c r="J1558" s="4" t="s">
        <v>463</v>
      </c>
      <c r="K1558" s="4" t="s">
        <v>35</v>
      </c>
      <c r="L1558" s="4" t="s">
        <v>3742</v>
      </c>
      <c r="M1558" s="4" t="s">
        <v>3746</v>
      </c>
      <c r="N1558" s="4" t="s">
        <v>3747</v>
      </c>
      <c r="O1558" s="17">
        <f>INDEX('список ID из СУЭ с должностями'!$A:$F,MATCH(E1558,'список ID из СУЭ с должностями'!$B:$B,0),5)</f>
        <v>0</v>
      </c>
    </row>
    <row r="1559" spans="1:15" ht="409.5">
      <c r="A1559" s="3" t="s">
        <v>10</v>
      </c>
      <c r="B1559" s="3" t="s">
        <v>11</v>
      </c>
      <c r="C1559" s="4">
        <v>2026</v>
      </c>
      <c r="D1559" s="5" t="s">
        <v>12</v>
      </c>
      <c r="E1559" s="4">
        <v>220</v>
      </c>
      <c r="F1559" s="4" t="s">
        <v>454</v>
      </c>
      <c r="G1559" s="4" t="s">
        <v>455</v>
      </c>
      <c r="H1559" s="4" t="s">
        <v>15</v>
      </c>
      <c r="I1559" s="4" t="s">
        <v>464</v>
      </c>
      <c r="J1559" s="4" t="s">
        <v>465</v>
      </c>
      <c r="K1559" s="4" t="s">
        <v>66</v>
      </c>
      <c r="L1559" s="4" t="s">
        <v>3743</v>
      </c>
      <c r="M1559" s="4" t="s">
        <v>3746</v>
      </c>
      <c r="N1559" s="4" t="s">
        <v>3747</v>
      </c>
      <c r="O1559" s="17">
        <f>INDEX('список ID из СУЭ с должностями'!$A:$F,MATCH(E1559,'список ID из СУЭ с должностями'!$B:$B,0),5)</f>
        <v>0</v>
      </c>
    </row>
    <row r="1560" spans="1:15" ht="120">
      <c r="A1560" s="3" t="s">
        <v>10</v>
      </c>
      <c r="B1560" s="3" t="s">
        <v>11</v>
      </c>
      <c r="C1560" s="4">
        <v>2026</v>
      </c>
      <c r="D1560" s="5" t="s">
        <v>12</v>
      </c>
      <c r="E1560" s="4">
        <v>220</v>
      </c>
      <c r="F1560" s="4" t="s">
        <v>454</v>
      </c>
      <c r="G1560" s="4" t="s">
        <v>455</v>
      </c>
      <c r="H1560" s="4" t="s">
        <v>15</v>
      </c>
      <c r="I1560" s="4" t="s">
        <v>466</v>
      </c>
      <c r="J1560" s="4" t="s">
        <v>467</v>
      </c>
      <c r="K1560" s="4" t="s">
        <v>30</v>
      </c>
      <c r="L1560" s="4" t="s">
        <v>3742</v>
      </c>
      <c r="M1560" s="4" t="s">
        <v>3746</v>
      </c>
      <c r="N1560" s="4" t="s">
        <v>3747</v>
      </c>
      <c r="O1560" s="17">
        <f>INDEX('список ID из СУЭ с должностями'!$A:$F,MATCH(E1560,'список ID из СУЭ с должностями'!$B:$B,0),5)</f>
        <v>0</v>
      </c>
    </row>
    <row r="1561" spans="1:15" ht="120">
      <c r="A1561" s="3" t="s">
        <v>10</v>
      </c>
      <c r="B1561" s="3" t="s">
        <v>11</v>
      </c>
      <c r="C1561" s="4">
        <v>2026</v>
      </c>
      <c r="D1561" s="5" t="s">
        <v>12</v>
      </c>
      <c r="E1561" s="4">
        <v>220</v>
      </c>
      <c r="F1561" s="4" t="s">
        <v>454</v>
      </c>
      <c r="G1561" s="4" t="s">
        <v>455</v>
      </c>
      <c r="H1561" s="4" t="s">
        <v>15</v>
      </c>
      <c r="I1561" s="4" t="s">
        <v>468</v>
      </c>
      <c r="J1561" s="4" t="s">
        <v>79</v>
      </c>
      <c r="K1561" s="4" t="s">
        <v>30</v>
      </c>
      <c r="L1561" s="4" t="s">
        <v>3742</v>
      </c>
      <c r="M1561" s="4" t="s">
        <v>3746</v>
      </c>
      <c r="N1561" s="4" t="s">
        <v>3747</v>
      </c>
      <c r="O1561" s="17">
        <f>INDEX('список ID из СУЭ с должностями'!$A:$F,MATCH(E1561,'список ID из СУЭ с должностями'!$B:$B,0),5)</f>
        <v>0</v>
      </c>
    </row>
    <row r="1562" spans="1:15" ht="210">
      <c r="A1562" s="3" t="s">
        <v>10</v>
      </c>
      <c r="B1562" s="3" t="s">
        <v>11</v>
      </c>
      <c r="C1562" s="4">
        <v>2026</v>
      </c>
      <c r="D1562" s="5" t="s">
        <v>12</v>
      </c>
      <c r="E1562" s="4">
        <v>220</v>
      </c>
      <c r="F1562" s="4" t="s">
        <v>454</v>
      </c>
      <c r="G1562" s="4" t="s">
        <v>455</v>
      </c>
      <c r="H1562" s="4" t="s">
        <v>15</v>
      </c>
      <c r="I1562" s="4" t="s">
        <v>469</v>
      </c>
      <c r="J1562" s="4" t="s">
        <v>470</v>
      </c>
      <c r="K1562" s="4" t="s">
        <v>30</v>
      </c>
      <c r="L1562" s="4" t="s">
        <v>3743</v>
      </c>
      <c r="M1562" s="4" t="s">
        <v>3746</v>
      </c>
      <c r="N1562" s="4" t="s">
        <v>3747</v>
      </c>
      <c r="O1562" s="17">
        <f>INDEX('список ID из СУЭ с должностями'!$A:$F,MATCH(E1562,'список ID из СУЭ с должностями'!$B:$B,0),5)</f>
        <v>0</v>
      </c>
    </row>
    <row r="1563" spans="1:15" ht="120">
      <c r="A1563" s="3" t="s">
        <v>10</v>
      </c>
      <c r="B1563" s="3" t="s">
        <v>11</v>
      </c>
      <c r="C1563" s="4">
        <v>2026</v>
      </c>
      <c r="D1563" s="5" t="s">
        <v>12</v>
      </c>
      <c r="E1563" s="4">
        <v>220</v>
      </c>
      <c r="F1563" s="4" t="s">
        <v>454</v>
      </c>
      <c r="G1563" s="4" t="s">
        <v>455</v>
      </c>
      <c r="H1563" s="4" t="s">
        <v>15</v>
      </c>
      <c r="I1563" s="4" t="s">
        <v>471</v>
      </c>
      <c r="J1563" s="4" t="s">
        <v>463</v>
      </c>
      <c r="K1563" s="4" t="s">
        <v>188</v>
      </c>
      <c r="L1563" s="4" t="s">
        <v>3742</v>
      </c>
      <c r="M1563" s="4" t="s">
        <v>3746</v>
      </c>
      <c r="N1563" s="4" t="s">
        <v>3747</v>
      </c>
      <c r="O1563" s="17">
        <f>INDEX('список ID из СУЭ с должностями'!$A:$F,MATCH(E1563,'список ID из СУЭ с должностями'!$B:$B,0),5)</f>
        <v>0</v>
      </c>
    </row>
    <row r="1564" spans="1:15" ht="409.5">
      <c r="A1564" s="3" t="s">
        <v>10</v>
      </c>
      <c r="B1564" s="3" t="s">
        <v>11</v>
      </c>
      <c r="C1564" s="4">
        <v>2026</v>
      </c>
      <c r="D1564" s="5" t="s">
        <v>12</v>
      </c>
      <c r="E1564" s="4">
        <v>220</v>
      </c>
      <c r="F1564" s="4" t="s">
        <v>454</v>
      </c>
      <c r="G1564" s="4" t="s">
        <v>455</v>
      </c>
      <c r="H1564" s="4" t="s">
        <v>15</v>
      </c>
      <c r="I1564" s="4" t="s">
        <v>472</v>
      </c>
      <c r="J1564" s="4" t="s">
        <v>473</v>
      </c>
      <c r="K1564" s="4" t="s">
        <v>25</v>
      </c>
      <c r="L1564" s="4" t="s">
        <v>3743</v>
      </c>
      <c r="M1564" s="4" t="s">
        <v>3746</v>
      </c>
      <c r="N1564" s="4" t="s">
        <v>3747</v>
      </c>
      <c r="O1564" s="17">
        <f>INDEX('список ID из СУЭ с должностями'!$A:$F,MATCH(E1564,'список ID из СУЭ с должностями'!$B:$B,0),5)</f>
        <v>0</v>
      </c>
    </row>
    <row r="1565" spans="1:15" ht="45">
      <c r="A1565" s="3" t="s">
        <v>10</v>
      </c>
      <c r="B1565" s="3" t="s">
        <v>11</v>
      </c>
      <c r="C1565" s="4">
        <v>2026</v>
      </c>
      <c r="D1565" s="5" t="s">
        <v>12</v>
      </c>
      <c r="E1565" s="4">
        <v>221</v>
      </c>
      <c r="F1565" s="4" t="s">
        <v>193</v>
      </c>
      <c r="G1565" s="4" t="s">
        <v>506</v>
      </c>
      <c r="H1565" s="4" t="s">
        <v>15</v>
      </c>
      <c r="I1565" s="4" t="s">
        <v>48</v>
      </c>
      <c r="J1565" s="4" t="s">
        <v>187</v>
      </c>
      <c r="K1565" s="4" t="s">
        <v>35</v>
      </c>
      <c r="L1565" s="4" t="s">
        <v>3743</v>
      </c>
      <c r="M1565" s="4" t="s">
        <v>3746</v>
      </c>
      <c r="N1565" s="4" t="s">
        <v>3747</v>
      </c>
      <c r="O1565" s="17" t="str">
        <f>INDEX('список ID из СУЭ с должностями'!$A:$F,MATCH(E1565,'список ID из СУЭ с должностями'!$B:$B,0),5)</f>
        <v>Инж смены</v>
      </c>
    </row>
    <row r="1566" spans="1:15" ht="45">
      <c r="A1566" s="3" t="s">
        <v>10</v>
      </c>
      <c r="B1566" s="3" t="s">
        <v>11</v>
      </c>
      <c r="C1566" s="4">
        <v>2026</v>
      </c>
      <c r="D1566" s="5" t="s">
        <v>12</v>
      </c>
      <c r="E1566" s="4">
        <v>221</v>
      </c>
      <c r="F1566" s="4" t="s">
        <v>193</v>
      </c>
      <c r="G1566" s="4" t="s">
        <v>506</v>
      </c>
      <c r="H1566" s="4" t="s">
        <v>15</v>
      </c>
      <c r="I1566" s="4" t="s">
        <v>62</v>
      </c>
      <c r="J1566" s="4" t="s">
        <v>1590</v>
      </c>
      <c r="K1566" s="4" t="s">
        <v>52</v>
      </c>
      <c r="L1566" s="4" t="s">
        <v>3743</v>
      </c>
      <c r="M1566" s="4" t="s">
        <v>3746</v>
      </c>
      <c r="N1566" s="4" t="s">
        <v>3747</v>
      </c>
      <c r="O1566" s="17" t="str">
        <f>INDEX('список ID из СУЭ с должностями'!$A:$F,MATCH(E1566,'список ID из СУЭ с должностями'!$B:$B,0),5)</f>
        <v>Инж смены</v>
      </c>
    </row>
    <row r="1567" spans="1:15" ht="60">
      <c r="A1567" s="3" t="s">
        <v>10</v>
      </c>
      <c r="B1567" s="3" t="s">
        <v>11</v>
      </c>
      <c r="C1567" s="4">
        <v>2026</v>
      </c>
      <c r="D1567" s="5" t="s">
        <v>12</v>
      </c>
      <c r="E1567" s="4">
        <v>221</v>
      </c>
      <c r="F1567" s="4" t="s">
        <v>193</v>
      </c>
      <c r="G1567" s="4" t="s">
        <v>506</v>
      </c>
      <c r="H1567" s="4" t="s">
        <v>15</v>
      </c>
      <c r="I1567" s="4" t="s">
        <v>819</v>
      </c>
      <c r="J1567" s="4" t="s">
        <v>200</v>
      </c>
      <c r="K1567" s="4" t="s">
        <v>151</v>
      </c>
      <c r="L1567" s="4" t="s">
        <v>3742</v>
      </c>
      <c r="M1567" s="4" t="s">
        <v>3746</v>
      </c>
      <c r="N1567" s="4" t="s">
        <v>3747</v>
      </c>
      <c r="O1567" s="17" t="str">
        <f>INDEX('список ID из СУЭ с должностями'!$A:$F,MATCH(E1567,'список ID из СУЭ с должностями'!$B:$B,0),5)</f>
        <v>Инж смены</v>
      </c>
    </row>
    <row r="1568" spans="1:15" ht="60">
      <c r="A1568" s="3" t="s">
        <v>10</v>
      </c>
      <c r="B1568" s="3" t="s">
        <v>11</v>
      </c>
      <c r="C1568" s="4">
        <v>2026</v>
      </c>
      <c r="D1568" s="5" t="s">
        <v>12</v>
      </c>
      <c r="E1568" s="4">
        <v>221</v>
      </c>
      <c r="F1568" s="4" t="s">
        <v>193</v>
      </c>
      <c r="G1568" s="4" t="s">
        <v>506</v>
      </c>
      <c r="H1568" s="4" t="s">
        <v>15</v>
      </c>
      <c r="I1568" s="4" t="s">
        <v>817</v>
      </c>
      <c r="J1568" s="4" t="s">
        <v>196</v>
      </c>
      <c r="K1568" s="4" t="s">
        <v>35</v>
      </c>
      <c r="L1568" s="4" t="s">
        <v>3742</v>
      </c>
      <c r="M1568" s="4" t="s">
        <v>3746</v>
      </c>
      <c r="N1568" s="4" t="s">
        <v>3747</v>
      </c>
      <c r="O1568" s="17" t="str">
        <f>INDEX('список ID из СУЭ с должностями'!$A:$F,MATCH(E1568,'список ID из СУЭ с должностями'!$B:$B,0),5)</f>
        <v>Инж смены</v>
      </c>
    </row>
    <row r="1569" spans="1:15" ht="150">
      <c r="A1569" s="3" t="s">
        <v>10</v>
      </c>
      <c r="B1569" s="3" t="s">
        <v>11</v>
      </c>
      <c r="C1569" s="4">
        <v>2026</v>
      </c>
      <c r="D1569" s="5" t="s">
        <v>12</v>
      </c>
      <c r="E1569" s="4">
        <v>221</v>
      </c>
      <c r="F1569" s="4" t="s">
        <v>193</v>
      </c>
      <c r="G1569" s="4" t="s">
        <v>506</v>
      </c>
      <c r="H1569" s="4" t="s">
        <v>15</v>
      </c>
      <c r="I1569" s="4" t="s">
        <v>198</v>
      </c>
      <c r="J1569" s="4" t="s">
        <v>1942</v>
      </c>
      <c r="K1569" s="4" t="s">
        <v>20</v>
      </c>
      <c r="L1569" s="4" t="s">
        <v>3743</v>
      </c>
      <c r="M1569" s="4" t="s">
        <v>3746</v>
      </c>
      <c r="N1569" s="4" t="s">
        <v>3747</v>
      </c>
      <c r="O1569" s="17" t="str">
        <f>INDEX('список ID из СУЭ с должностями'!$A:$F,MATCH(E1569,'список ID из СУЭ с должностями'!$B:$B,0),5)</f>
        <v>Инж смены</v>
      </c>
    </row>
    <row r="1570" spans="1:15" ht="60">
      <c r="A1570" s="3" t="s">
        <v>10</v>
      </c>
      <c r="B1570" s="3" t="s">
        <v>11</v>
      </c>
      <c r="C1570" s="4">
        <v>2026</v>
      </c>
      <c r="D1570" s="5" t="s">
        <v>12</v>
      </c>
      <c r="E1570" s="4">
        <v>222</v>
      </c>
      <c r="F1570" s="4" t="s">
        <v>239</v>
      </c>
      <c r="G1570" s="4" t="s">
        <v>1611</v>
      </c>
      <c r="H1570" s="4" t="s">
        <v>15</v>
      </c>
      <c r="I1570" s="4" t="s">
        <v>1943</v>
      </c>
      <c r="J1570" s="4" t="s">
        <v>1944</v>
      </c>
      <c r="K1570" s="4" t="s">
        <v>23</v>
      </c>
      <c r="L1570" s="4" t="s">
        <v>3743</v>
      </c>
      <c r="M1570" s="4" t="s">
        <v>3748</v>
      </c>
      <c r="N1570" s="4" t="s">
        <v>3749</v>
      </c>
      <c r="O1570" s="17" t="str">
        <f>INDEX('список ID из СУЭ с должностями'!$A:$F,MATCH(E1570,'список ID из СУЭ с должностями'!$B:$B,0),5)</f>
        <v>ИПП</v>
      </c>
    </row>
    <row r="1571" spans="1:15" ht="60">
      <c r="A1571" s="3" t="s">
        <v>10</v>
      </c>
      <c r="B1571" s="3" t="s">
        <v>11</v>
      </c>
      <c r="C1571" s="4">
        <v>2026</v>
      </c>
      <c r="D1571" s="5" t="s">
        <v>12</v>
      </c>
      <c r="E1571" s="4">
        <v>222</v>
      </c>
      <c r="F1571" s="4" t="s">
        <v>239</v>
      </c>
      <c r="G1571" s="4" t="s">
        <v>1611</v>
      </c>
      <c r="H1571" s="4" t="s">
        <v>15</v>
      </c>
      <c r="I1571" s="4" t="s">
        <v>243</v>
      </c>
      <c r="J1571" s="4" t="s">
        <v>132</v>
      </c>
      <c r="K1571" s="4" t="s">
        <v>38</v>
      </c>
      <c r="L1571" s="4" t="s">
        <v>3742</v>
      </c>
      <c r="M1571" s="4" t="s">
        <v>3746</v>
      </c>
      <c r="N1571" s="4" t="s">
        <v>3747</v>
      </c>
      <c r="O1571" s="17" t="str">
        <f>INDEX('список ID из СУЭ с должностями'!$A:$F,MATCH(E1571,'список ID из СУЭ с должностями'!$B:$B,0),5)</f>
        <v>ИПП</v>
      </c>
    </row>
    <row r="1572" spans="1:15" ht="60">
      <c r="A1572" s="3" t="s">
        <v>10</v>
      </c>
      <c r="B1572" s="3" t="s">
        <v>11</v>
      </c>
      <c r="C1572" s="4">
        <v>2026</v>
      </c>
      <c r="D1572" s="5" t="s">
        <v>12</v>
      </c>
      <c r="E1572" s="4">
        <v>222</v>
      </c>
      <c r="F1572" s="4" t="s">
        <v>239</v>
      </c>
      <c r="G1572" s="4" t="s">
        <v>1611</v>
      </c>
      <c r="H1572" s="4" t="s">
        <v>15</v>
      </c>
      <c r="I1572" s="4" t="s">
        <v>816</v>
      </c>
      <c r="J1572" s="4" t="s">
        <v>182</v>
      </c>
      <c r="K1572" s="4" t="s">
        <v>38</v>
      </c>
      <c r="L1572" s="4" t="s">
        <v>3742</v>
      </c>
      <c r="M1572" s="4" t="s">
        <v>3746</v>
      </c>
      <c r="N1572" s="4" t="s">
        <v>3747</v>
      </c>
      <c r="O1572" s="17" t="str">
        <f>INDEX('список ID из СУЭ с должностями'!$A:$F,MATCH(E1572,'список ID из СУЭ с должностями'!$B:$B,0),5)</f>
        <v>ИПП</v>
      </c>
    </row>
    <row r="1573" spans="1:15" ht="60">
      <c r="A1573" s="3" t="s">
        <v>10</v>
      </c>
      <c r="B1573" s="3" t="s">
        <v>11</v>
      </c>
      <c r="C1573" s="4">
        <v>2026</v>
      </c>
      <c r="D1573" s="5" t="s">
        <v>12</v>
      </c>
      <c r="E1573" s="4">
        <v>222</v>
      </c>
      <c r="F1573" s="4" t="s">
        <v>239</v>
      </c>
      <c r="G1573" s="4" t="s">
        <v>1611</v>
      </c>
      <c r="H1573" s="4" t="s">
        <v>15</v>
      </c>
      <c r="I1573" s="4" t="s">
        <v>817</v>
      </c>
      <c r="J1573" s="4" t="s">
        <v>196</v>
      </c>
      <c r="K1573" s="4" t="s">
        <v>38</v>
      </c>
      <c r="L1573" s="4" t="s">
        <v>3742</v>
      </c>
      <c r="M1573" s="4" t="s">
        <v>3746</v>
      </c>
      <c r="N1573" s="4" t="s">
        <v>3747</v>
      </c>
      <c r="O1573" s="17" t="str">
        <f>INDEX('список ID из СУЭ с должностями'!$A:$F,MATCH(E1573,'список ID из СУЭ с должностями'!$B:$B,0),5)</f>
        <v>ИПП</v>
      </c>
    </row>
    <row r="1574" spans="1:15" ht="90">
      <c r="A1574" s="3" t="s">
        <v>10</v>
      </c>
      <c r="B1574" s="3" t="s">
        <v>11</v>
      </c>
      <c r="C1574" s="4">
        <v>2026</v>
      </c>
      <c r="D1574" s="5" t="s">
        <v>12</v>
      </c>
      <c r="E1574" s="4">
        <v>222</v>
      </c>
      <c r="F1574" s="4" t="s">
        <v>239</v>
      </c>
      <c r="G1574" s="4" t="s">
        <v>1611</v>
      </c>
      <c r="H1574" s="4" t="s">
        <v>15</v>
      </c>
      <c r="I1574" s="4" t="s">
        <v>198</v>
      </c>
      <c r="J1574" s="4" t="s">
        <v>818</v>
      </c>
      <c r="K1574" s="4" t="s">
        <v>20</v>
      </c>
      <c r="L1574" s="4" t="s">
        <v>3743</v>
      </c>
      <c r="M1574" s="4" t="s">
        <v>3746</v>
      </c>
      <c r="N1574" s="4" t="s">
        <v>3747</v>
      </c>
      <c r="O1574" s="17" t="str">
        <f>INDEX('список ID из СУЭ с должностями'!$A:$F,MATCH(E1574,'список ID из СУЭ с должностями'!$B:$B,0),5)</f>
        <v>ИПП</v>
      </c>
    </row>
    <row r="1575" spans="1:15" ht="60">
      <c r="A1575" s="3" t="s">
        <v>10</v>
      </c>
      <c r="B1575" s="3" t="s">
        <v>11</v>
      </c>
      <c r="C1575" s="4">
        <v>2026</v>
      </c>
      <c r="D1575" s="5" t="s">
        <v>12</v>
      </c>
      <c r="E1575" s="4">
        <v>222</v>
      </c>
      <c r="F1575" s="4" t="s">
        <v>239</v>
      </c>
      <c r="G1575" s="4" t="s">
        <v>1611</v>
      </c>
      <c r="H1575" s="4" t="s">
        <v>15</v>
      </c>
      <c r="I1575" s="4" t="s">
        <v>48</v>
      </c>
      <c r="J1575" s="4" t="s">
        <v>187</v>
      </c>
      <c r="K1575" s="4" t="s">
        <v>35</v>
      </c>
      <c r="L1575" s="4" t="s">
        <v>3743</v>
      </c>
      <c r="M1575" s="4" t="s">
        <v>3746</v>
      </c>
      <c r="N1575" s="4" t="s">
        <v>3747</v>
      </c>
      <c r="O1575" s="17" t="str">
        <f>INDEX('список ID из СУЭ с должностями'!$A:$F,MATCH(E1575,'список ID из СУЭ с должностями'!$B:$B,0),5)</f>
        <v>ИПП</v>
      </c>
    </row>
    <row r="1576" spans="1:15" ht="60">
      <c r="A1576" s="3" t="s">
        <v>10</v>
      </c>
      <c r="B1576" s="3" t="s">
        <v>11</v>
      </c>
      <c r="C1576" s="4">
        <v>2026</v>
      </c>
      <c r="D1576" s="5" t="s">
        <v>12</v>
      </c>
      <c r="E1576" s="4">
        <v>222</v>
      </c>
      <c r="F1576" s="4" t="s">
        <v>239</v>
      </c>
      <c r="G1576" s="4" t="s">
        <v>1611</v>
      </c>
      <c r="H1576" s="4" t="s">
        <v>15</v>
      </c>
      <c r="I1576" s="4" t="s">
        <v>819</v>
      </c>
      <c r="J1576" s="4" t="s">
        <v>200</v>
      </c>
      <c r="K1576" s="4" t="s">
        <v>66</v>
      </c>
      <c r="L1576" s="4" t="s">
        <v>3742</v>
      </c>
      <c r="M1576" s="4" t="s">
        <v>3746</v>
      </c>
      <c r="N1576" s="4" t="s">
        <v>3747</v>
      </c>
      <c r="O1576" s="17" t="str">
        <f>INDEX('список ID из СУЭ с должностями'!$A:$F,MATCH(E1576,'список ID из СУЭ с должностями'!$B:$B,0),5)</f>
        <v>ИПП</v>
      </c>
    </row>
    <row r="1577" spans="1:15" ht="105">
      <c r="A1577" s="3" t="s">
        <v>10</v>
      </c>
      <c r="B1577" s="3" t="s">
        <v>11</v>
      </c>
      <c r="C1577" s="4">
        <v>2026</v>
      </c>
      <c r="D1577" s="5" t="s">
        <v>12</v>
      </c>
      <c r="E1577" s="4">
        <v>223</v>
      </c>
      <c r="F1577" s="4" t="s">
        <v>44</v>
      </c>
      <c r="G1577" s="4" t="s">
        <v>808</v>
      </c>
      <c r="H1577" s="4" t="s">
        <v>15</v>
      </c>
      <c r="I1577" s="4" t="s">
        <v>437</v>
      </c>
      <c r="J1577" s="4" t="s">
        <v>930</v>
      </c>
      <c r="K1577" s="4" t="s">
        <v>25</v>
      </c>
      <c r="L1577" s="4" t="s">
        <v>3743</v>
      </c>
      <c r="M1577" s="4" t="s">
        <v>3746</v>
      </c>
      <c r="N1577" s="4" t="s">
        <v>3747</v>
      </c>
      <c r="O1577" s="17">
        <f>INDEX('список ID из СУЭ с должностями'!$A:$F,MATCH(E1577,'список ID из СУЭ с должностями'!$B:$B,0),5)</f>
        <v>0</v>
      </c>
    </row>
    <row r="1578" spans="1:15" ht="225">
      <c r="A1578" s="3" t="s">
        <v>10</v>
      </c>
      <c r="B1578" s="3" t="s">
        <v>11</v>
      </c>
      <c r="C1578" s="4">
        <v>2026</v>
      </c>
      <c r="D1578" s="5" t="s">
        <v>12</v>
      </c>
      <c r="E1578" s="4">
        <v>223</v>
      </c>
      <c r="F1578" s="4" t="s">
        <v>44</v>
      </c>
      <c r="G1578" s="4" t="s">
        <v>808</v>
      </c>
      <c r="H1578" s="4" t="s">
        <v>15</v>
      </c>
      <c r="I1578" s="4" t="s">
        <v>303</v>
      </c>
      <c r="J1578" s="4" t="s">
        <v>1234</v>
      </c>
      <c r="K1578" s="4" t="s">
        <v>66</v>
      </c>
      <c r="L1578" s="4" t="s">
        <v>3743</v>
      </c>
      <c r="M1578" s="4" t="s">
        <v>3746</v>
      </c>
      <c r="N1578" s="4" t="s">
        <v>3747</v>
      </c>
      <c r="O1578" s="17">
        <f>INDEX('список ID из СУЭ с должностями'!$A:$F,MATCH(E1578,'список ID из СУЭ с должностями'!$B:$B,0),5)</f>
        <v>0</v>
      </c>
    </row>
    <row r="1579" spans="1:15" ht="345">
      <c r="A1579" s="3" t="s">
        <v>10</v>
      </c>
      <c r="B1579" s="3" t="s">
        <v>11</v>
      </c>
      <c r="C1579" s="4">
        <v>2026</v>
      </c>
      <c r="D1579" s="5" t="s">
        <v>12</v>
      </c>
      <c r="E1579" s="4">
        <v>223</v>
      </c>
      <c r="F1579" s="4" t="s">
        <v>44</v>
      </c>
      <c r="G1579" s="4" t="s">
        <v>808</v>
      </c>
      <c r="H1579" s="4" t="s">
        <v>15</v>
      </c>
      <c r="I1579" s="4" t="s">
        <v>149</v>
      </c>
      <c r="J1579" s="4" t="s">
        <v>1945</v>
      </c>
      <c r="K1579" s="4" t="s">
        <v>30</v>
      </c>
      <c r="L1579" s="4" t="s">
        <v>3743</v>
      </c>
      <c r="M1579" s="4" t="s">
        <v>3746</v>
      </c>
      <c r="N1579" s="4" t="s">
        <v>3747</v>
      </c>
      <c r="O1579" s="17">
        <f>INDEX('список ID из СУЭ с должностями'!$A:$F,MATCH(E1579,'список ID из СУЭ с должностями'!$B:$B,0),5)</f>
        <v>0</v>
      </c>
    </row>
    <row r="1580" spans="1:15" ht="255">
      <c r="A1580" s="3" t="s">
        <v>10</v>
      </c>
      <c r="B1580" s="3" t="s">
        <v>11</v>
      </c>
      <c r="C1580" s="4">
        <v>2026</v>
      </c>
      <c r="D1580" s="5" t="s">
        <v>12</v>
      </c>
      <c r="E1580" s="4">
        <v>223</v>
      </c>
      <c r="F1580" s="4" t="s">
        <v>44</v>
      </c>
      <c r="G1580" s="4" t="s">
        <v>808</v>
      </c>
      <c r="H1580" s="4" t="s">
        <v>15</v>
      </c>
      <c r="I1580" s="4" t="s">
        <v>147</v>
      </c>
      <c r="J1580" s="4" t="s">
        <v>1946</v>
      </c>
      <c r="K1580" s="4" t="s">
        <v>35</v>
      </c>
      <c r="L1580" s="4" t="s">
        <v>3743</v>
      </c>
      <c r="M1580" s="4" t="s">
        <v>3746</v>
      </c>
      <c r="N1580" s="4" t="s">
        <v>3747</v>
      </c>
      <c r="O1580" s="17">
        <f>INDEX('список ID из СУЭ с должностями'!$A:$F,MATCH(E1580,'список ID из СУЭ с должностями'!$B:$B,0),5)</f>
        <v>0</v>
      </c>
    </row>
    <row r="1581" spans="1:15" ht="135">
      <c r="A1581" s="3" t="s">
        <v>10</v>
      </c>
      <c r="B1581" s="3" t="s">
        <v>11</v>
      </c>
      <c r="C1581" s="4">
        <v>2026</v>
      </c>
      <c r="D1581" s="5" t="s">
        <v>12</v>
      </c>
      <c r="E1581" s="4">
        <v>223</v>
      </c>
      <c r="F1581" s="4" t="s">
        <v>44</v>
      </c>
      <c r="G1581" s="4" t="s">
        <v>808</v>
      </c>
      <c r="H1581" s="4" t="s">
        <v>15</v>
      </c>
      <c r="I1581" s="4" t="s">
        <v>1947</v>
      </c>
      <c r="J1581" s="4" t="s">
        <v>1230</v>
      </c>
      <c r="K1581" s="4" t="s">
        <v>52</v>
      </c>
      <c r="L1581" s="4" t="s">
        <v>3743</v>
      </c>
      <c r="M1581" s="4" t="s">
        <v>3746</v>
      </c>
      <c r="N1581" s="4" t="s">
        <v>3747</v>
      </c>
      <c r="O1581" s="17">
        <f>INDEX('список ID из СУЭ с должностями'!$A:$F,MATCH(E1581,'список ID из СУЭ с должностями'!$B:$B,0),5)</f>
        <v>0</v>
      </c>
    </row>
    <row r="1582" spans="1:15" ht="105">
      <c r="A1582" s="3" t="s">
        <v>10</v>
      </c>
      <c r="B1582" s="3" t="s">
        <v>11</v>
      </c>
      <c r="C1582" s="4">
        <v>2026</v>
      </c>
      <c r="D1582" s="5" t="s">
        <v>12</v>
      </c>
      <c r="E1582" s="4">
        <v>223</v>
      </c>
      <c r="F1582" s="4" t="s">
        <v>44</v>
      </c>
      <c r="G1582" s="4" t="s">
        <v>808</v>
      </c>
      <c r="H1582" s="4" t="s">
        <v>21</v>
      </c>
      <c r="I1582" s="4" t="s">
        <v>1948</v>
      </c>
      <c r="J1582" s="4" t="s">
        <v>1232</v>
      </c>
      <c r="K1582" s="4" t="s">
        <v>66</v>
      </c>
      <c r="L1582" s="4" t="s">
        <v>3743</v>
      </c>
      <c r="M1582" s="4" t="s">
        <v>3746</v>
      </c>
      <c r="N1582" s="4" t="s">
        <v>3747</v>
      </c>
      <c r="O1582" s="17">
        <f>INDEX('список ID из СУЭ с должностями'!$A:$F,MATCH(E1582,'список ID из СУЭ с должностями'!$B:$B,0),5)</f>
        <v>0</v>
      </c>
    </row>
    <row r="1583" spans="1:15" ht="409.5">
      <c r="A1583" s="3" t="s">
        <v>10</v>
      </c>
      <c r="B1583" s="3" t="s">
        <v>11</v>
      </c>
      <c r="C1583" s="4">
        <v>2026</v>
      </c>
      <c r="D1583" s="5" t="s">
        <v>12</v>
      </c>
      <c r="E1583" s="4">
        <v>223</v>
      </c>
      <c r="F1583" s="4" t="s">
        <v>44</v>
      </c>
      <c r="G1583" s="4" t="s">
        <v>808</v>
      </c>
      <c r="H1583" s="4" t="s">
        <v>21</v>
      </c>
      <c r="I1583" s="4" t="s">
        <v>460</v>
      </c>
      <c r="J1583" s="4" t="s">
        <v>1170</v>
      </c>
      <c r="K1583" s="4" t="s">
        <v>38</v>
      </c>
      <c r="L1583" s="4" t="s">
        <v>3743</v>
      </c>
      <c r="M1583" s="4" t="s">
        <v>3746</v>
      </c>
      <c r="N1583" s="4" t="s">
        <v>3747</v>
      </c>
      <c r="O1583" s="17">
        <f>INDEX('список ID из СУЭ с должностями'!$A:$F,MATCH(E1583,'список ID из СУЭ с должностями'!$B:$B,0),5)</f>
        <v>0</v>
      </c>
    </row>
    <row r="1584" spans="1:15" ht="210">
      <c r="A1584" s="3" t="s">
        <v>10</v>
      </c>
      <c r="B1584" s="3" t="s">
        <v>11</v>
      </c>
      <c r="C1584" s="4">
        <v>2026</v>
      </c>
      <c r="D1584" s="5" t="s">
        <v>12</v>
      </c>
      <c r="E1584" s="4">
        <v>223</v>
      </c>
      <c r="F1584" s="4" t="s">
        <v>44</v>
      </c>
      <c r="G1584" s="4" t="s">
        <v>808</v>
      </c>
      <c r="H1584" s="4" t="s">
        <v>41</v>
      </c>
      <c r="I1584" s="4" t="s">
        <v>1002</v>
      </c>
      <c r="J1584" s="4" t="s">
        <v>1233</v>
      </c>
      <c r="K1584" s="4" t="s">
        <v>52</v>
      </c>
      <c r="L1584" s="4" t="s">
        <v>3743</v>
      </c>
      <c r="M1584" s="4" t="s">
        <v>3746</v>
      </c>
      <c r="N1584" s="4" t="s">
        <v>3747</v>
      </c>
      <c r="O1584" s="17">
        <f>INDEX('список ID из СУЭ с должностями'!$A:$F,MATCH(E1584,'список ID из СУЭ с должностями'!$B:$B,0),5)</f>
        <v>0</v>
      </c>
    </row>
    <row r="1585" spans="1:15" ht="409.5">
      <c r="A1585" s="3" t="s">
        <v>10</v>
      </c>
      <c r="B1585" s="3" t="s">
        <v>11</v>
      </c>
      <c r="C1585" s="4">
        <v>2026</v>
      </c>
      <c r="D1585" s="5" t="s">
        <v>12</v>
      </c>
      <c r="E1585" s="4">
        <v>223</v>
      </c>
      <c r="F1585" s="4" t="s">
        <v>44</v>
      </c>
      <c r="G1585" s="4" t="s">
        <v>808</v>
      </c>
      <c r="H1585" s="4" t="s">
        <v>15</v>
      </c>
      <c r="I1585" s="4" t="s">
        <v>25</v>
      </c>
      <c r="J1585" s="4" t="s">
        <v>1237</v>
      </c>
      <c r="K1585" s="4" t="s">
        <v>25</v>
      </c>
      <c r="L1585" s="4" t="s">
        <v>3743</v>
      </c>
      <c r="M1585" s="4" t="s">
        <v>3746</v>
      </c>
      <c r="N1585" s="4" t="s">
        <v>3747</v>
      </c>
      <c r="O1585" s="17">
        <f>INDEX('список ID из СУЭ с должностями'!$A:$F,MATCH(E1585,'список ID из СУЭ с должностями'!$B:$B,0),5)</f>
        <v>0</v>
      </c>
    </row>
    <row r="1586" spans="1:15" ht="105">
      <c r="A1586" s="3" t="s">
        <v>10</v>
      </c>
      <c r="B1586" s="3" t="s">
        <v>11</v>
      </c>
      <c r="C1586" s="4">
        <v>2026</v>
      </c>
      <c r="D1586" s="5" t="s">
        <v>12</v>
      </c>
      <c r="E1586" s="4">
        <v>224</v>
      </c>
      <c r="F1586" s="4" t="s">
        <v>67</v>
      </c>
      <c r="G1586" s="4" t="s">
        <v>99</v>
      </c>
      <c r="H1586" s="4" t="s">
        <v>15</v>
      </c>
      <c r="I1586" s="4" t="s">
        <v>110</v>
      </c>
      <c r="J1586" s="4" t="s">
        <v>111</v>
      </c>
      <c r="K1586" s="4" t="s">
        <v>66</v>
      </c>
      <c r="L1586" s="4" t="s">
        <v>3742</v>
      </c>
      <c r="M1586" s="4" t="s">
        <v>3746</v>
      </c>
      <c r="N1586" s="4" t="s">
        <v>3747</v>
      </c>
      <c r="O1586" s="17">
        <f>INDEX('список ID из СУЭ с должностями'!$A:$F,MATCH(E1586,'список ID из СУЭ с должностями'!$B:$B,0),5)</f>
        <v>0</v>
      </c>
    </row>
    <row r="1587" spans="1:15" ht="105">
      <c r="A1587" s="3" t="s">
        <v>10</v>
      </c>
      <c r="B1587" s="3" t="s">
        <v>11</v>
      </c>
      <c r="C1587" s="4">
        <v>2026</v>
      </c>
      <c r="D1587" s="5" t="s">
        <v>12</v>
      </c>
      <c r="E1587" s="4">
        <v>224</v>
      </c>
      <c r="F1587" s="4" t="s">
        <v>67</v>
      </c>
      <c r="G1587" s="4" t="s">
        <v>99</v>
      </c>
      <c r="H1587" s="4" t="s">
        <v>15</v>
      </c>
      <c r="I1587" s="4" t="s">
        <v>104</v>
      </c>
      <c r="J1587" s="4" t="s">
        <v>105</v>
      </c>
      <c r="K1587" s="4" t="s">
        <v>30</v>
      </c>
      <c r="L1587" s="4" t="s">
        <v>3743</v>
      </c>
      <c r="M1587" s="4" t="s">
        <v>3746</v>
      </c>
      <c r="N1587" s="4" t="s">
        <v>3747</v>
      </c>
      <c r="O1587" s="17">
        <f>INDEX('список ID из СУЭ с должностями'!$A:$F,MATCH(E1587,'список ID из СУЭ с должностями'!$B:$B,0),5)</f>
        <v>0</v>
      </c>
    </row>
    <row r="1588" spans="1:15" ht="105">
      <c r="A1588" s="3" t="s">
        <v>10</v>
      </c>
      <c r="B1588" s="3" t="s">
        <v>11</v>
      </c>
      <c r="C1588" s="4">
        <v>2026</v>
      </c>
      <c r="D1588" s="5" t="s">
        <v>12</v>
      </c>
      <c r="E1588" s="4">
        <v>224</v>
      </c>
      <c r="F1588" s="4" t="s">
        <v>67</v>
      </c>
      <c r="G1588" s="4" t="s">
        <v>99</v>
      </c>
      <c r="H1588" s="4" t="s">
        <v>15</v>
      </c>
      <c r="I1588" s="4" t="s">
        <v>110</v>
      </c>
      <c r="J1588" s="4" t="s">
        <v>1225</v>
      </c>
      <c r="K1588" s="4" t="s">
        <v>30</v>
      </c>
      <c r="L1588" s="4" t="s">
        <v>3743</v>
      </c>
      <c r="M1588" s="4" t="s">
        <v>3746</v>
      </c>
      <c r="N1588" s="4" t="s">
        <v>3747</v>
      </c>
      <c r="O1588" s="17">
        <f>INDEX('список ID из СУЭ с должностями'!$A:$F,MATCH(E1588,'список ID из СУЭ с должностями'!$B:$B,0),5)</f>
        <v>0</v>
      </c>
    </row>
    <row r="1589" spans="1:15" ht="195">
      <c r="A1589" s="3" t="s">
        <v>10</v>
      </c>
      <c r="B1589" s="3" t="s">
        <v>11</v>
      </c>
      <c r="C1589" s="4">
        <v>2026</v>
      </c>
      <c r="D1589" s="5" t="s">
        <v>12</v>
      </c>
      <c r="E1589" s="4">
        <v>224</v>
      </c>
      <c r="F1589" s="4" t="s">
        <v>67</v>
      </c>
      <c r="G1589" s="4" t="s">
        <v>99</v>
      </c>
      <c r="H1589" s="4" t="s">
        <v>15</v>
      </c>
      <c r="I1589" s="4" t="s">
        <v>112</v>
      </c>
      <c r="J1589" s="4" t="s">
        <v>113</v>
      </c>
      <c r="K1589" s="4" t="s">
        <v>30</v>
      </c>
      <c r="L1589" s="4" t="s">
        <v>3743</v>
      </c>
      <c r="M1589" s="4" t="s">
        <v>3746</v>
      </c>
      <c r="N1589" s="4" t="s">
        <v>3747</v>
      </c>
      <c r="O1589" s="17">
        <f>INDEX('список ID из СУЭ с должностями'!$A:$F,MATCH(E1589,'список ID из СУЭ с должностями'!$B:$B,0),5)</f>
        <v>0</v>
      </c>
    </row>
    <row r="1590" spans="1:15" ht="105">
      <c r="A1590" s="3" t="s">
        <v>10</v>
      </c>
      <c r="B1590" s="3" t="s">
        <v>11</v>
      </c>
      <c r="C1590" s="4">
        <v>2026</v>
      </c>
      <c r="D1590" s="5" t="s">
        <v>12</v>
      </c>
      <c r="E1590" s="4">
        <v>224</v>
      </c>
      <c r="F1590" s="4" t="s">
        <v>67</v>
      </c>
      <c r="G1590" s="4" t="s">
        <v>99</v>
      </c>
      <c r="H1590" s="4" t="s">
        <v>15</v>
      </c>
      <c r="I1590" s="4" t="s">
        <v>1949</v>
      </c>
      <c r="J1590" s="4" t="s">
        <v>115</v>
      </c>
      <c r="K1590" s="4" t="s">
        <v>30</v>
      </c>
      <c r="L1590" s="4" t="s">
        <v>3742</v>
      </c>
      <c r="M1590" s="4" t="s">
        <v>3746</v>
      </c>
      <c r="N1590" s="4" t="s">
        <v>3747</v>
      </c>
      <c r="O1590" s="17">
        <f>INDEX('список ID из СУЭ с должностями'!$A:$F,MATCH(E1590,'список ID из СУЭ с должностями'!$B:$B,0),5)</f>
        <v>0</v>
      </c>
    </row>
    <row r="1591" spans="1:15" ht="105">
      <c r="A1591" s="3" t="s">
        <v>10</v>
      </c>
      <c r="B1591" s="3" t="s">
        <v>11</v>
      </c>
      <c r="C1591" s="4">
        <v>2026</v>
      </c>
      <c r="D1591" s="5" t="s">
        <v>12</v>
      </c>
      <c r="E1591" s="4">
        <v>224</v>
      </c>
      <c r="F1591" s="4" t="s">
        <v>67</v>
      </c>
      <c r="G1591" s="4" t="s">
        <v>99</v>
      </c>
      <c r="H1591" s="4" t="s">
        <v>15</v>
      </c>
      <c r="I1591" s="4" t="s">
        <v>309</v>
      </c>
      <c r="J1591" s="4" t="s">
        <v>115</v>
      </c>
      <c r="K1591" s="4" t="s">
        <v>30</v>
      </c>
      <c r="L1591" s="4" t="s">
        <v>3742</v>
      </c>
      <c r="M1591" s="4" t="s">
        <v>3746</v>
      </c>
      <c r="N1591" s="4" t="s">
        <v>3747</v>
      </c>
      <c r="O1591" s="17">
        <f>INDEX('список ID из СУЭ с должностями'!$A:$F,MATCH(E1591,'список ID из СУЭ с должностями'!$B:$B,0),5)</f>
        <v>0</v>
      </c>
    </row>
    <row r="1592" spans="1:15" ht="105">
      <c r="A1592" s="3" t="s">
        <v>10</v>
      </c>
      <c r="B1592" s="3" t="s">
        <v>11</v>
      </c>
      <c r="C1592" s="4">
        <v>2026</v>
      </c>
      <c r="D1592" s="5" t="s">
        <v>12</v>
      </c>
      <c r="E1592" s="4">
        <v>224</v>
      </c>
      <c r="F1592" s="4" t="s">
        <v>67</v>
      </c>
      <c r="G1592" s="4" t="s">
        <v>99</v>
      </c>
      <c r="H1592" s="4" t="s">
        <v>15</v>
      </c>
      <c r="I1592" s="4" t="s">
        <v>1137</v>
      </c>
      <c r="J1592" s="4" t="s">
        <v>109</v>
      </c>
      <c r="K1592" s="4" t="s">
        <v>30</v>
      </c>
      <c r="L1592" s="4" t="s">
        <v>3742</v>
      </c>
      <c r="M1592" s="4" t="s">
        <v>3746</v>
      </c>
      <c r="N1592" s="4" t="s">
        <v>3747</v>
      </c>
      <c r="O1592" s="17">
        <f>INDEX('список ID из СУЭ с должностями'!$A:$F,MATCH(E1592,'список ID из СУЭ с должностями'!$B:$B,0),5)</f>
        <v>0</v>
      </c>
    </row>
    <row r="1593" spans="1:15" ht="105">
      <c r="A1593" s="3" t="s">
        <v>10</v>
      </c>
      <c r="B1593" s="3" t="s">
        <v>11</v>
      </c>
      <c r="C1593" s="4">
        <v>2026</v>
      </c>
      <c r="D1593" s="5" t="s">
        <v>12</v>
      </c>
      <c r="E1593" s="4">
        <v>224</v>
      </c>
      <c r="F1593" s="4" t="s">
        <v>67</v>
      </c>
      <c r="G1593" s="4" t="s">
        <v>99</v>
      </c>
      <c r="H1593" s="4" t="s">
        <v>15</v>
      </c>
      <c r="I1593" s="4" t="s">
        <v>108</v>
      </c>
      <c r="J1593" s="4" t="s">
        <v>109</v>
      </c>
      <c r="K1593" s="4" t="s">
        <v>30</v>
      </c>
      <c r="L1593" s="4" t="s">
        <v>3742</v>
      </c>
      <c r="M1593" s="4" t="s">
        <v>3746</v>
      </c>
      <c r="N1593" s="4" t="s">
        <v>3747</v>
      </c>
      <c r="O1593" s="17">
        <f>INDEX('список ID из СУЭ с должностями'!$A:$F,MATCH(E1593,'список ID из СУЭ с должностями'!$B:$B,0),5)</f>
        <v>0</v>
      </c>
    </row>
    <row r="1594" spans="1:15" ht="105">
      <c r="A1594" s="3" t="s">
        <v>10</v>
      </c>
      <c r="B1594" s="3" t="s">
        <v>11</v>
      </c>
      <c r="C1594" s="4">
        <v>2026</v>
      </c>
      <c r="D1594" s="5" t="s">
        <v>12</v>
      </c>
      <c r="E1594" s="4">
        <v>224</v>
      </c>
      <c r="F1594" s="4" t="s">
        <v>67</v>
      </c>
      <c r="G1594" s="4" t="s">
        <v>99</v>
      </c>
      <c r="H1594" s="4" t="s">
        <v>15</v>
      </c>
      <c r="I1594" s="4" t="s">
        <v>26</v>
      </c>
      <c r="J1594" s="4" t="s">
        <v>27</v>
      </c>
      <c r="K1594" s="4" t="s">
        <v>25</v>
      </c>
      <c r="L1594" s="4" t="s">
        <v>3743</v>
      </c>
      <c r="M1594" s="4" t="s">
        <v>3746</v>
      </c>
      <c r="N1594" s="4" t="s">
        <v>3747</v>
      </c>
      <c r="O1594" s="17">
        <f>INDEX('список ID из СУЭ с должностями'!$A:$F,MATCH(E1594,'список ID из СУЭ с должностями'!$B:$B,0),5)</f>
        <v>0</v>
      </c>
    </row>
    <row r="1595" spans="1:15" ht="75">
      <c r="A1595" s="3" t="s">
        <v>10</v>
      </c>
      <c r="B1595" s="3" t="s">
        <v>11</v>
      </c>
      <c r="C1595" s="4">
        <v>2026</v>
      </c>
      <c r="D1595" s="5" t="s">
        <v>264</v>
      </c>
      <c r="E1595" s="4">
        <v>225</v>
      </c>
      <c r="F1595" s="4" t="s">
        <v>1950</v>
      </c>
      <c r="G1595" s="4" t="s">
        <v>285</v>
      </c>
      <c r="H1595" s="4" t="s">
        <v>15</v>
      </c>
      <c r="I1595" s="4" t="s">
        <v>1951</v>
      </c>
      <c r="J1595" s="4" t="s">
        <v>1952</v>
      </c>
      <c r="K1595" s="4" t="s">
        <v>230</v>
      </c>
      <c r="L1595" s="4" t="s">
        <v>3743</v>
      </c>
      <c r="M1595" s="4" t="s">
        <v>3746</v>
      </c>
      <c r="N1595" s="4" t="s">
        <v>3754</v>
      </c>
      <c r="O1595" s="17" t="str">
        <f>INDEX('список ID из СУЭ с должностями'!$A:$F,MATCH(E1595,'список ID из СУЭ с должностями'!$B:$B,0),5)</f>
        <v>МОК</v>
      </c>
    </row>
    <row r="1596" spans="1:15" ht="75">
      <c r="A1596" s="3" t="s">
        <v>10</v>
      </c>
      <c r="B1596" s="3" t="s">
        <v>11</v>
      </c>
      <c r="C1596" s="4">
        <v>2026</v>
      </c>
      <c r="D1596" s="5" t="s">
        <v>264</v>
      </c>
      <c r="E1596" s="4">
        <v>225</v>
      </c>
      <c r="F1596" s="4" t="s">
        <v>1950</v>
      </c>
      <c r="G1596" s="4" t="s">
        <v>285</v>
      </c>
      <c r="H1596" s="4" t="s">
        <v>21</v>
      </c>
      <c r="I1596" s="4" t="s">
        <v>1953</v>
      </c>
      <c r="J1596" s="4" t="s">
        <v>1954</v>
      </c>
      <c r="K1596" s="4" t="s">
        <v>230</v>
      </c>
      <c r="L1596" s="4" t="s">
        <v>3742</v>
      </c>
      <c r="M1596" s="4" t="s">
        <v>3746</v>
      </c>
      <c r="N1596" s="4" t="s">
        <v>3754</v>
      </c>
      <c r="O1596" s="17" t="str">
        <f>INDEX('список ID из СУЭ с должностями'!$A:$F,MATCH(E1596,'список ID из СУЭ с должностями'!$B:$B,0),5)</f>
        <v>МОК</v>
      </c>
    </row>
    <row r="1597" spans="1:15" ht="75">
      <c r="A1597" s="3" t="s">
        <v>10</v>
      </c>
      <c r="B1597" s="3" t="s">
        <v>11</v>
      </c>
      <c r="C1597" s="4">
        <v>2026</v>
      </c>
      <c r="D1597" s="5" t="s">
        <v>264</v>
      </c>
      <c r="E1597" s="4">
        <v>225</v>
      </c>
      <c r="F1597" s="4" t="s">
        <v>1950</v>
      </c>
      <c r="G1597" s="4" t="s">
        <v>285</v>
      </c>
      <c r="H1597" s="4" t="s">
        <v>21</v>
      </c>
      <c r="I1597" s="4" t="s">
        <v>1955</v>
      </c>
      <c r="J1597" s="4" t="s">
        <v>132</v>
      </c>
      <c r="K1597" s="4" t="s">
        <v>230</v>
      </c>
      <c r="L1597" s="4" t="s">
        <v>3742</v>
      </c>
      <c r="M1597" s="4" t="s">
        <v>3746</v>
      </c>
      <c r="N1597" s="4" t="s">
        <v>3754</v>
      </c>
      <c r="O1597" s="17" t="str">
        <f>INDEX('список ID из СУЭ с должностями'!$A:$F,MATCH(E1597,'список ID из СУЭ с должностями'!$B:$B,0),5)</f>
        <v>МОК</v>
      </c>
    </row>
    <row r="1598" spans="1:15" ht="60">
      <c r="A1598" s="3" t="s">
        <v>10</v>
      </c>
      <c r="B1598" s="3" t="s">
        <v>11</v>
      </c>
      <c r="C1598" s="4">
        <v>2026</v>
      </c>
      <c r="D1598" s="5" t="s">
        <v>264</v>
      </c>
      <c r="E1598" s="4">
        <v>225</v>
      </c>
      <c r="F1598" s="4" t="s">
        <v>1950</v>
      </c>
      <c r="G1598" s="4" t="s">
        <v>285</v>
      </c>
      <c r="H1598" s="4" t="s">
        <v>15</v>
      </c>
      <c r="I1598" s="4" t="s">
        <v>1956</v>
      </c>
      <c r="J1598" s="4" t="s">
        <v>1957</v>
      </c>
      <c r="K1598" s="4" t="s">
        <v>220</v>
      </c>
      <c r="L1598" s="4" t="s">
        <v>3743</v>
      </c>
      <c r="M1598" s="4" t="s">
        <v>3753</v>
      </c>
      <c r="N1598" s="4" t="s">
        <v>3747</v>
      </c>
      <c r="O1598" s="17" t="str">
        <f>INDEX('список ID из СУЭ с должностями'!$A:$F,MATCH(E1598,'список ID из СУЭ с должностями'!$B:$B,0),5)</f>
        <v>МОК</v>
      </c>
    </row>
    <row r="1599" spans="1:15" ht="75">
      <c r="A1599" s="3" t="s">
        <v>10</v>
      </c>
      <c r="B1599" s="3" t="s">
        <v>11</v>
      </c>
      <c r="C1599" s="4">
        <v>2026</v>
      </c>
      <c r="D1599" s="5" t="s">
        <v>264</v>
      </c>
      <c r="E1599" s="4">
        <v>225</v>
      </c>
      <c r="F1599" s="4" t="s">
        <v>1950</v>
      </c>
      <c r="G1599" s="4" t="s">
        <v>285</v>
      </c>
      <c r="H1599" s="4" t="s">
        <v>15</v>
      </c>
      <c r="I1599" s="4" t="s">
        <v>1958</v>
      </c>
      <c r="J1599" s="4" t="s">
        <v>1959</v>
      </c>
      <c r="K1599" s="4" t="s">
        <v>230</v>
      </c>
      <c r="L1599" s="4" t="s">
        <v>3743</v>
      </c>
      <c r="M1599" s="4" t="s">
        <v>3746</v>
      </c>
      <c r="N1599" s="4" t="s">
        <v>3754</v>
      </c>
      <c r="O1599" s="17" t="str">
        <f>INDEX('список ID из СУЭ с должностями'!$A:$F,MATCH(E1599,'список ID из СУЭ с должностями'!$B:$B,0),5)</f>
        <v>МОК</v>
      </c>
    </row>
    <row r="1600" spans="1:15" ht="75">
      <c r="A1600" s="3" t="s">
        <v>10</v>
      </c>
      <c r="B1600" s="3" t="s">
        <v>11</v>
      </c>
      <c r="C1600" s="4">
        <v>2026</v>
      </c>
      <c r="D1600" s="5" t="s">
        <v>264</v>
      </c>
      <c r="E1600" s="4">
        <v>225</v>
      </c>
      <c r="F1600" s="4" t="s">
        <v>1950</v>
      </c>
      <c r="G1600" s="4" t="s">
        <v>285</v>
      </c>
      <c r="H1600" s="4" t="s">
        <v>15</v>
      </c>
      <c r="I1600" s="4" t="s">
        <v>1960</v>
      </c>
      <c r="J1600" s="4" t="s">
        <v>1961</v>
      </c>
      <c r="K1600" s="4" t="s">
        <v>230</v>
      </c>
      <c r="L1600" s="4" t="s">
        <v>3743</v>
      </c>
      <c r="M1600" s="4" t="s">
        <v>3746</v>
      </c>
      <c r="N1600" s="4" t="s">
        <v>3754</v>
      </c>
      <c r="O1600" s="17" t="str">
        <f>INDEX('список ID из СУЭ с должностями'!$A:$F,MATCH(E1600,'список ID из СУЭ с должностями'!$B:$B,0),5)</f>
        <v>МОК</v>
      </c>
    </row>
    <row r="1601" spans="1:15" ht="150">
      <c r="A1601" s="3" t="s">
        <v>10</v>
      </c>
      <c r="B1601" s="3" t="s">
        <v>11</v>
      </c>
      <c r="C1601" s="4">
        <v>2026</v>
      </c>
      <c r="D1601" s="5" t="s">
        <v>12</v>
      </c>
      <c r="E1601" s="4">
        <v>226</v>
      </c>
      <c r="F1601" s="4" t="s">
        <v>385</v>
      </c>
      <c r="G1601" s="4" t="s">
        <v>1640</v>
      </c>
      <c r="H1601" s="4" t="s">
        <v>15</v>
      </c>
      <c r="I1601" s="4" t="s">
        <v>1962</v>
      </c>
      <c r="J1601" s="4" t="s">
        <v>1963</v>
      </c>
      <c r="K1601" s="4" t="s">
        <v>23</v>
      </c>
      <c r="L1601" s="4" t="s">
        <v>3743</v>
      </c>
      <c r="M1601" s="4" t="s">
        <v>3748</v>
      </c>
      <c r="N1601" s="4" t="s">
        <v>3752</v>
      </c>
      <c r="O1601" s="17">
        <f>INDEX('список ID из СУЭ с должностями'!$A:$F,MATCH(E1601,'список ID из СУЭ с должностями'!$B:$B,0),5)</f>
        <v>0</v>
      </c>
    </row>
    <row r="1602" spans="1:15" ht="180">
      <c r="A1602" s="3" t="s">
        <v>10</v>
      </c>
      <c r="B1602" s="3" t="s">
        <v>11</v>
      </c>
      <c r="C1602" s="4">
        <v>2026</v>
      </c>
      <c r="D1602" s="5" t="s">
        <v>12</v>
      </c>
      <c r="E1602" s="4">
        <v>226</v>
      </c>
      <c r="F1602" s="4" t="s">
        <v>385</v>
      </c>
      <c r="G1602" s="4" t="s">
        <v>1640</v>
      </c>
      <c r="H1602" s="4" t="s">
        <v>15</v>
      </c>
      <c r="I1602" s="4" t="s">
        <v>1964</v>
      </c>
      <c r="J1602" s="4" t="s">
        <v>1965</v>
      </c>
      <c r="K1602" s="4" t="s">
        <v>35</v>
      </c>
      <c r="L1602" s="4" t="s">
        <v>3743</v>
      </c>
      <c r="M1602" s="4" t="s">
        <v>3746</v>
      </c>
      <c r="N1602" s="4" t="s">
        <v>3747</v>
      </c>
      <c r="O1602" s="17">
        <f>INDEX('список ID из СУЭ с должностями'!$A:$F,MATCH(E1602,'список ID из СУЭ с должностями'!$B:$B,0),5)</f>
        <v>0</v>
      </c>
    </row>
    <row r="1603" spans="1:15" ht="240">
      <c r="A1603" s="3" t="s">
        <v>10</v>
      </c>
      <c r="B1603" s="3" t="s">
        <v>11</v>
      </c>
      <c r="C1603" s="4">
        <v>2026</v>
      </c>
      <c r="D1603" s="5" t="s">
        <v>12</v>
      </c>
      <c r="E1603" s="4">
        <v>226</v>
      </c>
      <c r="F1603" s="4" t="s">
        <v>385</v>
      </c>
      <c r="G1603" s="4" t="s">
        <v>1640</v>
      </c>
      <c r="H1603" s="4" t="s">
        <v>15</v>
      </c>
      <c r="I1603" s="4" t="s">
        <v>1966</v>
      </c>
      <c r="J1603" s="4" t="s">
        <v>1967</v>
      </c>
      <c r="K1603" s="4" t="s">
        <v>23</v>
      </c>
      <c r="L1603" s="4" t="s">
        <v>3743</v>
      </c>
      <c r="M1603" s="4" t="s">
        <v>3748</v>
      </c>
      <c r="N1603" s="4" t="s">
        <v>3752</v>
      </c>
      <c r="O1603" s="17">
        <f>INDEX('список ID из СУЭ с должностями'!$A:$F,MATCH(E1603,'список ID из СУЭ с должностями'!$B:$B,0),5)</f>
        <v>0</v>
      </c>
    </row>
    <row r="1604" spans="1:15" ht="409.5">
      <c r="A1604" s="3" t="s">
        <v>10</v>
      </c>
      <c r="B1604" s="3" t="s">
        <v>11</v>
      </c>
      <c r="C1604" s="4">
        <v>2026</v>
      </c>
      <c r="D1604" s="5" t="s">
        <v>12</v>
      </c>
      <c r="E1604" s="4">
        <v>226</v>
      </c>
      <c r="F1604" s="4" t="s">
        <v>385</v>
      </c>
      <c r="G1604" s="4" t="s">
        <v>1640</v>
      </c>
      <c r="H1604" s="4" t="s">
        <v>15</v>
      </c>
      <c r="I1604" s="4" t="s">
        <v>1968</v>
      </c>
      <c r="J1604" s="4" t="s">
        <v>1969</v>
      </c>
      <c r="K1604" s="4" t="s">
        <v>23</v>
      </c>
      <c r="L1604" s="4" t="s">
        <v>3743</v>
      </c>
      <c r="M1604" s="4" t="s">
        <v>3748</v>
      </c>
      <c r="N1604" s="4" t="s">
        <v>3752</v>
      </c>
      <c r="O1604" s="17">
        <f>INDEX('список ID из СУЭ с должностями'!$A:$F,MATCH(E1604,'список ID из СУЭ с должностями'!$B:$B,0),5)</f>
        <v>0</v>
      </c>
    </row>
    <row r="1605" spans="1:15" ht="45">
      <c r="A1605" s="3" t="s">
        <v>10</v>
      </c>
      <c r="B1605" s="3" t="s">
        <v>11</v>
      </c>
      <c r="C1605" s="4">
        <v>2026</v>
      </c>
      <c r="D1605" s="5" t="s">
        <v>12</v>
      </c>
      <c r="E1605" s="4">
        <v>226</v>
      </c>
      <c r="F1605" s="4" t="s">
        <v>385</v>
      </c>
      <c r="G1605" s="4" t="s">
        <v>1640</v>
      </c>
      <c r="H1605" s="4" t="s">
        <v>21</v>
      </c>
      <c r="I1605" s="4" t="s">
        <v>1970</v>
      </c>
      <c r="J1605" s="4" t="s">
        <v>1971</v>
      </c>
      <c r="K1605" s="4" t="s">
        <v>23</v>
      </c>
      <c r="L1605" s="4" t="s">
        <v>3742</v>
      </c>
      <c r="M1605" s="4" t="s">
        <v>3748</v>
      </c>
      <c r="N1605" s="4" t="s">
        <v>3752</v>
      </c>
      <c r="O1605" s="17">
        <f>INDEX('список ID из СУЭ с должностями'!$A:$F,MATCH(E1605,'список ID из СУЭ с должностями'!$B:$B,0),5)</f>
        <v>0</v>
      </c>
    </row>
    <row r="1606" spans="1:15" ht="390">
      <c r="A1606" s="3" t="s">
        <v>10</v>
      </c>
      <c r="B1606" s="3" t="s">
        <v>11</v>
      </c>
      <c r="C1606" s="4">
        <v>2026</v>
      </c>
      <c r="D1606" s="5" t="s">
        <v>12</v>
      </c>
      <c r="E1606" s="4">
        <v>226</v>
      </c>
      <c r="F1606" s="4" t="s">
        <v>385</v>
      </c>
      <c r="G1606" s="4" t="s">
        <v>1640</v>
      </c>
      <c r="H1606" s="4" t="s">
        <v>15</v>
      </c>
      <c r="I1606" s="4" t="s">
        <v>1972</v>
      </c>
      <c r="J1606" s="4" t="s">
        <v>1973</v>
      </c>
      <c r="K1606" s="4" t="s">
        <v>23</v>
      </c>
      <c r="L1606" s="4" t="s">
        <v>3743</v>
      </c>
      <c r="M1606" s="4" t="s">
        <v>3748</v>
      </c>
      <c r="N1606" s="4" t="s">
        <v>3752</v>
      </c>
      <c r="O1606" s="17">
        <f>INDEX('список ID из СУЭ с должностями'!$A:$F,MATCH(E1606,'список ID из СУЭ с должностями'!$B:$B,0),5)</f>
        <v>0</v>
      </c>
    </row>
    <row r="1607" spans="1:15" ht="120">
      <c r="A1607" s="3" t="s">
        <v>10</v>
      </c>
      <c r="B1607" s="3" t="s">
        <v>11</v>
      </c>
      <c r="C1607" s="4">
        <v>2026</v>
      </c>
      <c r="D1607" s="5" t="s">
        <v>12</v>
      </c>
      <c r="E1607" s="4">
        <v>226</v>
      </c>
      <c r="F1607" s="4" t="s">
        <v>385</v>
      </c>
      <c r="G1607" s="4" t="s">
        <v>1640</v>
      </c>
      <c r="H1607" s="4" t="s">
        <v>15</v>
      </c>
      <c r="I1607" s="4" t="s">
        <v>1974</v>
      </c>
      <c r="J1607" s="4" t="s">
        <v>1975</v>
      </c>
      <c r="K1607" s="4" t="s">
        <v>23</v>
      </c>
      <c r="L1607" s="4" t="s">
        <v>3743</v>
      </c>
      <c r="M1607" s="4" t="s">
        <v>3748</v>
      </c>
      <c r="N1607" s="4" t="s">
        <v>3749</v>
      </c>
      <c r="O1607" s="17">
        <f>INDEX('список ID из СУЭ с должностями'!$A:$F,MATCH(E1607,'список ID из СУЭ с должностями'!$B:$B,0),5)</f>
        <v>0</v>
      </c>
    </row>
    <row r="1608" spans="1:15" ht="135">
      <c r="A1608" s="3" t="s">
        <v>10</v>
      </c>
      <c r="B1608" s="3" t="s">
        <v>11</v>
      </c>
      <c r="C1608" s="4">
        <v>2026</v>
      </c>
      <c r="D1608" s="5" t="s">
        <v>12</v>
      </c>
      <c r="E1608" s="4">
        <v>227</v>
      </c>
      <c r="F1608" s="4" t="s">
        <v>454</v>
      </c>
      <c r="G1608" s="4" t="s">
        <v>1976</v>
      </c>
      <c r="H1608" s="4" t="s">
        <v>15</v>
      </c>
      <c r="I1608" s="4" t="s">
        <v>806</v>
      </c>
      <c r="J1608" s="4" t="s">
        <v>807</v>
      </c>
      <c r="K1608" s="4" t="s">
        <v>38</v>
      </c>
      <c r="L1608" s="4" t="s">
        <v>3743</v>
      </c>
      <c r="M1608" s="4" t="s">
        <v>3746</v>
      </c>
      <c r="N1608" s="4" t="s">
        <v>3747</v>
      </c>
      <c r="O1608" s="17">
        <f>INDEX('список ID из СУЭ с должностями'!$A:$F,MATCH(E1608,'список ID из СУЭ с должностями'!$B:$B,0),5)</f>
        <v>0</v>
      </c>
    </row>
    <row r="1609" spans="1:15" ht="135">
      <c r="A1609" s="3" t="s">
        <v>10</v>
      </c>
      <c r="B1609" s="3" t="s">
        <v>11</v>
      </c>
      <c r="C1609" s="4">
        <v>2026</v>
      </c>
      <c r="D1609" s="5" t="s">
        <v>12</v>
      </c>
      <c r="E1609" s="4">
        <v>227</v>
      </c>
      <c r="F1609" s="4" t="s">
        <v>454</v>
      </c>
      <c r="G1609" s="4" t="s">
        <v>1976</v>
      </c>
      <c r="H1609" s="4" t="s">
        <v>15</v>
      </c>
      <c r="I1609" s="4" t="s">
        <v>855</v>
      </c>
      <c r="J1609" s="4" t="s">
        <v>1823</v>
      </c>
      <c r="K1609" s="4" t="s">
        <v>66</v>
      </c>
      <c r="L1609" s="4" t="s">
        <v>3743</v>
      </c>
      <c r="M1609" s="4" t="s">
        <v>3746</v>
      </c>
      <c r="N1609" s="4" t="s">
        <v>3747</v>
      </c>
      <c r="O1609" s="17">
        <f>INDEX('список ID из СУЭ с должностями'!$A:$F,MATCH(E1609,'список ID из СУЭ с должностями'!$B:$B,0),5)</f>
        <v>0</v>
      </c>
    </row>
    <row r="1610" spans="1:15" ht="210">
      <c r="A1610" s="3" t="s">
        <v>10</v>
      </c>
      <c r="B1610" s="3" t="s">
        <v>11</v>
      </c>
      <c r="C1610" s="4">
        <v>2026</v>
      </c>
      <c r="D1610" s="5" t="s">
        <v>12</v>
      </c>
      <c r="E1610" s="4">
        <v>227</v>
      </c>
      <c r="F1610" s="4" t="s">
        <v>454</v>
      </c>
      <c r="G1610" s="4" t="s">
        <v>1976</v>
      </c>
      <c r="H1610" s="4" t="s">
        <v>15</v>
      </c>
      <c r="I1610" s="4" t="s">
        <v>147</v>
      </c>
      <c r="J1610" s="4" t="s">
        <v>1824</v>
      </c>
      <c r="K1610" s="4" t="s">
        <v>35</v>
      </c>
      <c r="L1610" s="4" t="s">
        <v>3743</v>
      </c>
      <c r="M1610" s="4" t="s">
        <v>3746</v>
      </c>
      <c r="N1610" s="4" t="s">
        <v>3747</v>
      </c>
      <c r="O1610" s="17">
        <f>INDEX('список ID из СУЭ с должностями'!$A:$F,MATCH(E1610,'список ID из СУЭ с должностями'!$B:$B,0),5)</f>
        <v>0</v>
      </c>
    </row>
    <row r="1611" spans="1:15" ht="135">
      <c r="A1611" s="3" t="s">
        <v>10</v>
      </c>
      <c r="B1611" s="3" t="s">
        <v>11</v>
      </c>
      <c r="C1611" s="4">
        <v>2026</v>
      </c>
      <c r="D1611" s="5" t="s">
        <v>12</v>
      </c>
      <c r="E1611" s="4">
        <v>227</v>
      </c>
      <c r="F1611" s="4" t="s">
        <v>454</v>
      </c>
      <c r="G1611" s="4" t="s">
        <v>1976</v>
      </c>
      <c r="H1611" s="4" t="s">
        <v>15</v>
      </c>
      <c r="I1611" s="4" t="s">
        <v>149</v>
      </c>
      <c r="J1611" s="4" t="s">
        <v>1825</v>
      </c>
      <c r="K1611" s="4" t="s">
        <v>52</v>
      </c>
      <c r="L1611" s="4" t="s">
        <v>3743</v>
      </c>
      <c r="M1611" s="4" t="s">
        <v>3746</v>
      </c>
      <c r="N1611" s="4" t="s">
        <v>3747</v>
      </c>
      <c r="O1611" s="17">
        <f>INDEX('список ID из СУЭ с должностями'!$A:$F,MATCH(E1611,'список ID из СУЭ с должностями'!$B:$B,0),5)</f>
        <v>0</v>
      </c>
    </row>
    <row r="1612" spans="1:15" ht="225">
      <c r="A1612" s="3" t="s">
        <v>10</v>
      </c>
      <c r="B1612" s="3" t="s">
        <v>11</v>
      </c>
      <c r="C1612" s="4">
        <v>2026</v>
      </c>
      <c r="D1612" s="5" t="s">
        <v>12</v>
      </c>
      <c r="E1612" s="4">
        <v>227</v>
      </c>
      <c r="F1612" s="4" t="s">
        <v>454</v>
      </c>
      <c r="G1612" s="4" t="s">
        <v>1976</v>
      </c>
      <c r="H1612" s="4" t="s">
        <v>15</v>
      </c>
      <c r="I1612" s="4" t="s">
        <v>303</v>
      </c>
      <c r="J1612" s="4" t="s">
        <v>1826</v>
      </c>
      <c r="K1612" s="4" t="s">
        <v>52</v>
      </c>
      <c r="L1612" s="4" t="s">
        <v>3743</v>
      </c>
      <c r="M1612" s="4" t="s">
        <v>3746</v>
      </c>
      <c r="N1612" s="4" t="s">
        <v>3747</v>
      </c>
      <c r="O1612" s="17">
        <f>INDEX('список ID из СУЭ с должностями'!$A:$F,MATCH(E1612,'список ID из СУЭ с должностями'!$B:$B,0),5)</f>
        <v>0</v>
      </c>
    </row>
    <row r="1613" spans="1:15" ht="75">
      <c r="A1613" s="3" t="s">
        <v>10</v>
      </c>
      <c r="B1613" s="3" t="s">
        <v>11</v>
      </c>
      <c r="C1613" s="4">
        <v>2026</v>
      </c>
      <c r="D1613" s="5" t="s">
        <v>12</v>
      </c>
      <c r="E1613" s="4">
        <v>228</v>
      </c>
      <c r="F1613" s="4" t="s">
        <v>67</v>
      </c>
      <c r="G1613" s="4" t="s">
        <v>436</v>
      </c>
      <c r="H1613" s="4" t="s">
        <v>15</v>
      </c>
      <c r="I1613" s="4" t="s">
        <v>1977</v>
      </c>
      <c r="J1613" s="4" t="s">
        <v>1978</v>
      </c>
      <c r="K1613" s="4" t="s">
        <v>52</v>
      </c>
      <c r="L1613" s="4" t="s">
        <v>3743</v>
      </c>
      <c r="M1613" s="4" t="s">
        <v>3746</v>
      </c>
      <c r="N1613" s="4" t="s">
        <v>3747</v>
      </c>
      <c r="O1613" s="17">
        <f>INDEX('список ID из СУЭ с должностями'!$A:$F,MATCH(E1613,'список ID из СУЭ с должностями'!$B:$B,0),5)</f>
        <v>0</v>
      </c>
    </row>
    <row r="1614" spans="1:15" ht="75">
      <c r="A1614" s="3" t="s">
        <v>10</v>
      </c>
      <c r="B1614" s="3" t="s">
        <v>11</v>
      </c>
      <c r="C1614" s="4">
        <v>2026</v>
      </c>
      <c r="D1614" s="5" t="s">
        <v>12</v>
      </c>
      <c r="E1614" s="4">
        <v>228</v>
      </c>
      <c r="F1614" s="4" t="s">
        <v>67</v>
      </c>
      <c r="G1614" s="4" t="s">
        <v>436</v>
      </c>
      <c r="H1614" s="4" t="s">
        <v>15</v>
      </c>
      <c r="I1614" s="4" t="s">
        <v>1979</v>
      </c>
      <c r="J1614" s="4" t="s">
        <v>1980</v>
      </c>
      <c r="K1614" s="4" t="s">
        <v>52</v>
      </c>
      <c r="L1614" s="4" t="s">
        <v>3743</v>
      </c>
      <c r="M1614" s="4" t="s">
        <v>3746</v>
      </c>
      <c r="N1614" s="4" t="s">
        <v>3747</v>
      </c>
      <c r="O1614" s="17">
        <f>INDEX('список ID из СУЭ с должностями'!$A:$F,MATCH(E1614,'список ID из СУЭ с должностями'!$B:$B,0),5)</f>
        <v>0</v>
      </c>
    </row>
    <row r="1615" spans="1:15" ht="75">
      <c r="A1615" s="3" t="s">
        <v>10</v>
      </c>
      <c r="B1615" s="3" t="s">
        <v>11</v>
      </c>
      <c r="C1615" s="4">
        <v>2026</v>
      </c>
      <c r="D1615" s="5" t="s">
        <v>12</v>
      </c>
      <c r="E1615" s="4">
        <v>228</v>
      </c>
      <c r="F1615" s="4" t="s">
        <v>67</v>
      </c>
      <c r="G1615" s="4" t="s">
        <v>436</v>
      </c>
      <c r="H1615" s="4" t="s">
        <v>15</v>
      </c>
      <c r="I1615" s="4" t="s">
        <v>1981</v>
      </c>
      <c r="J1615" s="4" t="s">
        <v>1982</v>
      </c>
      <c r="K1615" s="4" t="s">
        <v>52</v>
      </c>
      <c r="L1615" s="4" t="s">
        <v>3743</v>
      </c>
      <c r="M1615" s="4" t="s">
        <v>3746</v>
      </c>
      <c r="N1615" s="4" t="s">
        <v>3747</v>
      </c>
      <c r="O1615" s="17">
        <f>INDEX('список ID из СУЭ с должностями'!$A:$F,MATCH(E1615,'список ID из СУЭ с должностями'!$B:$B,0),5)</f>
        <v>0</v>
      </c>
    </row>
    <row r="1616" spans="1:15" ht="75">
      <c r="A1616" s="3" t="s">
        <v>10</v>
      </c>
      <c r="B1616" s="3" t="s">
        <v>11</v>
      </c>
      <c r="C1616" s="4">
        <v>2026</v>
      </c>
      <c r="D1616" s="5" t="s">
        <v>12</v>
      </c>
      <c r="E1616" s="4">
        <v>228</v>
      </c>
      <c r="F1616" s="4" t="s">
        <v>67</v>
      </c>
      <c r="G1616" s="4" t="s">
        <v>436</v>
      </c>
      <c r="H1616" s="4" t="s">
        <v>21</v>
      </c>
      <c r="I1616" s="4" t="s">
        <v>1983</v>
      </c>
      <c r="J1616" s="4" t="s">
        <v>1984</v>
      </c>
      <c r="K1616" s="4" t="s">
        <v>52</v>
      </c>
      <c r="L1616" s="4" t="s">
        <v>3743</v>
      </c>
      <c r="M1616" s="4" t="s">
        <v>3746</v>
      </c>
      <c r="N1616" s="4" t="s">
        <v>3747</v>
      </c>
      <c r="O1616" s="17">
        <f>INDEX('список ID из СУЭ с должностями'!$A:$F,MATCH(E1616,'список ID из СУЭ с должностями'!$B:$B,0),5)</f>
        <v>0</v>
      </c>
    </row>
    <row r="1617" spans="1:15" ht="105">
      <c r="A1617" s="3" t="s">
        <v>10</v>
      </c>
      <c r="B1617" s="3" t="s">
        <v>11</v>
      </c>
      <c r="C1617" s="4">
        <v>2026</v>
      </c>
      <c r="D1617" s="5" t="s">
        <v>12</v>
      </c>
      <c r="E1617" s="4">
        <v>228</v>
      </c>
      <c r="F1617" s="4" t="s">
        <v>67</v>
      </c>
      <c r="G1617" s="4" t="s">
        <v>436</v>
      </c>
      <c r="H1617" s="4" t="s">
        <v>15</v>
      </c>
      <c r="I1617" s="4" t="s">
        <v>439</v>
      </c>
      <c r="J1617" s="4" t="s">
        <v>1985</v>
      </c>
      <c r="K1617" s="4" t="s">
        <v>55</v>
      </c>
      <c r="L1617" s="4" t="s">
        <v>3743</v>
      </c>
      <c r="M1617" s="4" t="s">
        <v>3746</v>
      </c>
      <c r="N1617" s="4" t="s">
        <v>3747</v>
      </c>
      <c r="O1617" s="17">
        <f>INDEX('список ID из СУЭ с должностями'!$A:$F,MATCH(E1617,'список ID из СУЭ с должностями'!$B:$B,0),5)</f>
        <v>0</v>
      </c>
    </row>
    <row r="1618" spans="1:15" ht="75">
      <c r="A1618" s="3" t="s">
        <v>10</v>
      </c>
      <c r="B1618" s="3" t="s">
        <v>11</v>
      </c>
      <c r="C1618" s="4">
        <v>2026</v>
      </c>
      <c r="D1618" s="5" t="s">
        <v>12</v>
      </c>
      <c r="E1618" s="4">
        <v>228</v>
      </c>
      <c r="F1618" s="4" t="s">
        <v>67</v>
      </c>
      <c r="G1618" s="4" t="s">
        <v>436</v>
      </c>
      <c r="H1618" s="4" t="s">
        <v>15</v>
      </c>
      <c r="I1618" s="4" t="s">
        <v>33</v>
      </c>
      <c r="J1618" s="4" t="s">
        <v>889</v>
      </c>
      <c r="K1618" s="4" t="s">
        <v>35</v>
      </c>
      <c r="L1618" s="4" t="s">
        <v>3743</v>
      </c>
      <c r="M1618" s="4" t="s">
        <v>3746</v>
      </c>
      <c r="N1618" s="4" t="s">
        <v>3747</v>
      </c>
      <c r="O1618" s="17">
        <f>INDEX('список ID из СУЭ с должностями'!$A:$F,MATCH(E1618,'список ID из СУЭ с должностями'!$B:$B,0),5)</f>
        <v>0</v>
      </c>
    </row>
    <row r="1619" spans="1:15" ht="75">
      <c r="A1619" s="3" t="s">
        <v>10</v>
      </c>
      <c r="B1619" s="3" t="s">
        <v>11</v>
      </c>
      <c r="C1619" s="4">
        <v>2026</v>
      </c>
      <c r="D1619" s="5" t="s">
        <v>12</v>
      </c>
      <c r="E1619" s="4">
        <v>229</v>
      </c>
      <c r="F1619" s="4" t="s">
        <v>84</v>
      </c>
      <c r="G1619" s="4" t="s">
        <v>85</v>
      </c>
      <c r="H1619" s="4" t="s">
        <v>21</v>
      </c>
      <c r="I1619" s="4" t="s">
        <v>1188</v>
      </c>
      <c r="J1619" s="4" t="s">
        <v>1986</v>
      </c>
      <c r="K1619" s="4" t="s">
        <v>66</v>
      </c>
      <c r="L1619" s="4" t="s">
        <v>3743</v>
      </c>
      <c r="M1619" s="4" t="s">
        <v>3746</v>
      </c>
      <c r="N1619" s="4" t="s">
        <v>3747</v>
      </c>
      <c r="O1619" s="17">
        <f>INDEX('список ID из СУЭ с должностями'!$A:$F,MATCH(E1619,'список ID из СУЭ с должностями'!$B:$B,0),5)</f>
        <v>0</v>
      </c>
    </row>
    <row r="1620" spans="1:15" ht="75">
      <c r="A1620" s="3" t="s">
        <v>10</v>
      </c>
      <c r="B1620" s="3" t="s">
        <v>11</v>
      </c>
      <c r="C1620" s="4">
        <v>2026</v>
      </c>
      <c r="D1620" s="5" t="s">
        <v>12</v>
      </c>
      <c r="E1620" s="4">
        <v>229</v>
      </c>
      <c r="F1620" s="4" t="s">
        <v>84</v>
      </c>
      <c r="G1620" s="4" t="s">
        <v>85</v>
      </c>
      <c r="H1620" s="4" t="s">
        <v>15</v>
      </c>
      <c r="I1620" s="4" t="s">
        <v>1190</v>
      </c>
      <c r="J1620" s="4" t="s">
        <v>1987</v>
      </c>
      <c r="K1620" s="4" t="s">
        <v>30</v>
      </c>
      <c r="L1620" s="4" t="s">
        <v>3743</v>
      </c>
      <c r="M1620" s="4" t="s">
        <v>3746</v>
      </c>
      <c r="N1620" s="4" t="s">
        <v>3747</v>
      </c>
      <c r="O1620" s="17">
        <f>INDEX('список ID из СУЭ с должностями'!$A:$F,MATCH(E1620,'список ID из СУЭ с должностями'!$B:$B,0),5)</f>
        <v>0</v>
      </c>
    </row>
    <row r="1621" spans="1:15" ht="75">
      <c r="A1621" s="3" t="s">
        <v>10</v>
      </c>
      <c r="B1621" s="3" t="s">
        <v>11</v>
      </c>
      <c r="C1621" s="4">
        <v>2026</v>
      </c>
      <c r="D1621" s="5" t="s">
        <v>12</v>
      </c>
      <c r="E1621" s="4">
        <v>229</v>
      </c>
      <c r="F1621" s="4" t="s">
        <v>84</v>
      </c>
      <c r="G1621" s="4" t="s">
        <v>85</v>
      </c>
      <c r="H1621" s="4" t="s">
        <v>41</v>
      </c>
      <c r="I1621" s="4" t="s">
        <v>268</v>
      </c>
      <c r="J1621" s="4" t="s">
        <v>1988</v>
      </c>
      <c r="K1621" s="4" t="s">
        <v>30</v>
      </c>
      <c r="L1621" s="4" t="s">
        <v>3743</v>
      </c>
      <c r="M1621" s="4" t="s">
        <v>3746</v>
      </c>
      <c r="N1621" s="4" t="s">
        <v>3747</v>
      </c>
      <c r="O1621" s="17">
        <f>INDEX('список ID из СУЭ с должностями'!$A:$F,MATCH(E1621,'список ID из СУЭ с должностями'!$B:$B,0),5)</f>
        <v>0</v>
      </c>
    </row>
    <row r="1622" spans="1:15" ht="90">
      <c r="A1622" s="3" t="s">
        <v>10</v>
      </c>
      <c r="B1622" s="3" t="s">
        <v>11</v>
      </c>
      <c r="C1622" s="4">
        <v>2026</v>
      </c>
      <c r="D1622" s="5" t="s">
        <v>12</v>
      </c>
      <c r="E1622" s="4">
        <v>229</v>
      </c>
      <c r="F1622" s="4" t="s">
        <v>84</v>
      </c>
      <c r="G1622" s="4" t="s">
        <v>85</v>
      </c>
      <c r="H1622" s="4" t="s">
        <v>41</v>
      </c>
      <c r="I1622" s="4" t="s">
        <v>1989</v>
      </c>
      <c r="J1622" s="4" t="s">
        <v>1990</v>
      </c>
      <c r="K1622" s="4" t="s">
        <v>30</v>
      </c>
      <c r="L1622" s="4" t="s">
        <v>3743</v>
      </c>
      <c r="M1622" s="4" t="s">
        <v>3746</v>
      </c>
      <c r="N1622" s="4" t="s">
        <v>3747</v>
      </c>
      <c r="O1622" s="17">
        <f>INDEX('список ID из СУЭ с должностями'!$A:$F,MATCH(E1622,'список ID из СУЭ с должностями'!$B:$B,0),5)</f>
        <v>0</v>
      </c>
    </row>
    <row r="1623" spans="1:15" ht="75">
      <c r="A1623" s="3" t="s">
        <v>10</v>
      </c>
      <c r="B1623" s="3" t="s">
        <v>11</v>
      </c>
      <c r="C1623" s="4">
        <v>2026</v>
      </c>
      <c r="D1623" s="5" t="s">
        <v>12</v>
      </c>
      <c r="E1623" s="4">
        <v>229</v>
      </c>
      <c r="F1623" s="4" t="s">
        <v>84</v>
      </c>
      <c r="G1623" s="4" t="s">
        <v>85</v>
      </c>
      <c r="H1623" s="4" t="s">
        <v>21</v>
      </c>
      <c r="I1623" s="4" t="s">
        <v>1991</v>
      </c>
      <c r="J1623" s="4" t="s">
        <v>1992</v>
      </c>
      <c r="K1623" s="4" t="s">
        <v>30</v>
      </c>
      <c r="L1623" s="4" t="s">
        <v>3743</v>
      </c>
      <c r="M1623" s="4" t="s">
        <v>3746</v>
      </c>
      <c r="N1623" s="4" t="s">
        <v>3747</v>
      </c>
      <c r="O1623" s="17">
        <f>INDEX('список ID из СУЭ с должностями'!$A:$F,MATCH(E1623,'список ID из СУЭ с должностями'!$B:$B,0),5)</f>
        <v>0</v>
      </c>
    </row>
    <row r="1624" spans="1:15" ht="90">
      <c r="A1624" s="3" t="s">
        <v>10</v>
      </c>
      <c r="B1624" s="3" t="s">
        <v>11</v>
      </c>
      <c r="C1624" s="4">
        <v>2026</v>
      </c>
      <c r="D1624" s="5" t="s">
        <v>12</v>
      </c>
      <c r="E1624" s="4">
        <v>229</v>
      </c>
      <c r="F1624" s="4" t="s">
        <v>84</v>
      </c>
      <c r="G1624" s="4" t="s">
        <v>85</v>
      </c>
      <c r="H1624" s="4" t="s">
        <v>15</v>
      </c>
      <c r="I1624" s="4" t="s">
        <v>86</v>
      </c>
      <c r="J1624" s="4" t="s">
        <v>1993</v>
      </c>
      <c r="K1624" s="4" t="s">
        <v>35</v>
      </c>
      <c r="L1624" s="4" t="s">
        <v>3743</v>
      </c>
      <c r="M1624" s="4" t="s">
        <v>3746</v>
      </c>
      <c r="N1624" s="4" t="s">
        <v>3747</v>
      </c>
      <c r="O1624" s="17">
        <f>INDEX('список ID из СУЭ с должностями'!$A:$F,MATCH(E1624,'список ID из СУЭ с должностями'!$B:$B,0),5)</f>
        <v>0</v>
      </c>
    </row>
    <row r="1625" spans="1:15" ht="409.5">
      <c r="A1625" s="3" t="s">
        <v>10</v>
      </c>
      <c r="B1625" s="3" t="s">
        <v>11</v>
      </c>
      <c r="C1625" s="4">
        <v>2026</v>
      </c>
      <c r="D1625" s="5" t="s">
        <v>12</v>
      </c>
      <c r="E1625" s="4">
        <v>229</v>
      </c>
      <c r="F1625" s="4" t="s">
        <v>84</v>
      </c>
      <c r="G1625" s="4" t="s">
        <v>85</v>
      </c>
      <c r="H1625" s="4" t="s">
        <v>21</v>
      </c>
      <c r="I1625" s="4" t="s">
        <v>1198</v>
      </c>
      <c r="J1625" s="4" t="s">
        <v>1994</v>
      </c>
      <c r="K1625" s="4" t="s">
        <v>30</v>
      </c>
      <c r="L1625" s="4" t="s">
        <v>3743</v>
      </c>
      <c r="M1625" s="4" t="s">
        <v>3746</v>
      </c>
      <c r="N1625" s="4" t="s">
        <v>3747</v>
      </c>
      <c r="O1625" s="17">
        <f>INDEX('список ID из СУЭ с должностями'!$A:$F,MATCH(E1625,'список ID из СУЭ с должностями'!$B:$B,0),5)</f>
        <v>0</v>
      </c>
    </row>
    <row r="1626" spans="1:15" ht="75">
      <c r="A1626" s="3" t="s">
        <v>10</v>
      </c>
      <c r="B1626" s="3" t="s">
        <v>11</v>
      </c>
      <c r="C1626" s="4">
        <v>2026</v>
      </c>
      <c r="D1626" s="5" t="s">
        <v>12</v>
      </c>
      <c r="E1626" s="4">
        <v>229</v>
      </c>
      <c r="F1626" s="4" t="s">
        <v>84</v>
      </c>
      <c r="G1626" s="4" t="s">
        <v>85</v>
      </c>
      <c r="H1626" s="4" t="s">
        <v>15</v>
      </c>
      <c r="I1626" s="4" t="s">
        <v>1995</v>
      </c>
      <c r="J1626" s="4" t="s">
        <v>378</v>
      </c>
      <c r="K1626" s="4" t="s">
        <v>30</v>
      </c>
      <c r="L1626" s="4" t="s">
        <v>3742</v>
      </c>
      <c r="M1626" s="4" t="s">
        <v>3746</v>
      </c>
      <c r="N1626" s="4" t="s">
        <v>3747</v>
      </c>
      <c r="O1626" s="17">
        <f>INDEX('список ID из СУЭ с должностями'!$A:$F,MATCH(E1626,'список ID из СУЭ с должностями'!$B:$B,0),5)</f>
        <v>0</v>
      </c>
    </row>
    <row r="1627" spans="1:15" ht="75">
      <c r="A1627" s="3" t="s">
        <v>10</v>
      </c>
      <c r="B1627" s="3" t="s">
        <v>11</v>
      </c>
      <c r="C1627" s="4">
        <v>2026</v>
      </c>
      <c r="D1627" s="5" t="s">
        <v>12</v>
      </c>
      <c r="E1627" s="4">
        <v>229</v>
      </c>
      <c r="F1627" s="4" t="s">
        <v>84</v>
      </c>
      <c r="G1627" s="4" t="s">
        <v>85</v>
      </c>
      <c r="H1627" s="4" t="s">
        <v>15</v>
      </c>
      <c r="I1627" s="4" t="s">
        <v>1996</v>
      </c>
      <c r="J1627" s="4" t="s">
        <v>182</v>
      </c>
      <c r="K1627" s="4" t="s">
        <v>30</v>
      </c>
      <c r="L1627" s="4" t="s">
        <v>3742</v>
      </c>
      <c r="M1627" s="4" t="s">
        <v>3746</v>
      </c>
      <c r="N1627" s="4" t="s">
        <v>3747</v>
      </c>
      <c r="O1627" s="17">
        <f>INDEX('список ID из СУЭ с должностями'!$A:$F,MATCH(E1627,'список ID из СУЭ с должностями'!$B:$B,0),5)</f>
        <v>0</v>
      </c>
    </row>
    <row r="1628" spans="1:15" ht="120">
      <c r="A1628" s="3" t="s">
        <v>10</v>
      </c>
      <c r="B1628" s="3" t="s">
        <v>11</v>
      </c>
      <c r="C1628" s="4">
        <v>2026</v>
      </c>
      <c r="D1628" s="5" t="s">
        <v>12</v>
      </c>
      <c r="E1628" s="4">
        <v>230</v>
      </c>
      <c r="F1628" s="4" t="s">
        <v>116</v>
      </c>
      <c r="G1628" s="4" t="s">
        <v>436</v>
      </c>
      <c r="H1628" s="4" t="s">
        <v>15</v>
      </c>
      <c r="I1628" s="4" t="s">
        <v>147</v>
      </c>
      <c r="J1628" s="4" t="s">
        <v>1997</v>
      </c>
      <c r="K1628" s="4" t="s">
        <v>35</v>
      </c>
      <c r="L1628" s="4" t="s">
        <v>3743</v>
      </c>
      <c r="M1628" s="4" t="s">
        <v>3746</v>
      </c>
      <c r="N1628" s="4" t="s">
        <v>3747</v>
      </c>
      <c r="O1628" s="17">
        <f>INDEX('список ID из СУЭ с должностями'!$A:$F,MATCH(E1628,'список ID из СУЭ с должностями'!$B:$B,0),5)</f>
        <v>0</v>
      </c>
    </row>
    <row r="1629" spans="1:15" ht="105">
      <c r="A1629" s="3" t="s">
        <v>10</v>
      </c>
      <c r="B1629" s="3" t="s">
        <v>11</v>
      </c>
      <c r="C1629" s="4">
        <v>2026</v>
      </c>
      <c r="D1629" s="5" t="s">
        <v>12</v>
      </c>
      <c r="E1629" s="4">
        <v>230</v>
      </c>
      <c r="F1629" s="4" t="s">
        <v>116</v>
      </c>
      <c r="G1629" s="4" t="s">
        <v>436</v>
      </c>
      <c r="H1629" s="4" t="s">
        <v>21</v>
      </c>
      <c r="I1629" s="4" t="s">
        <v>1998</v>
      </c>
      <c r="J1629" s="4" t="s">
        <v>1999</v>
      </c>
      <c r="K1629" s="4" t="s">
        <v>66</v>
      </c>
      <c r="L1629" s="4" t="s">
        <v>3743</v>
      </c>
      <c r="M1629" s="4" t="s">
        <v>3746</v>
      </c>
      <c r="N1629" s="4" t="s">
        <v>3747</v>
      </c>
      <c r="O1629" s="17">
        <f>INDEX('список ID из СУЭ с должностями'!$A:$F,MATCH(E1629,'список ID из СУЭ с должностями'!$B:$B,0),5)</f>
        <v>0</v>
      </c>
    </row>
    <row r="1630" spans="1:15" ht="75">
      <c r="A1630" s="3" t="s">
        <v>10</v>
      </c>
      <c r="B1630" s="3" t="s">
        <v>11</v>
      </c>
      <c r="C1630" s="4">
        <v>2026</v>
      </c>
      <c r="D1630" s="5" t="s">
        <v>12</v>
      </c>
      <c r="E1630" s="4">
        <v>230</v>
      </c>
      <c r="F1630" s="4" t="s">
        <v>116</v>
      </c>
      <c r="G1630" s="4" t="s">
        <v>436</v>
      </c>
      <c r="H1630" s="4" t="s">
        <v>41</v>
      </c>
      <c r="I1630" s="4" t="s">
        <v>2000</v>
      </c>
      <c r="J1630" s="4" t="s">
        <v>2001</v>
      </c>
      <c r="K1630" s="4" t="s">
        <v>66</v>
      </c>
      <c r="L1630" s="4" t="s">
        <v>3743</v>
      </c>
      <c r="M1630" s="4" t="s">
        <v>3746</v>
      </c>
      <c r="N1630" s="4" t="s">
        <v>3747</v>
      </c>
      <c r="O1630" s="17">
        <f>INDEX('список ID из СУЭ с должностями'!$A:$F,MATCH(E1630,'список ID из СУЭ с должностями'!$B:$B,0),5)</f>
        <v>0</v>
      </c>
    </row>
    <row r="1631" spans="1:15" ht="409.5">
      <c r="A1631" s="3" t="s">
        <v>10</v>
      </c>
      <c r="B1631" s="3" t="s">
        <v>11</v>
      </c>
      <c r="C1631" s="4">
        <v>2026</v>
      </c>
      <c r="D1631" s="5" t="s">
        <v>12</v>
      </c>
      <c r="E1631" s="4">
        <v>230</v>
      </c>
      <c r="F1631" s="4" t="s">
        <v>116</v>
      </c>
      <c r="G1631" s="4" t="s">
        <v>436</v>
      </c>
      <c r="H1631" s="4" t="s">
        <v>15</v>
      </c>
      <c r="I1631" s="4" t="s">
        <v>2002</v>
      </c>
      <c r="J1631" s="4" t="s">
        <v>2003</v>
      </c>
      <c r="K1631" s="4" t="s">
        <v>66</v>
      </c>
      <c r="L1631" s="4" t="s">
        <v>3743</v>
      </c>
      <c r="M1631" s="4" t="s">
        <v>3746</v>
      </c>
      <c r="N1631" s="4" t="s">
        <v>3747</v>
      </c>
      <c r="O1631" s="17">
        <f>INDEX('список ID из СУЭ с должностями'!$A:$F,MATCH(E1631,'список ID из СУЭ с должностями'!$B:$B,0),5)</f>
        <v>0</v>
      </c>
    </row>
    <row r="1632" spans="1:15" ht="135">
      <c r="A1632" s="3" t="s">
        <v>10</v>
      </c>
      <c r="B1632" s="3" t="s">
        <v>11</v>
      </c>
      <c r="C1632" s="4">
        <v>2026</v>
      </c>
      <c r="D1632" s="5" t="s">
        <v>12</v>
      </c>
      <c r="E1632" s="4">
        <v>230</v>
      </c>
      <c r="F1632" s="4" t="s">
        <v>116</v>
      </c>
      <c r="G1632" s="4" t="s">
        <v>436</v>
      </c>
      <c r="H1632" s="4" t="s">
        <v>15</v>
      </c>
      <c r="I1632" s="4" t="s">
        <v>305</v>
      </c>
      <c r="J1632" s="4" t="s">
        <v>2004</v>
      </c>
      <c r="K1632" s="4" t="s">
        <v>35</v>
      </c>
      <c r="L1632" s="4" t="s">
        <v>3743</v>
      </c>
      <c r="M1632" s="4" t="s">
        <v>3746</v>
      </c>
      <c r="N1632" s="4" t="s">
        <v>3747</v>
      </c>
      <c r="O1632" s="17">
        <f>INDEX('список ID из СУЭ с должностями'!$A:$F,MATCH(E1632,'список ID из СУЭ с должностями'!$B:$B,0),5)</f>
        <v>0</v>
      </c>
    </row>
    <row r="1633" spans="1:15" ht="180">
      <c r="A1633" s="3" t="s">
        <v>10</v>
      </c>
      <c r="B1633" s="3" t="s">
        <v>11</v>
      </c>
      <c r="C1633" s="4">
        <v>2026</v>
      </c>
      <c r="D1633" s="5" t="s">
        <v>12</v>
      </c>
      <c r="E1633" s="4">
        <v>230</v>
      </c>
      <c r="F1633" s="4" t="s">
        <v>116</v>
      </c>
      <c r="G1633" s="4" t="s">
        <v>436</v>
      </c>
      <c r="H1633" s="4" t="s">
        <v>15</v>
      </c>
      <c r="I1633" s="4" t="s">
        <v>303</v>
      </c>
      <c r="J1633" s="4" t="s">
        <v>2005</v>
      </c>
      <c r="K1633" s="4" t="s">
        <v>66</v>
      </c>
      <c r="L1633" s="4" t="s">
        <v>3743</v>
      </c>
      <c r="M1633" s="4" t="s">
        <v>3746</v>
      </c>
      <c r="N1633" s="4" t="s">
        <v>3747</v>
      </c>
      <c r="O1633" s="17">
        <f>INDEX('список ID из СУЭ с должностями'!$A:$F,MATCH(E1633,'список ID из СУЭ с должностями'!$B:$B,0),5)</f>
        <v>0</v>
      </c>
    </row>
    <row r="1634" spans="1:15" ht="75">
      <c r="A1634" s="3" t="s">
        <v>10</v>
      </c>
      <c r="B1634" s="3" t="s">
        <v>11</v>
      </c>
      <c r="C1634" s="4">
        <v>2026</v>
      </c>
      <c r="D1634" s="5" t="s">
        <v>12</v>
      </c>
      <c r="E1634" s="4">
        <v>231</v>
      </c>
      <c r="F1634" s="4" t="s">
        <v>193</v>
      </c>
      <c r="G1634" s="4" t="s">
        <v>2006</v>
      </c>
      <c r="H1634" s="4" t="s">
        <v>15</v>
      </c>
      <c r="I1634" s="4" t="s">
        <v>603</v>
      </c>
      <c r="J1634" s="4" t="s">
        <v>604</v>
      </c>
      <c r="K1634" s="4" t="s">
        <v>52</v>
      </c>
      <c r="L1634" s="4" t="s">
        <v>3742</v>
      </c>
      <c r="M1634" s="4" t="s">
        <v>3746</v>
      </c>
      <c r="N1634" s="4" t="s">
        <v>3747</v>
      </c>
      <c r="O1634" s="17" t="str">
        <f>INDEX('список ID из СУЭ с должностями'!$A:$F,MATCH(E1634,'список ID из СУЭ с должностями'!$B:$B,0),5)</f>
        <v>Инж смены</v>
      </c>
    </row>
    <row r="1635" spans="1:15" ht="75">
      <c r="A1635" s="3" t="s">
        <v>10</v>
      </c>
      <c r="B1635" s="3" t="s">
        <v>11</v>
      </c>
      <c r="C1635" s="4">
        <v>2026</v>
      </c>
      <c r="D1635" s="5" t="s">
        <v>12</v>
      </c>
      <c r="E1635" s="4">
        <v>231</v>
      </c>
      <c r="F1635" s="4" t="s">
        <v>193</v>
      </c>
      <c r="G1635" s="4" t="s">
        <v>2006</v>
      </c>
      <c r="H1635" s="4" t="s">
        <v>15</v>
      </c>
      <c r="I1635" s="4" t="s">
        <v>605</v>
      </c>
      <c r="J1635" s="4" t="s">
        <v>965</v>
      </c>
      <c r="K1635" s="4" t="s">
        <v>52</v>
      </c>
      <c r="L1635" s="4" t="s">
        <v>3742</v>
      </c>
      <c r="M1635" s="4" t="s">
        <v>3746</v>
      </c>
      <c r="N1635" s="4" t="s">
        <v>3747</v>
      </c>
      <c r="O1635" s="17" t="str">
        <f>INDEX('список ID из СУЭ с должностями'!$A:$F,MATCH(E1635,'список ID из СУЭ с должностями'!$B:$B,0),5)</f>
        <v>Инж смены</v>
      </c>
    </row>
    <row r="1636" spans="1:15" ht="75">
      <c r="A1636" s="3" t="s">
        <v>10</v>
      </c>
      <c r="B1636" s="3" t="s">
        <v>11</v>
      </c>
      <c r="C1636" s="4">
        <v>2026</v>
      </c>
      <c r="D1636" s="5" t="s">
        <v>12</v>
      </c>
      <c r="E1636" s="4">
        <v>231</v>
      </c>
      <c r="F1636" s="4" t="s">
        <v>193</v>
      </c>
      <c r="G1636" s="4" t="s">
        <v>2006</v>
      </c>
      <c r="H1636" s="4" t="s">
        <v>15</v>
      </c>
      <c r="I1636" s="4" t="s">
        <v>1047</v>
      </c>
      <c r="J1636" s="4" t="s">
        <v>1048</v>
      </c>
      <c r="K1636" s="4" t="s">
        <v>52</v>
      </c>
      <c r="L1636" s="4" t="s">
        <v>3742</v>
      </c>
      <c r="M1636" s="4" t="s">
        <v>3746</v>
      </c>
      <c r="N1636" s="4" t="s">
        <v>3747</v>
      </c>
      <c r="O1636" s="17" t="str">
        <f>INDEX('список ID из СУЭ с должностями'!$A:$F,MATCH(E1636,'список ID из СУЭ с должностями'!$B:$B,0),5)</f>
        <v>Инж смены</v>
      </c>
    </row>
    <row r="1637" spans="1:15" ht="75">
      <c r="A1637" s="3" t="s">
        <v>10</v>
      </c>
      <c r="B1637" s="3" t="s">
        <v>11</v>
      </c>
      <c r="C1637" s="4">
        <v>2026</v>
      </c>
      <c r="D1637" s="5" t="s">
        <v>12</v>
      </c>
      <c r="E1637" s="4">
        <v>231</v>
      </c>
      <c r="F1637" s="4" t="s">
        <v>193</v>
      </c>
      <c r="G1637" s="4" t="s">
        <v>2006</v>
      </c>
      <c r="H1637" s="4" t="s">
        <v>15</v>
      </c>
      <c r="I1637" s="4" t="s">
        <v>607</v>
      </c>
      <c r="J1637" s="4" t="s">
        <v>1049</v>
      </c>
      <c r="K1637" s="4" t="s">
        <v>52</v>
      </c>
      <c r="L1637" s="4" t="s">
        <v>3742</v>
      </c>
      <c r="M1637" s="4" t="s">
        <v>3746</v>
      </c>
      <c r="N1637" s="4" t="s">
        <v>3747</v>
      </c>
      <c r="O1637" s="17" t="str">
        <f>INDEX('список ID из СУЭ с должностями'!$A:$F,MATCH(E1637,'список ID из СУЭ с должностями'!$B:$B,0),5)</f>
        <v>Инж смены</v>
      </c>
    </row>
    <row r="1638" spans="1:15" ht="75">
      <c r="A1638" s="3" t="s">
        <v>10</v>
      </c>
      <c r="B1638" s="3" t="s">
        <v>11</v>
      </c>
      <c r="C1638" s="4">
        <v>2026</v>
      </c>
      <c r="D1638" s="5" t="s">
        <v>12</v>
      </c>
      <c r="E1638" s="4">
        <v>231</v>
      </c>
      <c r="F1638" s="4" t="s">
        <v>193</v>
      </c>
      <c r="G1638" s="4" t="s">
        <v>2006</v>
      </c>
      <c r="H1638" s="4" t="s">
        <v>15</v>
      </c>
      <c r="I1638" s="4" t="s">
        <v>601</v>
      </c>
      <c r="J1638" s="4" t="s">
        <v>602</v>
      </c>
      <c r="K1638" s="4" t="s">
        <v>52</v>
      </c>
      <c r="L1638" s="4" t="s">
        <v>3742</v>
      </c>
      <c r="M1638" s="4" t="s">
        <v>3746</v>
      </c>
      <c r="N1638" s="4" t="s">
        <v>3747</v>
      </c>
      <c r="O1638" s="17" t="str">
        <f>INDEX('список ID из СУЭ с должностями'!$A:$F,MATCH(E1638,'список ID из СУЭ с должностями'!$B:$B,0),5)</f>
        <v>Инж смены</v>
      </c>
    </row>
    <row r="1639" spans="1:15" ht="75">
      <c r="A1639" s="3" t="s">
        <v>10</v>
      </c>
      <c r="B1639" s="3" t="s">
        <v>11</v>
      </c>
      <c r="C1639" s="4">
        <v>2026</v>
      </c>
      <c r="D1639" s="5" t="s">
        <v>12</v>
      </c>
      <c r="E1639" s="4">
        <v>231</v>
      </c>
      <c r="F1639" s="4" t="s">
        <v>193</v>
      </c>
      <c r="G1639" s="4" t="s">
        <v>2006</v>
      </c>
      <c r="H1639" s="4" t="s">
        <v>15</v>
      </c>
      <c r="I1639" s="4" t="s">
        <v>1050</v>
      </c>
      <c r="J1639" s="4" t="s">
        <v>610</v>
      </c>
      <c r="K1639" s="4" t="s">
        <v>52</v>
      </c>
      <c r="L1639" s="4" t="s">
        <v>3742</v>
      </c>
      <c r="M1639" s="4" t="s">
        <v>3746</v>
      </c>
      <c r="N1639" s="4" t="s">
        <v>3747</v>
      </c>
      <c r="O1639" s="17" t="str">
        <f>INDEX('список ID из СУЭ с должностями'!$A:$F,MATCH(E1639,'список ID из СУЭ с должностями'!$B:$B,0),5)</f>
        <v>Инж смены</v>
      </c>
    </row>
    <row r="1640" spans="1:15" ht="75">
      <c r="A1640" s="3" t="s">
        <v>10</v>
      </c>
      <c r="B1640" s="3" t="s">
        <v>11</v>
      </c>
      <c r="C1640" s="4">
        <v>2026</v>
      </c>
      <c r="D1640" s="5" t="s">
        <v>12</v>
      </c>
      <c r="E1640" s="4">
        <v>231</v>
      </c>
      <c r="F1640" s="4" t="s">
        <v>193</v>
      </c>
      <c r="G1640" s="4" t="s">
        <v>2006</v>
      </c>
      <c r="H1640" s="4" t="s">
        <v>15</v>
      </c>
      <c r="I1640" s="4" t="s">
        <v>599</v>
      </c>
      <c r="J1640" s="4" t="s">
        <v>1051</v>
      </c>
      <c r="K1640" s="4" t="s">
        <v>52</v>
      </c>
      <c r="L1640" s="4" t="s">
        <v>3742</v>
      </c>
      <c r="M1640" s="4" t="s">
        <v>3746</v>
      </c>
      <c r="N1640" s="4" t="s">
        <v>3747</v>
      </c>
      <c r="O1640" s="17" t="str">
        <f>INDEX('список ID из СУЭ с должностями'!$A:$F,MATCH(E1640,'список ID из СУЭ с должностями'!$B:$B,0),5)</f>
        <v>Инж смены</v>
      </c>
    </row>
    <row r="1641" spans="1:15" ht="45">
      <c r="A1641" s="3" t="s">
        <v>10</v>
      </c>
      <c r="B1641" s="3" t="s">
        <v>11</v>
      </c>
      <c r="C1641" s="4">
        <v>2026</v>
      </c>
      <c r="D1641" s="5" t="s">
        <v>12</v>
      </c>
      <c r="E1641" s="4">
        <v>232</v>
      </c>
      <c r="F1641" s="4" t="s">
        <v>193</v>
      </c>
      <c r="G1641" s="4" t="s">
        <v>2007</v>
      </c>
      <c r="H1641" s="4" t="s">
        <v>15</v>
      </c>
      <c r="I1641" s="4" t="s">
        <v>984</v>
      </c>
      <c r="J1641" s="4" t="s">
        <v>2008</v>
      </c>
      <c r="K1641" s="4" t="s">
        <v>66</v>
      </c>
      <c r="L1641" s="4" t="s">
        <v>3742</v>
      </c>
      <c r="M1641" s="4" t="s">
        <v>3746</v>
      </c>
      <c r="N1641" s="4" t="s">
        <v>3747</v>
      </c>
      <c r="O1641" s="17" t="str">
        <f>INDEX('список ID из СУЭ с должностями'!$A:$F,MATCH(E1641,'список ID из СУЭ с должностями'!$B:$B,0),5)</f>
        <v>Инж смены</v>
      </c>
    </row>
    <row r="1642" spans="1:15" ht="75">
      <c r="A1642" s="3" t="s">
        <v>10</v>
      </c>
      <c r="B1642" s="3" t="s">
        <v>11</v>
      </c>
      <c r="C1642" s="4">
        <v>2026</v>
      </c>
      <c r="D1642" s="5" t="s">
        <v>12</v>
      </c>
      <c r="E1642" s="4">
        <v>232</v>
      </c>
      <c r="F1642" s="4" t="s">
        <v>193</v>
      </c>
      <c r="G1642" s="4" t="s">
        <v>2007</v>
      </c>
      <c r="H1642" s="4" t="s">
        <v>15</v>
      </c>
      <c r="I1642" s="4" t="s">
        <v>817</v>
      </c>
      <c r="J1642" s="4" t="s">
        <v>196</v>
      </c>
      <c r="K1642" s="4" t="s">
        <v>20</v>
      </c>
      <c r="L1642" s="4" t="s">
        <v>3742</v>
      </c>
      <c r="M1642" s="4" t="s">
        <v>3746</v>
      </c>
      <c r="N1642" s="4" t="s">
        <v>3747</v>
      </c>
      <c r="O1642" s="17" t="str">
        <f>INDEX('список ID из СУЭ с должностями'!$A:$F,MATCH(E1642,'список ID из СУЭ с должностями'!$B:$B,0),5)</f>
        <v>Инж смены</v>
      </c>
    </row>
    <row r="1643" spans="1:15" ht="45">
      <c r="A1643" s="3" t="s">
        <v>10</v>
      </c>
      <c r="B1643" s="3" t="s">
        <v>11</v>
      </c>
      <c r="C1643" s="4">
        <v>2026</v>
      </c>
      <c r="D1643" s="5" t="s">
        <v>12</v>
      </c>
      <c r="E1643" s="4">
        <v>232</v>
      </c>
      <c r="F1643" s="4" t="s">
        <v>193</v>
      </c>
      <c r="G1643" s="4" t="s">
        <v>2007</v>
      </c>
      <c r="H1643" s="4" t="s">
        <v>15</v>
      </c>
      <c r="I1643" s="4" t="s">
        <v>48</v>
      </c>
      <c r="J1643" s="4" t="s">
        <v>187</v>
      </c>
      <c r="K1643" s="4" t="s">
        <v>35</v>
      </c>
      <c r="L1643" s="4" t="s">
        <v>3743</v>
      </c>
      <c r="M1643" s="4" t="s">
        <v>3746</v>
      </c>
      <c r="N1643" s="4" t="s">
        <v>3747</v>
      </c>
      <c r="O1643" s="17" t="str">
        <f>INDEX('список ID из СУЭ с должностями'!$A:$F,MATCH(E1643,'список ID из СУЭ с должностями'!$B:$B,0),5)</f>
        <v>Инж смены</v>
      </c>
    </row>
    <row r="1644" spans="1:15" ht="150">
      <c r="A1644" s="3" t="s">
        <v>10</v>
      </c>
      <c r="B1644" s="3" t="s">
        <v>11</v>
      </c>
      <c r="C1644" s="4">
        <v>2026</v>
      </c>
      <c r="D1644" s="5" t="s">
        <v>12</v>
      </c>
      <c r="E1644" s="4">
        <v>232</v>
      </c>
      <c r="F1644" s="4" t="s">
        <v>193</v>
      </c>
      <c r="G1644" s="4" t="s">
        <v>2007</v>
      </c>
      <c r="H1644" s="4" t="s">
        <v>15</v>
      </c>
      <c r="I1644" s="4" t="s">
        <v>46</v>
      </c>
      <c r="J1644" s="4" t="s">
        <v>2009</v>
      </c>
      <c r="K1644" s="4" t="s">
        <v>20</v>
      </c>
      <c r="L1644" s="4" t="s">
        <v>3743</v>
      </c>
      <c r="M1644" s="4" t="s">
        <v>3746</v>
      </c>
      <c r="N1644" s="4" t="s">
        <v>3747</v>
      </c>
      <c r="O1644" s="17" t="str">
        <f>INDEX('список ID из СУЭ с должностями'!$A:$F,MATCH(E1644,'список ID из СУЭ с должностями'!$B:$B,0),5)</f>
        <v>Инж смены</v>
      </c>
    </row>
    <row r="1645" spans="1:15" ht="60">
      <c r="A1645" s="3" t="s">
        <v>10</v>
      </c>
      <c r="B1645" s="3" t="s">
        <v>11</v>
      </c>
      <c r="C1645" s="4">
        <v>2026</v>
      </c>
      <c r="D1645" s="5" t="s">
        <v>12</v>
      </c>
      <c r="E1645" s="4">
        <v>233</v>
      </c>
      <c r="F1645" s="4" t="s">
        <v>217</v>
      </c>
      <c r="G1645" s="4" t="s">
        <v>158</v>
      </c>
      <c r="H1645" s="4" t="s">
        <v>41</v>
      </c>
      <c r="I1645" s="4" t="s">
        <v>218</v>
      </c>
      <c r="J1645" s="4" t="s">
        <v>219</v>
      </c>
      <c r="K1645" s="4" t="s">
        <v>220</v>
      </c>
      <c r="L1645" s="4" t="s">
        <v>3743</v>
      </c>
      <c r="M1645" s="4" t="s">
        <v>3753</v>
      </c>
      <c r="N1645" s="4" t="s">
        <v>3747</v>
      </c>
      <c r="O1645" s="17">
        <f>INDEX('список ID из СУЭ с должностями'!$A:$F,MATCH(E1645,'список ID из СУЭ с должностями'!$B:$B,0),5)</f>
        <v>0</v>
      </c>
    </row>
    <row r="1646" spans="1:15" ht="90">
      <c r="A1646" s="3" t="s">
        <v>10</v>
      </c>
      <c r="B1646" s="3" t="s">
        <v>11</v>
      </c>
      <c r="C1646" s="4">
        <v>2026</v>
      </c>
      <c r="D1646" s="5" t="s">
        <v>12</v>
      </c>
      <c r="E1646" s="4">
        <v>233</v>
      </c>
      <c r="F1646" s="4" t="s">
        <v>217</v>
      </c>
      <c r="G1646" s="4" t="s">
        <v>158</v>
      </c>
      <c r="H1646" s="4" t="s">
        <v>15</v>
      </c>
      <c r="I1646" s="4" t="s">
        <v>532</v>
      </c>
      <c r="J1646" s="4" t="s">
        <v>2010</v>
      </c>
      <c r="K1646" s="4" t="s">
        <v>25</v>
      </c>
      <c r="L1646" s="4" t="s">
        <v>3743</v>
      </c>
      <c r="M1646" s="4" t="s">
        <v>3746</v>
      </c>
      <c r="N1646" s="4" t="s">
        <v>3747</v>
      </c>
      <c r="O1646" s="17">
        <f>INDEX('список ID из СУЭ с должностями'!$A:$F,MATCH(E1646,'список ID из СУЭ с должностями'!$B:$B,0),5)</f>
        <v>0</v>
      </c>
    </row>
    <row r="1647" spans="1:15" ht="45">
      <c r="A1647" s="3" t="s">
        <v>10</v>
      </c>
      <c r="B1647" s="3" t="s">
        <v>11</v>
      </c>
      <c r="C1647" s="4">
        <v>2026</v>
      </c>
      <c r="D1647" s="5" t="s">
        <v>12</v>
      </c>
      <c r="E1647" s="4">
        <v>233</v>
      </c>
      <c r="F1647" s="4" t="s">
        <v>217</v>
      </c>
      <c r="G1647" s="4" t="s">
        <v>158</v>
      </c>
      <c r="H1647" s="4" t="s">
        <v>21</v>
      </c>
      <c r="I1647" s="4" t="s">
        <v>221</v>
      </c>
      <c r="J1647" s="4" t="s">
        <v>2011</v>
      </c>
      <c r="K1647" s="4" t="s">
        <v>52</v>
      </c>
      <c r="L1647" s="4" t="s">
        <v>3743</v>
      </c>
      <c r="M1647" s="4" t="s">
        <v>3746</v>
      </c>
      <c r="N1647" s="4" t="s">
        <v>3747</v>
      </c>
      <c r="O1647" s="17">
        <f>INDEX('список ID из СУЭ с должностями'!$A:$F,MATCH(E1647,'список ID из СУЭ с должностями'!$B:$B,0),5)</f>
        <v>0</v>
      </c>
    </row>
    <row r="1648" spans="1:15" ht="75">
      <c r="A1648" s="3" t="s">
        <v>10</v>
      </c>
      <c r="B1648" s="3" t="s">
        <v>11</v>
      </c>
      <c r="C1648" s="4">
        <v>2026</v>
      </c>
      <c r="D1648" s="5" t="s">
        <v>12</v>
      </c>
      <c r="E1648" s="4">
        <v>233</v>
      </c>
      <c r="F1648" s="4" t="s">
        <v>217</v>
      </c>
      <c r="G1648" s="4" t="s">
        <v>158</v>
      </c>
      <c r="H1648" s="4" t="s">
        <v>21</v>
      </c>
      <c r="I1648" s="4" t="s">
        <v>231</v>
      </c>
      <c r="J1648" s="4" t="s">
        <v>2012</v>
      </c>
      <c r="K1648" s="4" t="s">
        <v>38</v>
      </c>
      <c r="L1648" s="4" t="s">
        <v>3743</v>
      </c>
      <c r="M1648" s="4" t="s">
        <v>3746</v>
      </c>
      <c r="N1648" s="4" t="s">
        <v>3747</v>
      </c>
      <c r="O1648" s="17">
        <f>INDEX('список ID из СУЭ с должностями'!$A:$F,MATCH(E1648,'список ID из СУЭ с должностями'!$B:$B,0),5)</f>
        <v>0</v>
      </c>
    </row>
    <row r="1649" spans="1:15" ht="60">
      <c r="A1649" s="3" t="s">
        <v>10</v>
      </c>
      <c r="B1649" s="3" t="s">
        <v>11</v>
      </c>
      <c r="C1649" s="4">
        <v>2026</v>
      </c>
      <c r="D1649" s="5" t="s">
        <v>12</v>
      </c>
      <c r="E1649" s="4">
        <v>233</v>
      </c>
      <c r="F1649" s="4" t="s">
        <v>217</v>
      </c>
      <c r="G1649" s="4" t="s">
        <v>158</v>
      </c>
      <c r="H1649" s="4" t="s">
        <v>21</v>
      </c>
      <c r="I1649" s="4" t="s">
        <v>996</v>
      </c>
      <c r="J1649" s="4" t="s">
        <v>2013</v>
      </c>
      <c r="K1649" s="4" t="s">
        <v>25</v>
      </c>
      <c r="L1649" s="4" t="s">
        <v>3743</v>
      </c>
      <c r="M1649" s="4" t="s">
        <v>3746</v>
      </c>
      <c r="N1649" s="4" t="s">
        <v>3747</v>
      </c>
      <c r="O1649" s="17">
        <f>INDEX('список ID из СУЭ с должностями'!$A:$F,MATCH(E1649,'список ID из СУЭ с должностями'!$B:$B,0),5)</f>
        <v>0</v>
      </c>
    </row>
    <row r="1650" spans="1:15" ht="60">
      <c r="A1650" s="3" t="s">
        <v>10</v>
      </c>
      <c r="B1650" s="3" t="s">
        <v>11</v>
      </c>
      <c r="C1650" s="4">
        <v>2026</v>
      </c>
      <c r="D1650" s="5" t="s">
        <v>12</v>
      </c>
      <c r="E1650" s="4">
        <v>233</v>
      </c>
      <c r="F1650" s="4" t="s">
        <v>217</v>
      </c>
      <c r="G1650" s="4" t="s">
        <v>158</v>
      </c>
      <c r="H1650" s="4" t="s">
        <v>21</v>
      </c>
      <c r="I1650" s="4" t="s">
        <v>1094</v>
      </c>
      <c r="J1650" s="4" t="s">
        <v>1095</v>
      </c>
      <c r="K1650" s="4" t="s">
        <v>30</v>
      </c>
      <c r="L1650" s="4" t="s">
        <v>3743</v>
      </c>
      <c r="M1650" s="4" t="s">
        <v>3746</v>
      </c>
      <c r="N1650" s="4" t="s">
        <v>3747</v>
      </c>
      <c r="O1650" s="17">
        <f>INDEX('список ID из СУЭ с должностями'!$A:$F,MATCH(E1650,'список ID из СУЭ с должностями'!$B:$B,0),5)</f>
        <v>0</v>
      </c>
    </row>
    <row r="1651" spans="1:15" ht="135">
      <c r="A1651" s="3" t="s">
        <v>10</v>
      </c>
      <c r="B1651" s="3" t="s">
        <v>11</v>
      </c>
      <c r="C1651" s="4">
        <v>2026</v>
      </c>
      <c r="D1651" s="5" t="s">
        <v>12</v>
      </c>
      <c r="E1651" s="4">
        <v>233</v>
      </c>
      <c r="F1651" s="4" t="s">
        <v>217</v>
      </c>
      <c r="G1651" s="4" t="s">
        <v>158</v>
      </c>
      <c r="H1651" s="4" t="s">
        <v>15</v>
      </c>
      <c r="I1651" s="4" t="s">
        <v>233</v>
      </c>
      <c r="J1651" s="4" t="s">
        <v>1099</v>
      </c>
      <c r="K1651" s="4" t="s">
        <v>35</v>
      </c>
      <c r="L1651" s="4" t="s">
        <v>3743</v>
      </c>
      <c r="M1651" s="4" t="s">
        <v>3746</v>
      </c>
      <c r="N1651" s="4" t="s">
        <v>3747</v>
      </c>
      <c r="O1651" s="17">
        <f>INDEX('список ID из СУЭ с должностями'!$A:$F,MATCH(E1651,'список ID из СУЭ с должностями'!$B:$B,0),5)</f>
        <v>0</v>
      </c>
    </row>
    <row r="1652" spans="1:15" ht="60">
      <c r="A1652" s="3" t="s">
        <v>10</v>
      </c>
      <c r="B1652" s="3" t="s">
        <v>11</v>
      </c>
      <c r="C1652" s="4">
        <v>2026</v>
      </c>
      <c r="D1652" s="5" t="s">
        <v>12</v>
      </c>
      <c r="E1652" s="4">
        <v>233</v>
      </c>
      <c r="F1652" s="4" t="s">
        <v>217</v>
      </c>
      <c r="G1652" s="4" t="s">
        <v>158</v>
      </c>
      <c r="H1652" s="4" t="s">
        <v>15</v>
      </c>
      <c r="I1652" s="4" t="s">
        <v>226</v>
      </c>
      <c r="J1652" s="4" t="s">
        <v>227</v>
      </c>
      <c r="K1652" s="4" t="s">
        <v>25</v>
      </c>
      <c r="L1652" s="4" t="s">
        <v>3743</v>
      </c>
      <c r="M1652" s="4" t="s">
        <v>3746</v>
      </c>
      <c r="N1652" s="4" t="s">
        <v>3747</v>
      </c>
      <c r="O1652" s="17">
        <f>INDEX('список ID из СУЭ с должностями'!$A:$F,MATCH(E1652,'список ID из СУЭ с должностями'!$B:$B,0),5)</f>
        <v>0</v>
      </c>
    </row>
    <row r="1653" spans="1:15" ht="180">
      <c r="A1653" s="3" t="s">
        <v>10</v>
      </c>
      <c r="B1653" s="3" t="s">
        <v>11</v>
      </c>
      <c r="C1653" s="4">
        <v>2026</v>
      </c>
      <c r="D1653" s="5" t="s">
        <v>12</v>
      </c>
      <c r="E1653" s="4">
        <v>233</v>
      </c>
      <c r="F1653" s="4" t="s">
        <v>217</v>
      </c>
      <c r="G1653" s="4" t="s">
        <v>158</v>
      </c>
      <c r="H1653" s="4" t="s">
        <v>21</v>
      </c>
      <c r="I1653" s="4" t="s">
        <v>237</v>
      </c>
      <c r="J1653" s="4" t="s">
        <v>238</v>
      </c>
      <c r="K1653" s="4" t="s">
        <v>151</v>
      </c>
      <c r="L1653" s="4" t="s">
        <v>3743</v>
      </c>
      <c r="M1653" s="4" t="s">
        <v>3746</v>
      </c>
      <c r="N1653" s="4" t="s">
        <v>3747</v>
      </c>
      <c r="O1653" s="17">
        <f>INDEX('список ID из СУЭ с должностями'!$A:$F,MATCH(E1653,'список ID из СУЭ с должностями'!$B:$B,0),5)</f>
        <v>0</v>
      </c>
    </row>
    <row r="1654" spans="1:15" ht="60">
      <c r="A1654" s="3" t="s">
        <v>10</v>
      </c>
      <c r="B1654" s="3" t="s">
        <v>11</v>
      </c>
      <c r="C1654" s="4">
        <v>2026</v>
      </c>
      <c r="D1654" s="5" t="s">
        <v>12</v>
      </c>
      <c r="E1654" s="4">
        <v>233</v>
      </c>
      <c r="F1654" s="4" t="s">
        <v>217</v>
      </c>
      <c r="G1654" s="4" t="s">
        <v>158</v>
      </c>
      <c r="H1654" s="4" t="s">
        <v>21</v>
      </c>
      <c r="I1654" s="4" t="s">
        <v>235</v>
      </c>
      <c r="J1654" s="4" t="s">
        <v>347</v>
      </c>
      <c r="K1654" s="4" t="s">
        <v>52</v>
      </c>
      <c r="L1654" s="4" t="s">
        <v>3743</v>
      </c>
      <c r="M1654" s="4" t="s">
        <v>3746</v>
      </c>
      <c r="N1654" s="4" t="s">
        <v>3747</v>
      </c>
      <c r="O1654" s="17">
        <f>INDEX('список ID из СУЭ с должностями'!$A:$F,MATCH(E1654,'список ID из СУЭ с должностями'!$B:$B,0),5)</f>
        <v>0</v>
      </c>
    </row>
    <row r="1655" spans="1:15" ht="105">
      <c r="A1655" s="3" t="s">
        <v>10</v>
      </c>
      <c r="B1655" s="3" t="s">
        <v>11</v>
      </c>
      <c r="C1655" s="4">
        <v>2026</v>
      </c>
      <c r="D1655" s="5" t="s">
        <v>12</v>
      </c>
      <c r="E1655" s="4">
        <v>234</v>
      </c>
      <c r="F1655" s="4" t="s">
        <v>316</v>
      </c>
      <c r="G1655" s="4" t="s">
        <v>349</v>
      </c>
      <c r="H1655" s="4" t="s">
        <v>15</v>
      </c>
      <c r="I1655" s="4" t="s">
        <v>2014</v>
      </c>
      <c r="J1655" s="4" t="s">
        <v>2015</v>
      </c>
      <c r="K1655" s="4" t="s">
        <v>52</v>
      </c>
      <c r="L1655" s="4" t="s">
        <v>3743</v>
      </c>
      <c r="M1655" s="4" t="s">
        <v>3746</v>
      </c>
      <c r="N1655" s="4" t="s">
        <v>3747</v>
      </c>
      <c r="O1655" s="17">
        <f>INDEX('список ID из СУЭ с должностями'!$A:$F,MATCH(E1655,'список ID из СУЭ с должностями'!$B:$B,0),5)</f>
        <v>0</v>
      </c>
    </row>
    <row r="1656" spans="1:15" ht="150">
      <c r="A1656" s="3" t="s">
        <v>10</v>
      </c>
      <c r="B1656" s="3" t="s">
        <v>11</v>
      </c>
      <c r="C1656" s="4">
        <v>2026</v>
      </c>
      <c r="D1656" s="5" t="s">
        <v>12</v>
      </c>
      <c r="E1656" s="4">
        <v>234</v>
      </c>
      <c r="F1656" s="4" t="s">
        <v>316</v>
      </c>
      <c r="G1656" s="4" t="s">
        <v>349</v>
      </c>
      <c r="H1656" s="4" t="s">
        <v>15</v>
      </c>
      <c r="I1656" s="4" t="s">
        <v>352</v>
      </c>
      <c r="J1656" s="4" t="s">
        <v>2016</v>
      </c>
      <c r="K1656" s="4" t="s">
        <v>25</v>
      </c>
      <c r="L1656" s="4" t="s">
        <v>3743</v>
      </c>
      <c r="M1656" s="4" t="s">
        <v>3746</v>
      </c>
      <c r="N1656" s="4" t="s">
        <v>3747</v>
      </c>
      <c r="O1656" s="17">
        <f>INDEX('список ID из СУЭ с должностями'!$A:$F,MATCH(E1656,'список ID из СУЭ с должностями'!$B:$B,0),5)</f>
        <v>0</v>
      </c>
    </row>
    <row r="1657" spans="1:15" ht="315">
      <c r="A1657" s="3" t="s">
        <v>10</v>
      </c>
      <c r="B1657" s="3" t="s">
        <v>11</v>
      </c>
      <c r="C1657" s="4">
        <v>2026</v>
      </c>
      <c r="D1657" s="5" t="s">
        <v>12</v>
      </c>
      <c r="E1657" s="4">
        <v>234</v>
      </c>
      <c r="F1657" s="4" t="s">
        <v>316</v>
      </c>
      <c r="G1657" s="4" t="s">
        <v>349</v>
      </c>
      <c r="H1657" s="4" t="s">
        <v>15</v>
      </c>
      <c r="I1657" s="4" t="s">
        <v>28</v>
      </c>
      <c r="J1657" s="4" t="s">
        <v>2017</v>
      </c>
      <c r="K1657" s="4" t="s">
        <v>30</v>
      </c>
      <c r="L1657" s="4" t="s">
        <v>3743</v>
      </c>
      <c r="M1657" s="4" t="s">
        <v>3746</v>
      </c>
      <c r="N1657" s="4" t="s">
        <v>3747</v>
      </c>
      <c r="O1657" s="17">
        <f>INDEX('список ID из СУЭ с должностями'!$A:$F,MATCH(E1657,'список ID из СУЭ с должностями'!$B:$B,0),5)</f>
        <v>0</v>
      </c>
    </row>
    <row r="1658" spans="1:15" ht="150">
      <c r="A1658" s="3" t="s">
        <v>10</v>
      </c>
      <c r="B1658" s="3" t="s">
        <v>11</v>
      </c>
      <c r="C1658" s="4">
        <v>2026</v>
      </c>
      <c r="D1658" s="5" t="s">
        <v>12</v>
      </c>
      <c r="E1658" s="4">
        <v>234</v>
      </c>
      <c r="F1658" s="4" t="s">
        <v>316</v>
      </c>
      <c r="G1658" s="4" t="s">
        <v>349</v>
      </c>
      <c r="H1658" s="4" t="s">
        <v>15</v>
      </c>
      <c r="I1658" s="4" t="s">
        <v>354</v>
      </c>
      <c r="J1658" s="4" t="s">
        <v>2018</v>
      </c>
      <c r="K1658" s="4" t="s">
        <v>25</v>
      </c>
      <c r="L1658" s="4" t="s">
        <v>3743</v>
      </c>
      <c r="M1658" s="4" t="s">
        <v>3746</v>
      </c>
      <c r="N1658" s="4" t="s">
        <v>3747</v>
      </c>
      <c r="O1658" s="17">
        <f>INDEX('список ID из СУЭ с должностями'!$A:$F,MATCH(E1658,'список ID из СУЭ с должностями'!$B:$B,0),5)</f>
        <v>0</v>
      </c>
    </row>
    <row r="1659" spans="1:15" ht="105">
      <c r="A1659" s="3" t="s">
        <v>10</v>
      </c>
      <c r="B1659" s="3" t="s">
        <v>11</v>
      </c>
      <c r="C1659" s="4">
        <v>2026</v>
      </c>
      <c r="D1659" s="5" t="s">
        <v>12</v>
      </c>
      <c r="E1659" s="4">
        <v>234</v>
      </c>
      <c r="F1659" s="4" t="s">
        <v>316</v>
      </c>
      <c r="G1659" s="4" t="s">
        <v>349</v>
      </c>
      <c r="H1659" s="4" t="s">
        <v>15</v>
      </c>
      <c r="I1659" s="4" t="s">
        <v>356</v>
      </c>
      <c r="J1659" s="4" t="s">
        <v>2019</v>
      </c>
      <c r="K1659" s="4" t="s">
        <v>25</v>
      </c>
      <c r="L1659" s="4" t="s">
        <v>3743</v>
      </c>
      <c r="M1659" s="4" t="s">
        <v>3746</v>
      </c>
      <c r="N1659" s="4" t="s">
        <v>3747</v>
      </c>
      <c r="O1659" s="17">
        <f>INDEX('список ID из СУЭ с должностями'!$A:$F,MATCH(E1659,'список ID из СУЭ с должностями'!$B:$B,0),5)</f>
        <v>0</v>
      </c>
    </row>
    <row r="1660" spans="1:15" ht="195">
      <c r="A1660" s="3" t="s">
        <v>10</v>
      </c>
      <c r="B1660" s="3" t="s">
        <v>11</v>
      </c>
      <c r="C1660" s="4">
        <v>2026</v>
      </c>
      <c r="D1660" s="5" t="s">
        <v>12</v>
      </c>
      <c r="E1660" s="4">
        <v>234</v>
      </c>
      <c r="F1660" s="4" t="s">
        <v>316</v>
      </c>
      <c r="G1660" s="4" t="s">
        <v>349</v>
      </c>
      <c r="H1660" s="4" t="s">
        <v>15</v>
      </c>
      <c r="I1660" s="4" t="s">
        <v>318</v>
      </c>
      <c r="J1660" s="4" t="s">
        <v>363</v>
      </c>
      <c r="K1660" s="4" t="s">
        <v>52</v>
      </c>
      <c r="L1660" s="4" t="s">
        <v>3743</v>
      </c>
      <c r="M1660" s="4" t="s">
        <v>3746</v>
      </c>
      <c r="N1660" s="4" t="s">
        <v>3747</v>
      </c>
      <c r="O1660" s="17">
        <f>INDEX('список ID из СУЭ с должностями'!$A:$F,MATCH(E1660,'список ID из СУЭ с должностями'!$B:$B,0),5)</f>
        <v>0</v>
      </c>
    </row>
    <row r="1661" spans="1:15" ht="105">
      <c r="A1661" s="3" t="s">
        <v>10</v>
      </c>
      <c r="B1661" s="3" t="s">
        <v>11</v>
      </c>
      <c r="C1661" s="4">
        <v>2026</v>
      </c>
      <c r="D1661" s="5" t="s">
        <v>12</v>
      </c>
      <c r="E1661" s="4">
        <v>234</v>
      </c>
      <c r="F1661" s="4" t="s">
        <v>316</v>
      </c>
      <c r="G1661" s="4" t="s">
        <v>349</v>
      </c>
      <c r="H1661" s="4" t="s">
        <v>15</v>
      </c>
      <c r="I1661" s="4" t="s">
        <v>358</v>
      </c>
      <c r="J1661" s="4" t="s">
        <v>2020</v>
      </c>
      <c r="K1661" s="4" t="s">
        <v>66</v>
      </c>
      <c r="L1661" s="4" t="s">
        <v>3743</v>
      </c>
      <c r="M1661" s="4" t="s">
        <v>3746</v>
      </c>
      <c r="N1661" s="4" t="s">
        <v>3747</v>
      </c>
      <c r="O1661" s="17">
        <f>INDEX('список ID из СУЭ с должностями'!$A:$F,MATCH(E1661,'список ID из СУЭ с должностями'!$B:$B,0),5)</f>
        <v>0</v>
      </c>
    </row>
    <row r="1662" spans="1:15" ht="150">
      <c r="A1662" s="3" t="s">
        <v>10</v>
      </c>
      <c r="B1662" s="3" t="s">
        <v>11</v>
      </c>
      <c r="C1662" s="4">
        <v>2026</v>
      </c>
      <c r="D1662" s="5" t="s">
        <v>12</v>
      </c>
      <c r="E1662" s="4">
        <v>234</v>
      </c>
      <c r="F1662" s="4" t="s">
        <v>316</v>
      </c>
      <c r="G1662" s="4" t="s">
        <v>349</v>
      </c>
      <c r="H1662" s="4" t="s">
        <v>15</v>
      </c>
      <c r="I1662" s="4" t="s">
        <v>323</v>
      </c>
      <c r="J1662" s="4" t="s">
        <v>2021</v>
      </c>
      <c r="K1662" s="4" t="s">
        <v>52</v>
      </c>
      <c r="L1662" s="4" t="s">
        <v>3743</v>
      </c>
      <c r="M1662" s="4" t="s">
        <v>3746</v>
      </c>
      <c r="N1662" s="4" t="s">
        <v>3747</v>
      </c>
      <c r="O1662" s="17">
        <f>INDEX('список ID из СУЭ с должностями'!$A:$F,MATCH(E1662,'список ID из СУЭ с должностями'!$B:$B,0),5)</f>
        <v>0</v>
      </c>
    </row>
    <row r="1663" spans="1:15" ht="240">
      <c r="A1663" s="3" t="s">
        <v>10</v>
      </c>
      <c r="B1663" s="3" t="s">
        <v>11</v>
      </c>
      <c r="C1663" s="4">
        <v>2026</v>
      </c>
      <c r="D1663" s="5" t="s">
        <v>12</v>
      </c>
      <c r="E1663" s="4">
        <v>234</v>
      </c>
      <c r="F1663" s="4" t="s">
        <v>316</v>
      </c>
      <c r="G1663" s="4" t="s">
        <v>349</v>
      </c>
      <c r="H1663" s="4" t="s">
        <v>15</v>
      </c>
      <c r="I1663" s="4" t="s">
        <v>325</v>
      </c>
      <c r="J1663" s="4" t="s">
        <v>2022</v>
      </c>
      <c r="K1663" s="4" t="s">
        <v>35</v>
      </c>
      <c r="L1663" s="4" t="s">
        <v>3743</v>
      </c>
      <c r="M1663" s="4" t="s">
        <v>3746</v>
      </c>
      <c r="N1663" s="4" t="s">
        <v>3747</v>
      </c>
      <c r="O1663" s="17">
        <f>INDEX('список ID из СУЭ с должностями'!$A:$F,MATCH(E1663,'список ID из СУЭ с должностями'!$B:$B,0),5)</f>
        <v>0</v>
      </c>
    </row>
    <row r="1664" spans="1:15" ht="120">
      <c r="A1664" s="3" t="s">
        <v>10</v>
      </c>
      <c r="B1664" s="3" t="s">
        <v>11</v>
      </c>
      <c r="C1664" s="4">
        <v>2026</v>
      </c>
      <c r="D1664" s="5" t="s">
        <v>12</v>
      </c>
      <c r="E1664" s="4">
        <v>235</v>
      </c>
      <c r="F1664" s="4" t="s">
        <v>454</v>
      </c>
      <c r="G1664" s="4" t="s">
        <v>455</v>
      </c>
      <c r="H1664" s="4" t="s">
        <v>15</v>
      </c>
      <c r="I1664" s="4" t="s">
        <v>456</v>
      </c>
      <c r="J1664" s="4" t="s">
        <v>457</v>
      </c>
      <c r="K1664" s="4" t="s">
        <v>23</v>
      </c>
      <c r="L1664" s="4" t="s">
        <v>3743</v>
      </c>
      <c r="M1664" s="4" t="s">
        <v>3748</v>
      </c>
      <c r="N1664" s="4" t="s">
        <v>3752</v>
      </c>
      <c r="O1664" s="17">
        <f>INDEX('список ID из СУЭ с должностями'!$A:$F,MATCH(E1664,'список ID из СУЭ с должностями'!$B:$B,0),5)</f>
        <v>0</v>
      </c>
    </row>
    <row r="1665" spans="1:15" ht="375">
      <c r="A1665" s="3" t="s">
        <v>10</v>
      </c>
      <c r="B1665" s="3" t="s">
        <v>11</v>
      </c>
      <c r="C1665" s="4">
        <v>2026</v>
      </c>
      <c r="D1665" s="5" t="s">
        <v>12</v>
      </c>
      <c r="E1665" s="4">
        <v>235</v>
      </c>
      <c r="F1665" s="4" t="s">
        <v>454</v>
      </c>
      <c r="G1665" s="4" t="s">
        <v>455</v>
      </c>
      <c r="H1665" s="4" t="s">
        <v>15</v>
      </c>
      <c r="I1665" s="4" t="s">
        <v>460</v>
      </c>
      <c r="J1665" s="4" t="s">
        <v>461</v>
      </c>
      <c r="K1665" s="4" t="s">
        <v>38</v>
      </c>
      <c r="L1665" s="4" t="s">
        <v>3743</v>
      </c>
      <c r="M1665" s="4" t="s">
        <v>3746</v>
      </c>
      <c r="N1665" s="4" t="s">
        <v>3747</v>
      </c>
      <c r="O1665" s="17">
        <f>INDEX('список ID из СУЭ с должностями'!$A:$F,MATCH(E1665,'список ID из СУЭ с должностями'!$B:$B,0),5)</f>
        <v>0</v>
      </c>
    </row>
    <row r="1666" spans="1:15" ht="120">
      <c r="A1666" s="3" t="s">
        <v>10</v>
      </c>
      <c r="B1666" s="3" t="s">
        <v>11</v>
      </c>
      <c r="C1666" s="4">
        <v>2026</v>
      </c>
      <c r="D1666" s="5" t="s">
        <v>12</v>
      </c>
      <c r="E1666" s="4">
        <v>235</v>
      </c>
      <c r="F1666" s="4" t="s">
        <v>454</v>
      </c>
      <c r="G1666" s="4" t="s">
        <v>455</v>
      </c>
      <c r="H1666" s="4" t="s">
        <v>15</v>
      </c>
      <c r="I1666" s="4" t="s">
        <v>462</v>
      </c>
      <c r="J1666" s="4" t="s">
        <v>463</v>
      </c>
      <c r="K1666" s="4" t="s">
        <v>35</v>
      </c>
      <c r="L1666" s="4" t="s">
        <v>3742</v>
      </c>
      <c r="M1666" s="4" t="s">
        <v>3746</v>
      </c>
      <c r="N1666" s="4" t="s">
        <v>3747</v>
      </c>
      <c r="O1666" s="17">
        <f>INDEX('список ID из СУЭ с должностями'!$A:$F,MATCH(E1666,'список ID из СУЭ с должностями'!$B:$B,0),5)</f>
        <v>0</v>
      </c>
    </row>
    <row r="1667" spans="1:15" ht="409.5">
      <c r="A1667" s="3" t="s">
        <v>10</v>
      </c>
      <c r="B1667" s="3" t="s">
        <v>11</v>
      </c>
      <c r="C1667" s="4">
        <v>2026</v>
      </c>
      <c r="D1667" s="5" t="s">
        <v>12</v>
      </c>
      <c r="E1667" s="4">
        <v>235</v>
      </c>
      <c r="F1667" s="4" t="s">
        <v>454</v>
      </c>
      <c r="G1667" s="4" t="s">
        <v>455</v>
      </c>
      <c r="H1667" s="4" t="s">
        <v>15</v>
      </c>
      <c r="I1667" s="4" t="s">
        <v>464</v>
      </c>
      <c r="J1667" s="4" t="s">
        <v>465</v>
      </c>
      <c r="K1667" s="4" t="s">
        <v>66</v>
      </c>
      <c r="L1667" s="4" t="s">
        <v>3743</v>
      </c>
      <c r="M1667" s="4" t="s">
        <v>3746</v>
      </c>
      <c r="N1667" s="4" t="s">
        <v>3747</v>
      </c>
      <c r="O1667" s="17">
        <f>INDEX('список ID из СУЭ с должностями'!$A:$F,MATCH(E1667,'список ID из СУЭ с должностями'!$B:$B,0),5)</f>
        <v>0</v>
      </c>
    </row>
    <row r="1668" spans="1:15" ht="120">
      <c r="A1668" s="3" t="s">
        <v>10</v>
      </c>
      <c r="B1668" s="3" t="s">
        <v>11</v>
      </c>
      <c r="C1668" s="4">
        <v>2026</v>
      </c>
      <c r="D1668" s="5" t="s">
        <v>12</v>
      </c>
      <c r="E1668" s="4">
        <v>235</v>
      </c>
      <c r="F1668" s="4" t="s">
        <v>454</v>
      </c>
      <c r="G1668" s="4" t="s">
        <v>455</v>
      </c>
      <c r="H1668" s="4" t="s">
        <v>15</v>
      </c>
      <c r="I1668" s="4" t="s">
        <v>466</v>
      </c>
      <c r="J1668" s="4" t="s">
        <v>467</v>
      </c>
      <c r="K1668" s="4" t="s">
        <v>30</v>
      </c>
      <c r="L1668" s="4" t="s">
        <v>3742</v>
      </c>
      <c r="M1668" s="4" t="s">
        <v>3746</v>
      </c>
      <c r="N1668" s="4" t="s">
        <v>3747</v>
      </c>
      <c r="O1668" s="17">
        <f>INDEX('список ID из СУЭ с должностями'!$A:$F,MATCH(E1668,'список ID из СУЭ с должностями'!$B:$B,0),5)</f>
        <v>0</v>
      </c>
    </row>
    <row r="1669" spans="1:15" ht="120">
      <c r="A1669" s="3" t="s">
        <v>10</v>
      </c>
      <c r="B1669" s="3" t="s">
        <v>11</v>
      </c>
      <c r="C1669" s="4">
        <v>2026</v>
      </c>
      <c r="D1669" s="5" t="s">
        <v>12</v>
      </c>
      <c r="E1669" s="4">
        <v>235</v>
      </c>
      <c r="F1669" s="4" t="s">
        <v>454</v>
      </c>
      <c r="G1669" s="4" t="s">
        <v>455</v>
      </c>
      <c r="H1669" s="4" t="s">
        <v>15</v>
      </c>
      <c r="I1669" s="4" t="s">
        <v>468</v>
      </c>
      <c r="J1669" s="4" t="s">
        <v>79</v>
      </c>
      <c r="K1669" s="4" t="s">
        <v>30</v>
      </c>
      <c r="L1669" s="4" t="s">
        <v>3742</v>
      </c>
      <c r="M1669" s="4" t="s">
        <v>3746</v>
      </c>
      <c r="N1669" s="4" t="s">
        <v>3747</v>
      </c>
      <c r="O1669" s="17">
        <f>INDEX('список ID из СУЭ с должностями'!$A:$F,MATCH(E1669,'список ID из СУЭ с должностями'!$B:$B,0),5)</f>
        <v>0</v>
      </c>
    </row>
    <row r="1670" spans="1:15" ht="210">
      <c r="A1670" s="3" t="s">
        <v>10</v>
      </c>
      <c r="B1670" s="3" t="s">
        <v>11</v>
      </c>
      <c r="C1670" s="4">
        <v>2026</v>
      </c>
      <c r="D1670" s="5" t="s">
        <v>12</v>
      </c>
      <c r="E1670" s="4">
        <v>235</v>
      </c>
      <c r="F1670" s="4" t="s">
        <v>454</v>
      </c>
      <c r="G1670" s="4" t="s">
        <v>455</v>
      </c>
      <c r="H1670" s="4" t="s">
        <v>15</v>
      </c>
      <c r="I1670" s="4" t="s">
        <v>469</v>
      </c>
      <c r="J1670" s="4" t="s">
        <v>470</v>
      </c>
      <c r="K1670" s="4" t="s">
        <v>30</v>
      </c>
      <c r="L1670" s="4" t="s">
        <v>3743</v>
      </c>
      <c r="M1670" s="4" t="s">
        <v>3746</v>
      </c>
      <c r="N1670" s="4" t="s">
        <v>3747</v>
      </c>
      <c r="O1670" s="17">
        <f>INDEX('список ID из СУЭ с должностями'!$A:$F,MATCH(E1670,'список ID из СУЭ с должностями'!$B:$B,0),5)</f>
        <v>0</v>
      </c>
    </row>
    <row r="1671" spans="1:15" ht="120">
      <c r="A1671" s="3" t="s">
        <v>10</v>
      </c>
      <c r="B1671" s="3" t="s">
        <v>11</v>
      </c>
      <c r="C1671" s="4">
        <v>2026</v>
      </c>
      <c r="D1671" s="5" t="s">
        <v>12</v>
      </c>
      <c r="E1671" s="4">
        <v>235</v>
      </c>
      <c r="F1671" s="4" t="s">
        <v>454</v>
      </c>
      <c r="G1671" s="4" t="s">
        <v>455</v>
      </c>
      <c r="H1671" s="4" t="s">
        <v>15</v>
      </c>
      <c r="I1671" s="4" t="s">
        <v>471</v>
      </c>
      <c r="J1671" s="4" t="s">
        <v>463</v>
      </c>
      <c r="K1671" s="4" t="s">
        <v>188</v>
      </c>
      <c r="L1671" s="4" t="s">
        <v>3742</v>
      </c>
      <c r="M1671" s="4" t="s">
        <v>3746</v>
      </c>
      <c r="N1671" s="4" t="s">
        <v>3747</v>
      </c>
      <c r="O1671" s="17">
        <f>INDEX('список ID из СУЭ с должностями'!$A:$F,MATCH(E1671,'список ID из СУЭ с должностями'!$B:$B,0),5)</f>
        <v>0</v>
      </c>
    </row>
    <row r="1672" spans="1:15" ht="409.5">
      <c r="A1672" s="3" t="s">
        <v>10</v>
      </c>
      <c r="B1672" s="3" t="s">
        <v>11</v>
      </c>
      <c r="C1672" s="4">
        <v>2026</v>
      </c>
      <c r="D1672" s="5" t="s">
        <v>12</v>
      </c>
      <c r="E1672" s="4">
        <v>235</v>
      </c>
      <c r="F1672" s="4" t="s">
        <v>454</v>
      </c>
      <c r="G1672" s="4" t="s">
        <v>455</v>
      </c>
      <c r="H1672" s="4" t="s">
        <v>15</v>
      </c>
      <c r="I1672" s="4" t="s">
        <v>472</v>
      </c>
      <c r="J1672" s="4" t="s">
        <v>473</v>
      </c>
      <c r="K1672" s="4" t="s">
        <v>25</v>
      </c>
      <c r="L1672" s="4" t="s">
        <v>3743</v>
      </c>
      <c r="M1672" s="4" t="s">
        <v>3746</v>
      </c>
      <c r="N1672" s="4" t="s">
        <v>3747</v>
      </c>
      <c r="O1672" s="17">
        <f>INDEX('список ID из СУЭ с должностями'!$A:$F,MATCH(E1672,'список ID из СУЭ с должностями'!$B:$B,0),5)</f>
        <v>0</v>
      </c>
    </row>
    <row r="1673" spans="1:15" ht="409.5">
      <c r="A1673" s="3" t="s">
        <v>10</v>
      </c>
      <c r="B1673" s="3" t="s">
        <v>11</v>
      </c>
      <c r="C1673" s="4">
        <v>2026</v>
      </c>
      <c r="D1673" s="5" t="s">
        <v>12</v>
      </c>
      <c r="E1673" s="4">
        <v>236</v>
      </c>
      <c r="F1673" s="4" t="s">
        <v>39</v>
      </c>
      <c r="G1673" s="4" t="s">
        <v>1442</v>
      </c>
      <c r="H1673" s="4" t="s">
        <v>15</v>
      </c>
      <c r="I1673" s="4" t="s">
        <v>2023</v>
      </c>
      <c r="J1673" s="4" t="s">
        <v>2024</v>
      </c>
      <c r="K1673" s="4" t="s">
        <v>35</v>
      </c>
      <c r="L1673" s="4" t="s">
        <v>3743</v>
      </c>
      <c r="M1673" s="4" t="s">
        <v>3746</v>
      </c>
      <c r="N1673" s="4" t="s">
        <v>3747</v>
      </c>
      <c r="O1673" s="17" t="str">
        <f>INDEX('список ID из СУЭ с должностями'!$A:$F,MATCH(E1673,'список ID из СУЭ с должностями'!$B:$B,0),5)</f>
        <v>НС</v>
      </c>
    </row>
    <row r="1674" spans="1:15" ht="285">
      <c r="A1674" s="3" t="s">
        <v>10</v>
      </c>
      <c r="B1674" s="3" t="s">
        <v>11</v>
      </c>
      <c r="C1674" s="4">
        <v>2026</v>
      </c>
      <c r="D1674" s="5" t="s">
        <v>12</v>
      </c>
      <c r="E1674" s="4">
        <v>236</v>
      </c>
      <c r="F1674" s="4" t="s">
        <v>39</v>
      </c>
      <c r="G1674" s="4" t="s">
        <v>1442</v>
      </c>
      <c r="H1674" s="4" t="s">
        <v>15</v>
      </c>
      <c r="I1674" s="4" t="s">
        <v>2025</v>
      </c>
      <c r="J1674" s="4" t="s">
        <v>2026</v>
      </c>
      <c r="K1674" s="4" t="s">
        <v>25</v>
      </c>
      <c r="L1674" s="4" t="s">
        <v>3743</v>
      </c>
      <c r="M1674" s="4" t="s">
        <v>3746</v>
      </c>
      <c r="N1674" s="4" t="s">
        <v>3747</v>
      </c>
      <c r="O1674" s="17" t="str">
        <f>INDEX('список ID из СУЭ с должностями'!$A:$F,MATCH(E1674,'список ID из СУЭ с должностями'!$B:$B,0),5)</f>
        <v>НС</v>
      </c>
    </row>
    <row r="1675" spans="1:15" ht="195">
      <c r="A1675" s="3" t="s">
        <v>10</v>
      </c>
      <c r="B1675" s="3" t="s">
        <v>11</v>
      </c>
      <c r="C1675" s="4">
        <v>2026</v>
      </c>
      <c r="D1675" s="5" t="s">
        <v>12</v>
      </c>
      <c r="E1675" s="4">
        <v>236</v>
      </c>
      <c r="F1675" s="4" t="s">
        <v>39</v>
      </c>
      <c r="G1675" s="4" t="s">
        <v>1442</v>
      </c>
      <c r="H1675" s="4" t="s">
        <v>15</v>
      </c>
      <c r="I1675" s="4" t="s">
        <v>2027</v>
      </c>
      <c r="J1675" s="4" t="s">
        <v>2028</v>
      </c>
      <c r="K1675" s="4" t="s">
        <v>66</v>
      </c>
      <c r="L1675" s="4" t="s">
        <v>3743</v>
      </c>
      <c r="M1675" s="4" t="s">
        <v>3746</v>
      </c>
      <c r="N1675" s="4" t="s">
        <v>3747</v>
      </c>
      <c r="O1675" s="17" t="str">
        <f>INDEX('список ID из СУЭ с должностями'!$A:$F,MATCH(E1675,'список ID из СУЭ с должностями'!$B:$B,0),5)</f>
        <v>НС</v>
      </c>
    </row>
    <row r="1676" spans="1:15" ht="345">
      <c r="A1676" s="3" t="s">
        <v>10</v>
      </c>
      <c r="B1676" s="3" t="s">
        <v>11</v>
      </c>
      <c r="C1676" s="4">
        <v>2026</v>
      </c>
      <c r="D1676" s="5" t="s">
        <v>12</v>
      </c>
      <c r="E1676" s="4">
        <v>236</v>
      </c>
      <c r="F1676" s="4" t="s">
        <v>39</v>
      </c>
      <c r="G1676" s="4" t="s">
        <v>1442</v>
      </c>
      <c r="H1676" s="4" t="s">
        <v>15</v>
      </c>
      <c r="I1676" s="4" t="s">
        <v>2029</v>
      </c>
      <c r="J1676" s="4" t="s">
        <v>2030</v>
      </c>
      <c r="K1676" s="4" t="s">
        <v>55</v>
      </c>
      <c r="L1676" s="4" t="s">
        <v>3743</v>
      </c>
      <c r="M1676" s="4" t="s">
        <v>3746</v>
      </c>
      <c r="N1676" s="4" t="s">
        <v>3747</v>
      </c>
      <c r="O1676" s="17" t="str">
        <f>INDEX('список ID из СУЭ с должностями'!$A:$F,MATCH(E1676,'список ID из СУЭ с должностями'!$B:$B,0),5)</f>
        <v>НС</v>
      </c>
    </row>
    <row r="1677" spans="1:15" ht="240">
      <c r="A1677" s="3" t="s">
        <v>10</v>
      </c>
      <c r="B1677" s="3" t="s">
        <v>11</v>
      </c>
      <c r="C1677" s="4">
        <v>2026</v>
      </c>
      <c r="D1677" s="5" t="s">
        <v>12</v>
      </c>
      <c r="E1677" s="4">
        <v>236</v>
      </c>
      <c r="F1677" s="4" t="s">
        <v>39</v>
      </c>
      <c r="G1677" s="4" t="s">
        <v>1442</v>
      </c>
      <c r="H1677" s="4" t="s">
        <v>15</v>
      </c>
      <c r="I1677" s="4" t="s">
        <v>2031</v>
      </c>
      <c r="J1677" s="4" t="s">
        <v>2032</v>
      </c>
      <c r="K1677" s="4" t="s">
        <v>38</v>
      </c>
      <c r="L1677" s="4" t="s">
        <v>3743</v>
      </c>
      <c r="M1677" s="4" t="s">
        <v>3746</v>
      </c>
      <c r="N1677" s="4" t="s">
        <v>3747</v>
      </c>
      <c r="O1677" s="17" t="str">
        <f>INDEX('список ID из СУЭ с должностями'!$A:$F,MATCH(E1677,'список ID из СУЭ с должностями'!$B:$B,0),5)</f>
        <v>НС</v>
      </c>
    </row>
    <row r="1678" spans="1:15" ht="285">
      <c r="A1678" s="3" t="s">
        <v>10</v>
      </c>
      <c r="B1678" s="3" t="s">
        <v>11</v>
      </c>
      <c r="C1678" s="4">
        <v>2026</v>
      </c>
      <c r="D1678" s="5" t="s">
        <v>12</v>
      </c>
      <c r="E1678" s="4">
        <v>236</v>
      </c>
      <c r="F1678" s="4" t="s">
        <v>39</v>
      </c>
      <c r="G1678" s="4" t="s">
        <v>1442</v>
      </c>
      <c r="H1678" s="4" t="s">
        <v>15</v>
      </c>
      <c r="I1678" s="4" t="s">
        <v>984</v>
      </c>
      <c r="J1678" s="4" t="s">
        <v>2033</v>
      </c>
      <c r="K1678" s="4" t="s">
        <v>66</v>
      </c>
      <c r="L1678" s="4" t="s">
        <v>3743</v>
      </c>
      <c r="M1678" s="4" t="s">
        <v>3746</v>
      </c>
      <c r="N1678" s="4" t="s">
        <v>3747</v>
      </c>
      <c r="O1678" s="17" t="str">
        <f>INDEX('список ID из СУЭ с должностями'!$A:$F,MATCH(E1678,'список ID из СУЭ с должностями'!$B:$B,0),5)</f>
        <v>НС</v>
      </c>
    </row>
    <row r="1679" spans="1:15" ht="225">
      <c r="A1679" s="3" t="s">
        <v>10</v>
      </c>
      <c r="B1679" s="3" t="s">
        <v>11</v>
      </c>
      <c r="C1679" s="4">
        <v>2026</v>
      </c>
      <c r="D1679" s="5" t="s">
        <v>12</v>
      </c>
      <c r="E1679" s="4">
        <v>236</v>
      </c>
      <c r="F1679" s="4" t="s">
        <v>39</v>
      </c>
      <c r="G1679" s="4" t="s">
        <v>1442</v>
      </c>
      <c r="H1679" s="4" t="s">
        <v>15</v>
      </c>
      <c r="I1679" s="4" t="s">
        <v>189</v>
      </c>
      <c r="J1679" s="4" t="s">
        <v>2034</v>
      </c>
      <c r="K1679" s="4" t="s">
        <v>66</v>
      </c>
      <c r="L1679" s="4" t="s">
        <v>3743</v>
      </c>
      <c r="M1679" s="4" t="s">
        <v>3746</v>
      </c>
      <c r="N1679" s="4" t="s">
        <v>3747</v>
      </c>
      <c r="O1679" s="17" t="str">
        <f>INDEX('список ID из СУЭ с должностями'!$A:$F,MATCH(E1679,'список ID из СУЭ с должностями'!$B:$B,0),5)</f>
        <v>НС</v>
      </c>
    </row>
    <row r="1680" spans="1:15" ht="120">
      <c r="A1680" s="3" t="s">
        <v>10</v>
      </c>
      <c r="B1680" s="3" t="s">
        <v>11</v>
      </c>
      <c r="C1680" s="4">
        <v>2026</v>
      </c>
      <c r="D1680" s="5" t="s">
        <v>12</v>
      </c>
      <c r="E1680" s="4">
        <v>236</v>
      </c>
      <c r="F1680" s="4" t="s">
        <v>39</v>
      </c>
      <c r="G1680" s="4" t="s">
        <v>1442</v>
      </c>
      <c r="H1680" s="4" t="s">
        <v>15</v>
      </c>
      <c r="I1680" s="4" t="s">
        <v>198</v>
      </c>
      <c r="J1680" s="4" t="s">
        <v>2035</v>
      </c>
      <c r="K1680" s="4" t="s">
        <v>20</v>
      </c>
      <c r="L1680" s="4" t="s">
        <v>3743</v>
      </c>
      <c r="M1680" s="4" t="s">
        <v>3746</v>
      </c>
      <c r="N1680" s="4" t="s">
        <v>3747</v>
      </c>
      <c r="O1680" s="17" t="str">
        <f>INDEX('список ID из СУЭ с должностями'!$A:$F,MATCH(E1680,'список ID из СУЭ с должностями'!$B:$B,0),5)</f>
        <v>НС</v>
      </c>
    </row>
    <row r="1681" spans="1:15" ht="60">
      <c r="A1681" s="3" t="s">
        <v>10</v>
      </c>
      <c r="B1681" s="3" t="s">
        <v>11</v>
      </c>
      <c r="C1681" s="4">
        <v>2026</v>
      </c>
      <c r="D1681" s="5" t="s">
        <v>12</v>
      </c>
      <c r="E1681" s="4">
        <v>236</v>
      </c>
      <c r="F1681" s="4" t="s">
        <v>39</v>
      </c>
      <c r="G1681" s="4" t="s">
        <v>1442</v>
      </c>
      <c r="H1681" s="4" t="s">
        <v>21</v>
      </c>
      <c r="I1681" s="4" t="s">
        <v>2036</v>
      </c>
      <c r="J1681" s="4" t="s">
        <v>2037</v>
      </c>
      <c r="K1681" s="4" t="s">
        <v>66</v>
      </c>
      <c r="L1681" s="4" t="s">
        <v>3743</v>
      </c>
      <c r="M1681" s="4" t="s">
        <v>3746</v>
      </c>
      <c r="N1681" s="4" t="s">
        <v>3747</v>
      </c>
      <c r="O1681" s="17" t="str">
        <f>INDEX('список ID из СУЭ с должностями'!$A:$F,MATCH(E1681,'список ID из СУЭ с должностями'!$B:$B,0),5)</f>
        <v>НС</v>
      </c>
    </row>
    <row r="1682" spans="1:15" ht="60">
      <c r="A1682" s="3" t="s">
        <v>10</v>
      </c>
      <c r="B1682" s="3" t="s">
        <v>11</v>
      </c>
      <c r="C1682" s="4">
        <v>2026</v>
      </c>
      <c r="D1682" s="5" t="s">
        <v>12</v>
      </c>
      <c r="E1682" s="4">
        <v>237</v>
      </c>
      <c r="F1682" s="4" t="s">
        <v>280</v>
      </c>
      <c r="G1682" s="4" t="s">
        <v>1700</v>
      </c>
      <c r="H1682" s="4" t="s">
        <v>15</v>
      </c>
      <c r="I1682" s="4" t="s">
        <v>62</v>
      </c>
      <c r="J1682" s="4" t="s">
        <v>2038</v>
      </c>
      <c r="K1682" s="4" t="s">
        <v>66</v>
      </c>
      <c r="L1682" s="4" t="s">
        <v>3743</v>
      </c>
      <c r="M1682" s="4" t="s">
        <v>3746</v>
      </c>
      <c r="N1682" s="4" t="s">
        <v>3747</v>
      </c>
      <c r="O1682" s="17" t="str">
        <f>INDEX('список ID из СУЭ с должностями'!$A:$F,MATCH(E1682,'список ID из СУЭ с должностями'!$B:$B,0),5)</f>
        <v>ВИП</v>
      </c>
    </row>
    <row r="1683" spans="1:15" ht="60">
      <c r="A1683" s="3" t="s">
        <v>10</v>
      </c>
      <c r="B1683" s="3" t="s">
        <v>11</v>
      </c>
      <c r="C1683" s="4">
        <v>2026</v>
      </c>
      <c r="D1683" s="5" t="s">
        <v>12</v>
      </c>
      <c r="E1683" s="4">
        <v>237</v>
      </c>
      <c r="F1683" s="4" t="s">
        <v>280</v>
      </c>
      <c r="G1683" s="4" t="s">
        <v>1700</v>
      </c>
      <c r="H1683" s="4" t="s">
        <v>21</v>
      </c>
      <c r="I1683" s="4" t="s">
        <v>2039</v>
      </c>
      <c r="J1683" s="4" t="s">
        <v>2040</v>
      </c>
      <c r="K1683" s="4" t="s">
        <v>55</v>
      </c>
      <c r="L1683" s="4" t="s">
        <v>3743</v>
      </c>
      <c r="M1683" s="4" t="s">
        <v>3746</v>
      </c>
      <c r="N1683" s="4" t="s">
        <v>3747</v>
      </c>
      <c r="O1683" s="17" t="str">
        <f>INDEX('список ID из СУЭ с должностями'!$A:$F,MATCH(E1683,'список ID из СУЭ с должностями'!$B:$B,0),5)</f>
        <v>ВИП</v>
      </c>
    </row>
    <row r="1684" spans="1:15" ht="60">
      <c r="A1684" s="3" t="s">
        <v>10</v>
      </c>
      <c r="B1684" s="3" t="s">
        <v>11</v>
      </c>
      <c r="C1684" s="4">
        <v>2026</v>
      </c>
      <c r="D1684" s="5" t="s">
        <v>12</v>
      </c>
      <c r="E1684" s="4">
        <v>237</v>
      </c>
      <c r="F1684" s="4" t="s">
        <v>280</v>
      </c>
      <c r="G1684" s="4" t="s">
        <v>1700</v>
      </c>
      <c r="H1684" s="4" t="s">
        <v>21</v>
      </c>
      <c r="I1684" s="4" t="s">
        <v>2041</v>
      </c>
      <c r="J1684" s="4" t="s">
        <v>2042</v>
      </c>
      <c r="K1684" s="4" t="s">
        <v>52</v>
      </c>
      <c r="L1684" s="4" t="s">
        <v>3742</v>
      </c>
      <c r="M1684" s="4" t="s">
        <v>3746</v>
      </c>
      <c r="N1684" s="4" t="s">
        <v>3747</v>
      </c>
      <c r="O1684" s="17" t="str">
        <f>INDEX('список ID из СУЭ с должностями'!$A:$F,MATCH(E1684,'список ID из СУЭ с должностями'!$B:$B,0),5)</f>
        <v>ВИП</v>
      </c>
    </row>
    <row r="1685" spans="1:15" ht="60">
      <c r="A1685" s="3" t="s">
        <v>10</v>
      </c>
      <c r="B1685" s="3" t="s">
        <v>11</v>
      </c>
      <c r="C1685" s="4">
        <v>2026</v>
      </c>
      <c r="D1685" s="5" t="s">
        <v>12</v>
      </c>
      <c r="E1685" s="4">
        <v>237</v>
      </c>
      <c r="F1685" s="4" t="s">
        <v>280</v>
      </c>
      <c r="G1685" s="4" t="s">
        <v>1700</v>
      </c>
      <c r="H1685" s="4" t="s">
        <v>21</v>
      </c>
      <c r="I1685" s="4" t="s">
        <v>2043</v>
      </c>
      <c r="J1685" s="4" t="s">
        <v>2044</v>
      </c>
      <c r="K1685" s="4" t="s">
        <v>30</v>
      </c>
      <c r="L1685" s="4" t="s">
        <v>3742</v>
      </c>
      <c r="M1685" s="4" t="s">
        <v>3746</v>
      </c>
      <c r="N1685" s="4" t="s">
        <v>3747</v>
      </c>
      <c r="O1685" s="17" t="str">
        <f>INDEX('список ID из СУЭ с должностями'!$A:$F,MATCH(E1685,'список ID из СУЭ с должностями'!$B:$B,0),5)</f>
        <v>ВИП</v>
      </c>
    </row>
    <row r="1686" spans="1:15" ht="60">
      <c r="A1686" s="3" t="s">
        <v>10</v>
      </c>
      <c r="B1686" s="3" t="s">
        <v>11</v>
      </c>
      <c r="C1686" s="4">
        <v>2026</v>
      </c>
      <c r="D1686" s="5" t="s">
        <v>12</v>
      </c>
      <c r="E1686" s="4">
        <v>237</v>
      </c>
      <c r="F1686" s="4" t="s">
        <v>280</v>
      </c>
      <c r="G1686" s="4" t="s">
        <v>1700</v>
      </c>
      <c r="H1686" s="4" t="s">
        <v>21</v>
      </c>
      <c r="I1686" s="4" t="s">
        <v>56</v>
      </c>
      <c r="J1686" s="4" t="s">
        <v>2045</v>
      </c>
      <c r="K1686" s="4" t="s">
        <v>55</v>
      </c>
      <c r="L1686" s="4" t="s">
        <v>3743</v>
      </c>
      <c r="M1686" s="4" t="s">
        <v>3746</v>
      </c>
      <c r="N1686" s="4" t="s">
        <v>3747</v>
      </c>
      <c r="O1686" s="17" t="str">
        <f>INDEX('список ID из СУЭ с должностями'!$A:$F,MATCH(E1686,'список ID из СУЭ с должностями'!$B:$B,0),5)</f>
        <v>ВИП</v>
      </c>
    </row>
    <row r="1687" spans="1:15" ht="60">
      <c r="A1687" s="3" t="s">
        <v>10</v>
      </c>
      <c r="B1687" s="3" t="s">
        <v>11</v>
      </c>
      <c r="C1687" s="4">
        <v>2026</v>
      </c>
      <c r="D1687" s="5" t="s">
        <v>12</v>
      </c>
      <c r="E1687" s="4">
        <v>237</v>
      </c>
      <c r="F1687" s="4" t="s">
        <v>280</v>
      </c>
      <c r="G1687" s="4" t="s">
        <v>1700</v>
      </c>
      <c r="H1687" s="4" t="s">
        <v>21</v>
      </c>
      <c r="I1687" s="4" t="s">
        <v>2046</v>
      </c>
      <c r="J1687" s="4" t="s">
        <v>65</v>
      </c>
      <c r="K1687" s="4" t="s">
        <v>66</v>
      </c>
      <c r="L1687" s="4" t="s">
        <v>3742</v>
      </c>
      <c r="M1687" s="4" t="s">
        <v>3746</v>
      </c>
      <c r="N1687" s="4" t="s">
        <v>3747</v>
      </c>
      <c r="O1687" s="17" t="str">
        <f>INDEX('список ID из СУЭ с должностями'!$A:$F,MATCH(E1687,'список ID из СУЭ с должностями'!$B:$B,0),5)</f>
        <v>ВИП</v>
      </c>
    </row>
    <row r="1688" spans="1:15" ht="240">
      <c r="A1688" s="3" t="s">
        <v>10</v>
      </c>
      <c r="B1688" s="3" t="s">
        <v>11</v>
      </c>
      <c r="C1688" s="4">
        <v>2026</v>
      </c>
      <c r="D1688" s="5" t="s">
        <v>12</v>
      </c>
      <c r="E1688" s="4">
        <v>237</v>
      </c>
      <c r="F1688" s="4" t="s">
        <v>280</v>
      </c>
      <c r="G1688" s="4" t="s">
        <v>1700</v>
      </c>
      <c r="H1688" s="4" t="s">
        <v>15</v>
      </c>
      <c r="I1688" s="4" t="s">
        <v>48</v>
      </c>
      <c r="J1688" s="4" t="s">
        <v>2047</v>
      </c>
      <c r="K1688" s="4" t="s">
        <v>35</v>
      </c>
      <c r="L1688" s="4" t="s">
        <v>3743</v>
      </c>
      <c r="M1688" s="4" t="s">
        <v>3746</v>
      </c>
      <c r="N1688" s="4" t="s">
        <v>3747</v>
      </c>
      <c r="O1688" s="17" t="str">
        <f>INDEX('список ID из СУЭ с должностями'!$A:$F,MATCH(E1688,'список ID из СУЭ с должностями'!$B:$B,0),5)</f>
        <v>ВИП</v>
      </c>
    </row>
    <row r="1689" spans="1:15" ht="60">
      <c r="A1689" s="3" t="s">
        <v>10</v>
      </c>
      <c r="B1689" s="3" t="s">
        <v>11</v>
      </c>
      <c r="C1689" s="4">
        <v>2026</v>
      </c>
      <c r="D1689" s="5" t="s">
        <v>12</v>
      </c>
      <c r="E1689" s="4">
        <v>237</v>
      </c>
      <c r="F1689" s="4" t="s">
        <v>280</v>
      </c>
      <c r="G1689" s="4" t="s">
        <v>1700</v>
      </c>
      <c r="H1689" s="4" t="s">
        <v>21</v>
      </c>
      <c r="I1689" s="4" t="s">
        <v>2048</v>
      </c>
      <c r="J1689" s="4" t="s">
        <v>2049</v>
      </c>
      <c r="K1689" s="4" t="s">
        <v>151</v>
      </c>
      <c r="L1689" s="4" t="s">
        <v>3742</v>
      </c>
      <c r="M1689" s="4" t="s">
        <v>3746</v>
      </c>
      <c r="N1689" s="4" t="s">
        <v>3747</v>
      </c>
      <c r="O1689" s="17" t="str">
        <f>INDEX('список ID из СУЭ с должностями'!$A:$F,MATCH(E1689,'список ID из СУЭ с должностями'!$B:$B,0),5)</f>
        <v>ВИП</v>
      </c>
    </row>
    <row r="1690" spans="1:15" ht="150">
      <c r="A1690" s="3" t="s">
        <v>10</v>
      </c>
      <c r="B1690" s="3" t="s">
        <v>11</v>
      </c>
      <c r="C1690" s="4">
        <v>2026</v>
      </c>
      <c r="D1690" s="5" t="s">
        <v>12</v>
      </c>
      <c r="E1690" s="4">
        <v>237</v>
      </c>
      <c r="F1690" s="4" t="s">
        <v>280</v>
      </c>
      <c r="G1690" s="4" t="s">
        <v>1700</v>
      </c>
      <c r="H1690" s="4" t="s">
        <v>41</v>
      </c>
      <c r="I1690" s="4" t="s">
        <v>42</v>
      </c>
      <c r="J1690" s="4" t="s">
        <v>43</v>
      </c>
      <c r="K1690" s="4" t="s">
        <v>25</v>
      </c>
      <c r="L1690" s="4" t="s">
        <v>3743</v>
      </c>
      <c r="M1690" s="4" t="s">
        <v>3746</v>
      </c>
      <c r="N1690" s="4" t="s">
        <v>3747</v>
      </c>
      <c r="O1690" s="17" t="str">
        <f>INDEX('список ID из СУЭ с должностями'!$A:$F,MATCH(E1690,'список ID из СУЭ с должностями'!$B:$B,0),5)</f>
        <v>ВИП</v>
      </c>
    </row>
    <row r="1691" spans="1:15" ht="60">
      <c r="A1691" s="3" t="s">
        <v>10</v>
      </c>
      <c r="B1691" s="3" t="s">
        <v>11</v>
      </c>
      <c r="C1691" s="4">
        <v>2026</v>
      </c>
      <c r="D1691" s="5" t="s">
        <v>12</v>
      </c>
      <c r="E1691" s="4">
        <v>238</v>
      </c>
      <c r="F1691" s="4" t="s">
        <v>44</v>
      </c>
      <c r="G1691" s="4" t="s">
        <v>506</v>
      </c>
      <c r="H1691" s="4" t="s">
        <v>15</v>
      </c>
      <c r="I1691" s="4" t="s">
        <v>700</v>
      </c>
      <c r="J1691" s="4" t="s">
        <v>200</v>
      </c>
      <c r="K1691" s="4" t="s">
        <v>30</v>
      </c>
      <c r="L1691" s="4" t="s">
        <v>3742</v>
      </c>
      <c r="M1691" s="4" t="s">
        <v>3746</v>
      </c>
      <c r="N1691" s="4" t="s">
        <v>3747</v>
      </c>
      <c r="O1691" s="17" t="str">
        <f>INDEX('список ID из СУЭ с должностями'!$A:$F,MATCH(E1691,'список ID из СУЭ с должностями'!$B:$B,0),5)</f>
        <v>НП</v>
      </c>
    </row>
    <row r="1692" spans="1:15" ht="225">
      <c r="A1692" s="3" t="s">
        <v>10</v>
      </c>
      <c r="B1692" s="3" t="s">
        <v>11</v>
      </c>
      <c r="C1692" s="4">
        <v>2026</v>
      </c>
      <c r="D1692" s="5" t="s">
        <v>12</v>
      </c>
      <c r="E1692" s="4">
        <v>238</v>
      </c>
      <c r="F1692" s="4" t="s">
        <v>44</v>
      </c>
      <c r="G1692" s="4" t="s">
        <v>506</v>
      </c>
      <c r="H1692" s="4" t="s">
        <v>15</v>
      </c>
      <c r="I1692" s="4" t="s">
        <v>2050</v>
      </c>
      <c r="J1692" s="4" t="s">
        <v>2051</v>
      </c>
      <c r="K1692" s="4" t="s">
        <v>20</v>
      </c>
      <c r="L1692" s="4" t="s">
        <v>3743</v>
      </c>
      <c r="M1692" s="4" t="s">
        <v>3746</v>
      </c>
      <c r="N1692" s="4" t="s">
        <v>3747</v>
      </c>
      <c r="O1692" s="17" t="str">
        <f>INDEX('список ID из СУЭ с должностями'!$A:$F,MATCH(E1692,'список ID из СУЭ с должностями'!$B:$B,0),5)</f>
        <v>НП</v>
      </c>
    </row>
    <row r="1693" spans="1:15" ht="60">
      <c r="A1693" s="3" t="s">
        <v>10</v>
      </c>
      <c r="B1693" s="3" t="s">
        <v>11</v>
      </c>
      <c r="C1693" s="4">
        <v>2026</v>
      </c>
      <c r="D1693" s="5" t="s">
        <v>12</v>
      </c>
      <c r="E1693" s="4">
        <v>238</v>
      </c>
      <c r="F1693" s="4" t="s">
        <v>44</v>
      </c>
      <c r="G1693" s="4" t="s">
        <v>506</v>
      </c>
      <c r="H1693" s="4" t="s">
        <v>15</v>
      </c>
      <c r="I1693" s="4" t="s">
        <v>2052</v>
      </c>
      <c r="J1693" s="4" t="s">
        <v>182</v>
      </c>
      <c r="K1693" s="4" t="s">
        <v>38</v>
      </c>
      <c r="L1693" s="4" t="s">
        <v>3742</v>
      </c>
      <c r="M1693" s="4" t="s">
        <v>3746</v>
      </c>
      <c r="N1693" s="4" t="s">
        <v>3747</v>
      </c>
      <c r="O1693" s="17" t="str">
        <f>INDEX('список ID из СУЭ с должностями'!$A:$F,MATCH(E1693,'список ID из СУЭ с должностями'!$B:$B,0),5)</f>
        <v>НП</v>
      </c>
    </row>
    <row r="1694" spans="1:15" ht="105">
      <c r="A1694" s="3" t="s">
        <v>10</v>
      </c>
      <c r="B1694" s="3" t="s">
        <v>11</v>
      </c>
      <c r="C1694" s="4">
        <v>2026</v>
      </c>
      <c r="D1694" s="5" t="s">
        <v>12</v>
      </c>
      <c r="E1694" s="4">
        <v>238</v>
      </c>
      <c r="F1694" s="4" t="s">
        <v>44</v>
      </c>
      <c r="G1694" s="4" t="s">
        <v>506</v>
      </c>
      <c r="H1694" s="4" t="s">
        <v>15</v>
      </c>
      <c r="I1694" s="4" t="s">
        <v>1763</v>
      </c>
      <c r="J1694" s="4" t="s">
        <v>1764</v>
      </c>
      <c r="K1694" s="4" t="s">
        <v>25</v>
      </c>
      <c r="L1694" s="4" t="s">
        <v>3743</v>
      </c>
      <c r="M1694" s="4" t="s">
        <v>3746</v>
      </c>
      <c r="N1694" s="4" t="s">
        <v>3747</v>
      </c>
      <c r="O1694" s="17" t="str">
        <f>INDEX('список ID из СУЭ с должностями'!$A:$F,MATCH(E1694,'список ID из СУЭ с должностями'!$B:$B,0),5)</f>
        <v>НП</v>
      </c>
    </row>
    <row r="1695" spans="1:15" ht="45">
      <c r="A1695" s="3" t="s">
        <v>10</v>
      </c>
      <c r="B1695" s="3" t="s">
        <v>11</v>
      </c>
      <c r="C1695" s="4">
        <v>2026</v>
      </c>
      <c r="D1695" s="5" t="s">
        <v>12</v>
      </c>
      <c r="E1695" s="4">
        <v>238</v>
      </c>
      <c r="F1695" s="4" t="s">
        <v>44</v>
      </c>
      <c r="G1695" s="4" t="s">
        <v>506</v>
      </c>
      <c r="H1695" s="4" t="s">
        <v>15</v>
      </c>
      <c r="I1695" s="4" t="s">
        <v>2053</v>
      </c>
      <c r="J1695" s="4" t="s">
        <v>187</v>
      </c>
      <c r="K1695" s="4" t="s">
        <v>35</v>
      </c>
      <c r="L1695" s="4" t="s">
        <v>3743</v>
      </c>
      <c r="M1695" s="4" t="s">
        <v>3746</v>
      </c>
      <c r="N1695" s="4" t="s">
        <v>3747</v>
      </c>
      <c r="O1695" s="17" t="str">
        <f>INDEX('список ID из СУЭ с должностями'!$A:$F,MATCH(E1695,'список ID из СУЭ с должностями'!$B:$B,0),5)</f>
        <v>НП</v>
      </c>
    </row>
    <row r="1696" spans="1:15" ht="75">
      <c r="A1696" s="3" t="s">
        <v>10</v>
      </c>
      <c r="B1696" s="3" t="s">
        <v>11</v>
      </c>
      <c r="C1696" s="4">
        <v>2026</v>
      </c>
      <c r="D1696" s="5" t="s">
        <v>12</v>
      </c>
      <c r="E1696" s="4">
        <v>239</v>
      </c>
      <c r="F1696" s="4" t="s">
        <v>67</v>
      </c>
      <c r="G1696" s="4" t="s">
        <v>85</v>
      </c>
      <c r="H1696" s="4" t="s">
        <v>15</v>
      </c>
      <c r="I1696" s="4" t="s">
        <v>86</v>
      </c>
      <c r="J1696" s="4" t="s">
        <v>2054</v>
      </c>
      <c r="K1696" s="4" t="s">
        <v>35</v>
      </c>
      <c r="L1696" s="4" t="s">
        <v>3743</v>
      </c>
      <c r="M1696" s="4" t="s">
        <v>3746</v>
      </c>
      <c r="N1696" s="4" t="s">
        <v>3747</v>
      </c>
      <c r="O1696" s="17">
        <f>INDEX('список ID из СУЭ с должностями'!$A:$F,MATCH(E1696,'список ID из СУЭ с должностями'!$B:$B,0),5)</f>
        <v>0</v>
      </c>
    </row>
    <row r="1697" spans="1:15" ht="75">
      <c r="A1697" s="3" t="s">
        <v>10</v>
      </c>
      <c r="B1697" s="3" t="s">
        <v>11</v>
      </c>
      <c r="C1697" s="4">
        <v>2026</v>
      </c>
      <c r="D1697" s="5" t="s">
        <v>12</v>
      </c>
      <c r="E1697" s="4">
        <v>239</v>
      </c>
      <c r="F1697" s="4" t="s">
        <v>67</v>
      </c>
      <c r="G1697" s="4" t="s">
        <v>85</v>
      </c>
      <c r="H1697" s="4" t="s">
        <v>21</v>
      </c>
      <c r="I1697" s="4" t="s">
        <v>1116</v>
      </c>
      <c r="J1697" s="4" t="s">
        <v>2055</v>
      </c>
      <c r="K1697" s="4" t="s">
        <v>30</v>
      </c>
      <c r="L1697" s="4" t="s">
        <v>3743</v>
      </c>
      <c r="M1697" s="4" t="s">
        <v>3746</v>
      </c>
      <c r="N1697" s="4" t="s">
        <v>3747</v>
      </c>
      <c r="O1697" s="17">
        <f>INDEX('список ID из СУЭ с должностями'!$A:$F,MATCH(E1697,'список ID из СУЭ с должностями'!$B:$B,0),5)</f>
        <v>0</v>
      </c>
    </row>
    <row r="1698" spans="1:15" ht="195">
      <c r="A1698" s="3" t="s">
        <v>10</v>
      </c>
      <c r="B1698" s="3" t="s">
        <v>11</v>
      </c>
      <c r="C1698" s="4">
        <v>2026</v>
      </c>
      <c r="D1698" s="5" t="s">
        <v>12</v>
      </c>
      <c r="E1698" s="4">
        <v>239</v>
      </c>
      <c r="F1698" s="4" t="s">
        <v>67</v>
      </c>
      <c r="G1698" s="4" t="s">
        <v>85</v>
      </c>
      <c r="H1698" s="4" t="s">
        <v>21</v>
      </c>
      <c r="I1698" s="4" t="s">
        <v>1123</v>
      </c>
      <c r="J1698" s="4" t="s">
        <v>92</v>
      </c>
      <c r="K1698" s="4" t="s">
        <v>30</v>
      </c>
      <c r="L1698" s="4" t="s">
        <v>3743</v>
      </c>
      <c r="M1698" s="4" t="s">
        <v>3746</v>
      </c>
      <c r="N1698" s="4" t="s">
        <v>3747</v>
      </c>
      <c r="O1698" s="17">
        <f>INDEX('список ID из СУЭ с должностями'!$A:$F,MATCH(E1698,'список ID из СУЭ с должностями'!$B:$B,0),5)</f>
        <v>0</v>
      </c>
    </row>
    <row r="1699" spans="1:15" ht="75">
      <c r="A1699" s="3" t="s">
        <v>10</v>
      </c>
      <c r="B1699" s="3" t="s">
        <v>11</v>
      </c>
      <c r="C1699" s="4">
        <v>2026</v>
      </c>
      <c r="D1699" s="5" t="s">
        <v>12</v>
      </c>
      <c r="E1699" s="4">
        <v>239</v>
      </c>
      <c r="F1699" s="4" t="s">
        <v>67</v>
      </c>
      <c r="G1699" s="4" t="s">
        <v>85</v>
      </c>
      <c r="H1699" s="4" t="s">
        <v>21</v>
      </c>
      <c r="I1699" s="4" t="s">
        <v>2056</v>
      </c>
      <c r="J1699" s="4" t="s">
        <v>94</v>
      </c>
      <c r="K1699" s="4" t="s">
        <v>30</v>
      </c>
      <c r="L1699" s="4" t="s">
        <v>3743</v>
      </c>
      <c r="M1699" s="4" t="s">
        <v>3746</v>
      </c>
      <c r="N1699" s="4" t="s">
        <v>3747</v>
      </c>
      <c r="O1699" s="17">
        <f>INDEX('список ID из СУЭ с должностями'!$A:$F,MATCH(E1699,'список ID из СУЭ с должностями'!$B:$B,0),5)</f>
        <v>0</v>
      </c>
    </row>
    <row r="1700" spans="1:15" ht="165">
      <c r="A1700" s="3" t="s">
        <v>10</v>
      </c>
      <c r="B1700" s="3" t="s">
        <v>11</v>
      </c>
      <c r="C1700" s="4">
        <v>2026</v>
      </c>
      <c r="D1700" s="5" t="s">
        <v>12</v>
      </c>
      <c r="E1700" s="4">
        <v>239</v>
      </c>
      <c r="F1700" s="4" t="s">
        <v>67</v>
      </c>
      <c r="G1700" s="4" t="s">
        <v>85</v>
      </c>
      <c r="H1700" s="4" t="s">
        <v>21</v>
      </c>
      <c r="I1700" s="4" t="s">
        <v>2057</v>
      </c>
      <c r="J1700" s="4" t="s">
        <v>1122</v>
      </c>
      <c r="K1700" s="4" t="s">
        <v>30</v>
      </c>
      <c r="L1700" s="4" t="s">
        <v>3743</v>
      </c>
      <c r="M1700" s="4" t="s">
        <v>3746</v>
      </c>
      <c r="N1700" s="4" t="s">
        <v>3747</v>
      </c>
      <c r="O1700" s="17">
        <f>INDEX('список ID из СУЭ с должностями'!$A:$F,MATCH(E1700,'список ID из СУЭ с должностями'!$B:$B,0),5)</f>
        <v>0</v>
      </c>
    </row>
    <row r="1701" spans="1:15" ht="75">
      <c r="A1701" s="3" t="s">
        <v>10</v>
      </c>
      <c r="B1701" s="3" t="s">
        <v>11</v>
      </c>
      <c r="C1701" s="4">
        <v>2026</v>
      </c>
      <c r="D1701" s="5" t="s">
        <v>12</v>
      </c>
      <c r="E1701" s="4">
        <v>239</v>
      </c>
      <c r="F1701" s="4" t="s">
        <v>67</v>
      </c>
      <c r="G1701" s="4" t="s">
        <v>85</v>
      </c>
      <c r="H1701" s="4" t="s">
        <v>21</v>
      </c>
      <c r="I1701" s="4" t="s">
        <v>1117</v>
      </c>
      <c r="J1701" s="4" t="s">
        <v>2058</v>
      </c>
      <c r="K1701" s="4" t="s">
        <v>30</v>
      </c>
      <c r="L1701" s="4" t="s">
        <v>3742</v>
      </c>
      <c r="M1701" s="4" t="s">
        <v>3746</v>
      </c>
      <c r="N1701" s="4" t="s">
        <v>3747</v>
      </c>
      <c r="O1701" s="17">
        <f>INDEX('список ID из СУЭ с должностями'!$A:$F,MATCH(E1701,'список ID из СУЭ с должностями'!$B:$B,0),5)</f>
        <v>0</v>
      </c>
    </row>
    <row r="1702" spans="1:15" ht="150">
      <c r="A1702" s="3" t="s">
        <v>10</v>
      </c>
      <c r="B1702" s="3" t="s">
        <v>11</v>
      </c>
      <c r="C1702" s="4">
        <v>2026</v>
      </c>
      <c r="D1702" s="5" t="s">
        <v>12</v>
      </c>
      <c r="E1702" s="4">
        <v>240</v>
      </c>
      <c r="F1702" s="4" t="s">
        <v>44</v>
      </c>
      <c r="G1702" s="4" t="s">
        <v>45</v>
      </c>
      <c r="H1702" s="4" t="s">
        <v>41</v>
      </c>
      <c r="I1702" s="4" t="s">
        <v>42</v>
      </c>
      <c r="J1702" s="4" t="s">
        <v>2059</v>
      </c>
      <c r="K1702" s="4" t="s">
        <v>25</v>
      </c>
      <c r="L1702" s="4" t="s">
        <v>3743</v>
      </c>
      <c r="M1702" s="4" t="s">
        <v>3746</v>
      </c>
      <c r="N1702" s="4" t="s">
        <v>3747</v>
      </c>
      <c r="O1702" s="17" t="str">
        <f>INDEX('список ID из СУЭ с должностями'!$A:$F,MATCH(E1702,'список ID из СУЭ с должностями'!$B:$B,0),5)</f>
        <v>НП</v>
      </c>
    </row>
    <row r="1703" spans="1:15" ht="45">
      <c r="A1703" s="3" t="s">
        <v>10</v>
      </c>
      <c r="B1703" s="3" t="s">
        <v>11</v>
      </c>
      <c r="C1703" s="4">
        <v>2026</v>
      </c>
      <c r="D1703" s="5" t="s">
        <v>12</v>
      </c>
      <c r="E1703" s="4">
        <v>240</v>
      </c>
      <c r="F1703" s="4" t="s">
        <v>44</v>
      </c>
      <c r="G1703" s="4" t="s">
        <v>45</v>
      </c>
      <c r="H1703" s="4" t="s">
        <v>15</v>
      </c>
      <c r="I1703" s="4" t="s">
        <v>2060</v>
      </c>
      <c r="J1703" s="4">
        <v>0</v>
      </c>
      <c r="K1703" s="4" t="s">
        <v>66</v>
      </c>
      <c r="L1703" s="4" t="s">
        <v>3743</v>
      </c>
      <c r="M1703" s="4" t="s">
        <v>3746</v>
      </c>
      <c r="N1703" s="4" t="s">
        <v>3747</v>
      </c>
      <c r="O1703" s="17" t="str">
        <f>INDEX('список ID из СУЭ с должностями'!$A:$F,MATCH(E1703,'список ID из СУЭ с должностями'!$B:$B,0),5)</f>
        <v>НП</v>
      </c>
    </row>
    <row r="1704" spans="1:15" ht="60">
      <c r="A1704" s="3" t="s">
        <v>10</v>
      </c>
      <c r="B1704" s="3" t="s">
        <v>11</v>
      </c>
      <c r="C1704" s="4">
        <v>2026</v>
      </c>
      <c r="D1704" s="5" t="s">
        <v>12</v>
      </c>
      <c r="E1704" s="4">
        <v>240</v>
      </c>
      <c r="F1704" s="4" t="s">
        <v>44</v>
      </c>
      <c r="G1704" s="4" t="s">
        <v>45</v>
      </c>
      <c r="H1704" s="4" t="s">
        <v>15</v>
      </c>
      <c r="I1704" s="4" t="s">
        <v>1246</v>
      </c>
      <c r="J1704" s="4" t="s">
        <v>59</v>
      </c>
      <c r="K1704" s="4" t="s">
        <v>151</v>
      </c>
      <c r="L1704" s="4" t="s">
        <v>3742</v>
      </c>
      <c r="M1704" s="4" t="s">
        <v>3746</v>
      </c>
      <c r="N1704" s="4" t="s">
        <v>3747</v>
      </c>
      <c r="O1704" s="17" t="str">
        <f>INDEX('список ID из СУЭ с должностями'!$A:$F,MATCH(E1704,'список ID из СУЭ с должностями'!$B:$B,0),5)</f>
        <v>НП</v>
      </c>
    </row>
    <row r="1705" spans="1:15" ht="60">
      <c r="A1705" s="3" t="s">
        <v>10</v>
      </c>
      <c r="B1705" s="3" t="s">
        <v>11</v>
      </c>
      <c r="C1705" s="4">
        <v>2026</v>
      </c>
      <c r="D1705" s="5" t="s">
        <v>12</v>
      </c>
      <c r="E1705" s="4">
        <v>240</v>
      </c>
      <c r="F1705" s="4" t="s">
        <v>44</v>
      </c>
      <c r="G1705" s="4" t="s">
        <v>45</v>
      </c>
      <c r="H1705" s="4" t="s">
        <v>15</v>
      </c>
      <c r="I1705" s="4" t="s">
        <v>56</v>
      </c>
      <c r="J1705" s="4" t="s">
        <v>57</v>
      </c>
      <c r="K1705" s="4" t="s">
        <v>55</v>
      </c>
      <c r="L1705" s="4" t="s">
        <v>3743</v>
      </c>
      <c r="M1705" s="4" t="s">
        <v>3746</v>
      </c>
      <c r="N1705" s="4" t="s">
        <v>3747</v>
      </c>
      <c r="O1705" s="17" t="str">
        <f>INDEX('список ID из СУЭ с должностями'!$A:$F,MATCH(E1705,'список ID из СУЭ с должностями'!$B:$B,0),5)</f>
        <v>НП</v>
      </c>
    </row>
    <row r="1706" spans="1:15" ht="45">
      <c r="A1706" s="3" t="s">
        <v>10</v>
      </c>
      <c r="B1706" s="3" t="s">
        <v>11</v>
      </c>
      <c r="C1706" s="4">
        <v>2026</v>
      </c>
      <c r="D1706" s="5" t="s">
        <v>12</v>
      </c>
      <c r="E1706" s="4">
        <v>240</v>
      </c>
      <c r="F1706" s="4" t="s">
        <v>44</v>
      </c>
      <c r="G1706" s="4" t="s">
        <v>45</v>
      </c>
      <c r="H1706" s="4" t="s">
        <v>15</v>
      </c>
      <c r="I1706" s="4" t="s">
        <v>2039</v>
      </c>
      <c r="J1706" s="4" t="s">
        <v>2061</v>
      </c>
      <c r="K1706" s="4" t="s">
        <v>55</v>
      </c>
      <c r="L1706" s="4" t="s">
        <v>3743</v>
      </c>
      <c r="M1706" s="4" t="s">
        <v>3746</v>
      </c>
      <c r="N1706" s="4" t="s">
        <v>3747</v>
      </c>
      <c r="O1706" s="17" t="str">
        <f>INDEX('список ID из СУЭ с должностями'!$A:$F,MATCH(E1706,'список ID из СУЭ с должностями'!$B:$B,0),5)</f>
        <v>НП</v>
      </c>
    </row>
    <row r="1707" spans="1:15" ht="135">
      <c r="A1707" s="3" t="s">
        <v>10</v>
      </c>
      <c r="B1707" s="3" t="s">
        <v>11</v>
      </c>
      <c r="C1707" s="4">
        <v>2026</v>
      </c>
      <c r="D1707" s="5" t="s">
        <v>12</v>
      </c>
      <c r="E1707" s="4">
        <v>240</v>
      </c>
      <c r="F1707" s="4" t="s">
        <v>44</v>
      </c>
      <c r="G1707" s="4" t="s">
        <v>45</v>
      </c>
      <c r="H1707" s="4" t="s">
        <v>15</v>
      </c>
      <c r="I1707" s="4" t="s">
        <v>30</v>
      </c>
      <c r="J1707" s="4" t="s">
        <v>2062</v>
      </c>
      <c r="K1707" s="4" t="s">
        <v>30</v>
      </c>
      <c r="L1707" s="4" t="s">
        <v>3743</v>
      </c>
      <c r="M1707" s="4" t="s">
        <v>3746</v>
      </c>
      <c r="N1707" s="4" t="s">
        <v>3747</v>
      </c>
      <c r="O1707" s="17" t="str">
        <f>INDEX('список ID из СУЭ с должностями'!$A:$F,MATCH(E1707,'список ID из СУЭ с должностями'!$B:$B,0),5)</f>
        <v>НП</v>
      </c>
    </row>
    <row r="1708" spans="1:15" ht="300">
      <c r="A1708" s="3" t="s">
        <v>10</v>
      </c>
      <c r="B1708" s="3" t="s">
        <v>11</v>
      </c>
      <c r="C1708" s="4">
        <v>2026</v>
      </c>
      <c r="D1708" s="5" t="s">
        <v>12</v>
      </c>
      <c r="E1708" s="4">
        <v>240</v>
      </c>
      <c r="F1708" s="4" t="s">
        <v>44</v>
      </c>
      <c r="G1708" s="4" t="s">
        <v>45</v>
      </c>
      <c r="H1708" s="4" t="s">
        <v>15</v>
      </c>
      <c r="I1708" s="4" t="s">
        <v>48</v>
      </c>
      <c r="J1708" s="4" t="s">
        <v>2063</v>
      </c>
      <c r="K1708" s="4" t="s">
        <v>35</v>
      </c>
      <c r="L1708" s="4" t="s">
        <v>3743</v>
      </c>
      <c r="M1708" s="4" t="s">
        <v>3746</v>
      </c>
      <c r="N1708" s="4" t="s">
        <v>3747</v>
      </c>
      <c r="O1708" s="17" t="str">
        <f>INDEX('список ID из СУЭ с должностями'!$A:$F,MATCH(E1708,'список ID из СУЭ с должностями'!$B:$B,0),5)</f>
        <v>НП</v>
      </c>
    </row>
    <row r="1709" spans="1:15" ht="150">
      <c r="A1709" s="3" t="s">
        <v>10</v>
      </c>
      <c r="B1709" s="3" t="s">
        <v>11</v>
      </c>
      <c r="C1709" s="4">
        <v>2026</v>
      </c>
      <c r="D1709" s="5" t="s">
        <v>12</v>
      </c>
      <c r="E1709" s="4">
        <v>240</v>
      </c>
      <c r="F1709" s="4" t="s">
        <v>44</v>
      </c>
      <c r="G1709" s="4" t="s">
        <v>45</v>
      </c>
      <c r="H1709" s="4" t="s">
        <v>15</v>
      </c>
      <c r="I1709" s="4" t="s">
        <v>2064</v>
      </c>
      <c r="J1709" s="4" t="s">
        <v>2065</v>
      </c>
      <c r="K1709" s="4" t="s">
        <v>52</v>
      </c>
      <c r="L1709" s="4" t="s">
        <v>3743</v>
      </c>
      <c r="M1709" s="4" t="s">
        <v>3746</v>
      </c>
      <c r="N1709" s="4" t="s">
        <v>3747</v>
      </c>
      <c r="O1709" s="17" t="str">
        <f>INDEX('список ID из СУЭ с должностями'!$A:$F,MATCH(E1709,'список ID из СУЭ с должностями'!$B:$B,0),5)</f>
        <v>НП</v>
      </c>
    </row>
    <row r="1710" spans="1:15" ht="60">
      <c r="A1710" s="3" t="s">
        <v>10</v>
      </c>
      <c r="B1710" s="3" t="s">
        <v>11</v>
      </c>
      <c r="C1710" s="4">
        <v>2026</v>
      </c>
      <c r="D1710" s="5" t="s">
        <v>12</v>
      </c>
      <c r="E1710" s="4">
        <v>240</v>
      </c>
      <c r="F1710" s="4" t="s">
        <v>44</v>
      </c>
      <c r="G1710" s="4" t="s">
        <v>45</v>
      </c>
      <c r="H1710" s="4" t="s">
        <v>15</v>
      </c>
      <c r="I1710" s="4" t="s">
        <v>2066</v>
      </c>
      <c r="J1710" s="4" t="s">
        <v>182</v>
      </c>
      <c r="K1710" s="4" t="s">
        <v>38</v>
      </c>
      <c r="L1710" s="4" t="s">
        <v>3742</v>
      </c>
      <c r="M1710" s="4" t="s">
        <v>3746</v>
      </c>
      <c r="N1710" s="4" t="s">
        <v>3747</v>
      </c>
      <c r="O1710" s="17" t="str">
        <f>INDEX('список ID из СУЭ с должностями'!$A:$F,MATCH(E1710,'список ID из СУЭ с должностями'!$B:$B,0),5)</f>
        <v>НП</v>
      </c>
    </row>
    <row r="1711" spans="1:15" ht="120">
      <c r="A1711" s="3" t="s">
        <v>10</v>
      </c>
      <c r="B1711" s="3" t="s">
        <v>11</v>
      </c>
      <c r="C1711" s="4">
        <v>2026</v>
      </c>
      <c r="D1711" s="5" t="s">
        <v>12</v>
      </c>
      <c r="E1711" s="4">
        <v>241</v>
      </c>
      <c r="F1711" s="4" t="s">
        <v>39</v>
      </c>
      <c r="G1711" s="4" t="s">
        <v>194</v>
      </c>
      <c r="H1711" s="4" t="s">
        <v>21</v>
      </c>
      <c r="I1711" s="4" t="s">
        <v>1674</v>
      </c>
      <c r="J1711" s="4" t="s">
        <v>1675</v>
      </c>
      <c r="K1711" s="4" t="s">
        <v>52</v>
      </c>
      <c r="L1711" s="4" t="s">
        <v>3743</v>
      </c>
      <c r="M1711" s="4" t="s">
        <v>3746</v>
      </c>
      <c r="N1711" s="4" t="s">
        <v>3747</v>
      </c>
      <c r="O1711" s="17" t="str">
        <f>INDEX('список ID из СУЭ с должностями'!$A:$F,MATCH(E1711,'список ID из СУЭ с должностями'!$B:$B,0),5)</f>
        <v>НС</v>
      </c>
    </row>
    <row r="1712" spans="1:15" ht="285">
      <c r="A1712" s="3" t="s">
        <v>10</v>
      </c>
      <c r="B1712" s="3" t="s">
        <v>11</v>
      </c>
      <c r="C1712" s="4">
        <v>2026</v>
      </c>
      <c r="D1712" s="5" t="s">
        <v>12</v>
      </c>
      <c r="E1712" s="4">
        <v>241</v>
      </c>
      <c r="F1712" s="4" t="s">
        <v>39</v>
      </c>
      <c r="G1712" s="4" t="s">
        <v>194</v>
      </c>
      <c r="H1712" s="4" t="s">
        <v>15</v>
      </c>
      <c r="I1712" s="4" t="s">
        <v>48</v>
      </c>
      <c r="J1712" s="4" t="s">
        <v>2067</v>
      </c>
      <c r="K1712" s="4" t="s">
        <v>35</v>
      </c>
      <c r="L1712" s="4" t="s">
        <v>3743</v>
      </c>
      <c r="M1712" s="4" t="s">
        <v>3746</v>
      </c>
      <c r="N1712" s="4" t="s">
        <v>3747</v>
      </c>
      <c r="O1712" s="17" t="str">
        <f>INDEX('список ID из СУЭ с должностями'!$A:$F,MATCH(E1712,'список ID из СУЭ с должностями'!$B:$B,0),5)</f>
        <v>НС</v>
      </c>
    </row>
    <row r="1713" spans="1:15" ht="60">
      <c r="A1713" s="3" t="s">
        <v>10</v>
      </c>
      <c r="B1713" s="3" t="s">
        <v>11</v>
      </c>
      <c r="C1713" s="4">
        <v>2026</v>
      </c>
      <c r="D1713" s="5" t="s">
        <v>12</v>
      </c>
      <c r="E1713" s="4">
        <v>241</v>
      </c>
      <c r="F1713" s="4" t="s">
        <v>39</v>
      </c>
      <c r="G1713" s="4" t="s">
        <v>194</v>
      </c>
      <c r="H1713" s="4" t="s">
        <v>15</v>
      </c>
      <c r="I1713" s="4" t="s">
        <v>2052</v>
      </c>
      <c r="J1713" s="4" t="s">
        <v>79</v>
      </c>
      <c r="K1713" s="4" t="s">
        <v>38</v>
      </c>
      <c r="L1713" s="4" t="s">
        <v>3742</v>
      </c>
      <c r="M1713" s="4" t="s">
        <v>3746</v>
      </c>
      <c r="N1713" s="4" t="s">
        <v>3747</v>
      </c>
      <c r="O1713" s="17" t="str">
        <f>INDEX('список ID из СУЭ с должностями'!$A:$F,MATCH(E1713,'список ID из СУЭ с должностями'!$B:$B,0),5)</f>
        <v>НС</v>
      </c>
    </row>
    <row r="1714" spans="1:15" ht="45">
      <c r="A1714" s="3" t="s">
        <v>10</v>
      </c>
      <c r="B1714" s="3" t="s">
        <v>11</v>
      </c>
      <c r="C1714" s="4">
        <v>2026</v>
      </c>
      <c r="D1714" s="5" t="s">
        <v>12</v>
      </c>
      <c r="E1714" s="4">
        <v>241</v>
      </c>
      <c r="F1714" s="4" t="s">
        <v>39</v>
      </c>
      <c r="G1714" s="4" t="s">
        <v>194</v>
      </c>
      <c r="H1714" s="4" t="s">
        <v>41</v>
      </c>
      <c r="I1714" s="4" t="s">
        <v>62</v>
      </c>
      <c r="J1714" s="4" t="s">
        <v>2068</v>
      </c>
      <c r="K1714" s="4" t="s">
        <v>55</v>
      </c>
      <c r="L1714" s="4" t="s">
        <v>3743</v>
      </c>
      <c r="M1714" s="4" t="s">
        <v>3746</v>
      </c>
      <c r="N1714" s="4" t="s">
        <v>3747</v>
      </c>
      <c r="O1714" s="17" t="str">
        <f>INDEX('список ID из СУЭ с должностями'!$A:$F,MATCH(E1714,'список ID из СУЭ с должностями'!$B:$B,0),5)</f>
        <v>НС</v>
      </c>
    </row>
    <row r="1715" spans="1:15" ht="409.5">
      <c r="A1715" s="3" t="s">
        <v>10</v>
      </c>
      <c r="B1715" s="3" t="s">
        <v>11</v>
      </c>
      <c r="C1715" s="4">
        <v>2026</v>
      </c>
      <c r="D1715" s="5" t="s">
        <v>12</v>
      </c>
      <c r="E1715" s="4">
        <v>241</v>
      </c>
      <c r="F1715" s="4" t="s">
        <v>39</v>
      </c>
      <c r="G1715" s="4" t="s">
        <v>194</v>
      </c>
      <c r="H1715" s="4" t="s">
        <v>15</v>
      </c>
      <c r="I1715" s="4" t="s">
        <v>189</v>
      </c>
      <c r="J1715" s="4" t="s">
        <v>2069</v>
      </c>
      <c r="K1715" s="4" t="s">
        <v>66</v>
      </c>
      <c r="L1715" s="4" t="s">
        <v>3743</v>
      </c>
      <c r="M1715" s="4" t="s">
        <v>3746</v>
      </c>
      <c r="N1715" s="4" t="s">
        <v>3747</v>
      </c>
      <c r="O1715" s="17" t="str">
        <f>INDEX('список ID из СУЭ с должностями'!$A:$F,MATCH(E1715,'список ID из СУЭ с должностями'!$B:$B,0),5)</f>
        <v>НС</v>
      </c>
    </row>
    <row r="1716" spans="1:15" ht="60">
      <c r="A1716" s="3" t="s">
        <v>10</v>
      </c>
      <c r="B1716" s="3" t="s">
        <v>11</v>
      </c>
      <c r="C1716" s="4">
        <v>2026</v>
      </c>
      <c r="D1716" s="5" t="s">
        <v>12</v>
      </c>
      <c r="E1716" s="4">
        <v>241</v>
      </c>
      <c r="F1716" s="4" t="s">
        <v>39</v>
      </c>
      <c r="G1716" s="4" t="s">
        <v>194</v>
      </c>
      <c r="H1716" s="4" t="s">
        <v>15</v>
      </c>
      <c r="I1716" s="4" t="s">
        <v>2070</v>
      </c>
      <c r="J1716" s="4" t="s">
        <v>2071</v>
      </c>
      <c r="K1716" s="4" t="s">
        <v>52</v>
      </c>
      <c r="L1716" s="4" t="s">
        <v>3743</v>
      </c>
      <c r="M1716" s="4" t="s">
        <v>3746</v>
      </c>
      <c r="N1716" s="4" t="s">
        <v>3747</v>
      </c>
      <c r="O1716" s="17" t="str">
        <f>INDEX('список ID из СУЭ с должностями'!$A:$F,MATCH(E1716,'список ID из СУЭ с должностями'!$B:$B,0),5)</f>
        <v>НС</v>
      </c>
    </row>
    <row r="1717" spans="1:15" ht="60">
      <c r="A1717" s="3" t="s">
        <v>10</v>
      </c>
      <c r="B1717" s="3" t="s">
        <v>11</v>
      </c>
      <c r="C1717" s="4">
        <v>2026</v>
      </c>
      <c r="D1717" s="5" t="s">
        <v>12</v>
      </c>
      <c r="E1717" s="4">
        <v>241</v>
      </c>
      <c r="F1717" s="4" t="s">
        <v>39</v>
      </c>
      <c r="G1717" s="4" t="s">
        <v>194</v>
      </c>
      <c r="H1717" s="4" t="s">
        <v>15</v>
      </c>
      <c r="I1717" s="4" t="s">
        <v>2048</v>
      </c>
      <c r="J1717" s="4" t="s">
        <v>2072</v>
      </c>
      <c r="K1717" s="4" t="s">
        <v>151</v>
      </c>
      <c r="L1717" s="4" t="s">
        <v>3742</v>
      </c>
      <c r="M1717" s="4" t="s">
        <v>3746</v>
      </c>
      <c r="N1717" s="4" t="s">
        <v>3747</v>
      </c>
      <c r="O1717" s="17" t="str">
        <f>INDEX('список ID из СУЭ с должностями'!$A:$F,MATCH(E1717,'список ID из СУЭ с должностями'!$B:$B,0),5)</f>
        <v>НС</v>
      </c>
    </row>
    <row r="1718" spans="1:15" ht="45">
      <c r="A1718" s="3" t="s">
        <v>10</v>
      </c>
      <c r="B1718" s="3" t="s">
        <v>11</v>
      </c>
      <c r="C1718" s="4">
        <v>2026</v>
      </c>
      <c r="D1718" s="5" t="s">
        <v>12</v>
      </c>
      <c r="E1718" s="4">
        <v>241</v>
      </c>
      <c r="F1718" s="4" t="s">
        <v>39</v>
      </c>
      <c r="G1718" s="4" t="s">
        <v>194</v>
      </c>
      <c r="H1718" s="4" t="s">
        <v>15</v>
      </c>
      <c r="I1718" s="4" t="s">
        <v>191</v>
      </c>
      <c r="J1718" s="4" t="s">
        <v>200</v>
      </c>
      <c r="K1718" s="4" t="s">
        <v>66</v>
      </c>
      <c r="L1718" s="4" t="s">
        <v>3742</v>
      </c>
      <c r="M1718" s="4" t="s">
        <v>3746</v>
      </c>
      <c r="N1718" s="4" t="s">
        <v>3747</v>
      </c>
      <c r="O1718" s="17" t="str">
        <f>INDEX('список ID из СУЭ с должностями'!$A:$F,MATCH(E1718,'список ID из СУЭ с должностями'!$B:$B,0),5)</f>
        <v>НС</v>
      </c>
    </row>
    <row r="1719" spans="1:15" ht="45">
      <c r="A1719" s="3" t="s">
        <v>10</v>
      </c>
      <c r="B1719" s="3" t="s">
        <v>11</v>
      </c>
      <c r="C1719" s="4">
        <v>2026</v>
      </c>
      <c r="D1719" s="5" t="s">
        <v>12</v>
      </c>
      <c r="E1719" s="4">
        <v>241</v>
      </c>
      <c r="F1719" s="4" t="s">
        <v>39</v>
      </c>
      <c r="G1719" s="4" t="s">
        <v>194</v>
      </c>
      <c r="H1719" s="4" t="s">
        <v>21</v>
      </c>
      <c r="I1719" s="4" t="s">
        <v>2073</v>
      </c>
      <c r="J1719" s="4" t="s">
        <v>2074</v>
      </c>
      <c r="K1719" s="4" t="s">
        <v>55</v>
      </c>
      <c r="L1719" s="4" t="s">
        <v>3742</v>
      </c>
      <c r="M1719" s="4" t="s">
        <v>3746</v>
      </c>
      <c r="N1719" s="4" t="s">
        <v>3747</v>
      </c>
      <c r="O1719" s="17" t="str">
        <f>INDEX('список ID из СУЭ с должностями'!$A:$F,MATCH(E1719,'список ID из СУЭ с должностями'!$B:$B,0),5)</f>
        <v>НС</v>
      </c>
    </row>
    <row r="1720" spans="1:15" ht="409.5">
      <c r="A1720" s="3" t="s">
        <v>10</v>
      </c>
      <c r="B1720" s="3" t="s">
        <v>11</v>
      </c>
      <c r="C1720" s="4">
        <v>2026</v>
      </c>
      <c r="D1720" s="5" t="s">
        <v>12</v>
      </c>
      <c r="E1720" s="4">
        <v>241</v>
      </c>
      <c r="F1720" s="4" t="s">
        <v>39</v>
      </c>
      <c r="G1720" s="4" t="s">
        <v>194</v>
      </c>
      <c r="H1720" s="4" t="s">
        <v>15</v>
      </c>
      <c r="I1720" s="4" t="s">
        <v>25</v>
      </c>
      <c r="J1720" s="4" t="s">
        <v>1673</v>
      </c>
      <c r="K1720" s="4" t="s">
        <v>25</v>
      </c>
      <c r="L1720" s="4" t="s">
        <v>3743</v>
      </c>
      <c r="M1720" s="4" t="s">
        <v>3746</v>
      </c>
      <c r="N1720" s="4" t="s">
        <v>3747</v>
      </c>
      <c r="O1720" s="17" t="str">
        <f>INDEX('список ID из СУЭ с должностями'!$A:$F,MATCH(E1720,'список ID из СУЭ с должностями'!$B:$B,0),5)</f>
        <v>НС</v>
      </c>
    </row>
    <row r="1721" spans="1:15" ht="409.5">
      <c r="A1721" s="3" t="s">
        <v>10</v>
      </c>
      <c r="B1721" s="3" t="s">
        <v>11</v>
      </c>
      <c r="C1721" s="4">
        <v>2026</v>
      </c>
      <c r="D1721" s="5" t="s">
        <v>12</v>
      </c>
      <c r="E1721" s="4">
        <v>242</v>
      </c>
      <c r="F1721" s="4" t="s">
        <v>39</v>
      </c>
      <c r="G1721" s="4" t="s">
        <v>2075</v>
      </c>
      <c r="H1721" s="4" t="s">
        <v>15</v>
      </c>
      <c r="I1721" s="4" t="s">
        <v>189</v>
      </c>
      <c r="J1721" s="4" t="s">
        <v>2069</v>
      </c>
      <c r="K1721" s="4" t="s">
        <v>66</v>
      </c>
      <c r="L1721" s="4" t="s">
        <v>3743</v>
      </c>
      <c r="M1721" s="4" t="s">
        <v>3746</v>
      </c>
      <c r="N1721" s="4" t="s">
        <v>3747</v>
      </c>
      <c r="O1721" s="17" t="str">
        <f>INDEX('список ID из СУЭ с должностями'!$A:$F,MATCH(E1721,'список ID из СУЭ с должностями'!$B:$B,0),5)</f>
        <v>НС</v>
      </c>
    </row>
    <row r="1722" spans="1:15" ht="120">
      <c r="A1722" s="3" t="s">
        <v>10</v>
      </c>
      <c r="B1722" s="3" t="s">
        <v>11</v>
      </c>
      <c r="C1722" s="4">
        <v>2026</v>
      </c>
      <c r="D1722" s="5" t="s">
        <v>12</v>
      </c>
      <c r="E1722" s="4">
        <v>242</v>
      </c>
      <c r="F1722" s="4" t="s">
        <v>39</v>
      </c>
      <c r="G1722" s="4" t="s">
        <v>2075</v>
      </c>
      <c r="H1722" s="4" t="s">
        <v>21</v>
      </c>
      <c r="I1722" s="4" t="s">
        <v>1674</v>
      </c>
      <c r="J1722" s="4" t="s">
        <v>1675</v>
      </c>
      <c r="K1722" s="4" t="s">
        <v>52</v>
      </c>
      <c r="L1722" s="4" t="s">
        <v>3743</v>
      </c>
      <c r="M1722" s="4" t="s">
        <v>3746</v>
      </c>
      <c r="N1722" s="4" t="s">
        <v>3747</v>
      </c>
      <c r="O1722" s="17" t="str">
        <f>INDEX('список ID из СУЭ с должностями'!$A:$F,MATCH(E1722,'список ID из СУЭ с должностями'!$B:$B,0),5)</f>
        <v>НС</v>
      </c>
    </row>
    <row r="1723" spans="1:15" ht="60">
      <c r="A1723" s="3" t="s">
        <v>10</v>
      </c>
      <c r="B1723" s="3" t="s">
        <v>11</v>
      </c>
      <c r="C1723" s="4">
        <v>2026</v>
      </c>
      <c r="D1723" s="5" t="s">
        <v>12</v>
      </c>
      <c r="E1723" s="4">
        <v>242</v>
      </c>
      <c r="F1723" s="4" t="s">
        <v>39</v>
      </c>
      <c r="G1723" s="4" t="s">
        <v>2075</v>
      </c>
      <c r="H1723" s="4" t="s">
        <v>15</v>
      </c>
      <c r="I1723" s="4" t="s">
        <v>2052</v>
      </c>
      <c r="J1723" s="4" t="s">
        <v>79</v>
      </c>
      <c r="K1723" s="4" t="s">
        <v>38</v>
      </c>
      <c r="L1723" s="4" t="s">
        <v>3742</v>
      </c>
      <c r="M1723" s="4" t="s">
        <v>3746</v>
      </c>
      <c r="N1723" s="4" t="s">
        <v>3747</v>
      </c>
      <c r="O1723" s="17" t="str">
        <f>INDEX('список ID из СУЭ с должностями'!$A:$F,MATCH(E1723,'список ID из СУЭ с должностями'!$B:$B,0),5)</f>
        <v>НС</v>
      </c>
    </row>
    <row r="1724" spans="1:15" ht="45">
      <c r="A1724" s="3" t="s">
        <v>10</v>
      </c>
      <c r="B1724" s="3" t="s">
        <v>11</v>
      </c>
      <c r="C1724" s="4">
        <v>2026</v>
      </c>
      <c r="D1724" s="5" t="s">
        <v>12</v>
      </c>
      <c r="E1724" s="4">
        <v>242</v>
      </c>
      <c r="F1724" s="4" t="s">
        <v>39</v>
      </c>
      <c r="G1724" s="4" t="s">
        <v>2075</v>
      </c>
      <c r="H1724" s="4" t="s">
        <v>41</v>
      </c>
      <c r="I1724" s="4" t="s">
        <v>62</v>
      </c>
      <c r="J1724" s="4" t="s">
        <v>2068</v>
      </c>
      <c r="K1724" s="4" t="s">
        <v>55</v>
      </c>
      <c r="L1724" s="4" t="s">
        <v>3743</v>
      </c>
      <c r="M1724" s="4" t="s">
        <v>3746</v>
      </c>
      <c r="N1724" s="4" t="s">
        <v>3747</v>
      </c>
      <c r="O1724" s="17" t="str">
        <f>INDEX('список ID из СУЭ с должностями'!$A:$F,MATCH(E1724,'список ID из СУЭ с должностями'!$B:$B,0),5)</f>
        <v>НС</v>
      </c>
    </row>
    <row r="1725" spans="1:15" ht="60">
      <c r="A1725" s="3" t="s">
        <v>10</v>
      </c>
      <c r="B1725" s="3" t="s">
        <v>11</v>
      </c>
      <c r="C1725" s="4">
        <v>2026</v>
      </c>
      <c r="D1725" s="5" t="s">
        <v>12</v>
      </c>
      <c r="E1725" s="4">
        <v>242</v>
      </c>
      <c r="F1725" s="4" t="s">
        <v>39</v>
      </c>
      <c r="G1725" s="4" t="s">
        <v>2075</v>
      </c>
      <c r="H1725" s="4" t="s">
        <v>15</v>
      </c>
      <c r="I1725" s="4" t="s">
        <v>2070</v>
      </c>
      <c r="J1725" s="4" t="s">
        <v>2071</v>
      </c>
      <c r="K1725" s="4" t="s">
        <v>52</v>
      </c>
      <c r="L1725" s="4" t="s">
        <v>3743</v>
      </c>
      <c r="M1725" s="4" t="s">
        <v>3746</v>
      </c>
      <c r="N1725" s="4" t="s">
        <v>3747</v>
      </c>
      <c r="O1725" s="17" t="str">
        <f>INDEX('список ID из СУЭ с должностями'!$A:$F,MATCH(E1725,'список ID из СУЭ с должностями'!$B:$B,0),5)</f>
        <v>НС</v>
      </c>
    </row>
    <row r="1726" spans="1:15" ht="60">
      <c r="A1726" s="3" t="s">
        <v>10</v>
      </c>
      <c r="B1726" s="3" t="s">
        <v>11</v>
      </c>
      <c r="C1726" s="4">
        <v>2026</v>
      </c>
      <c r="D1726" s="5" t="s">
        <v>12</v>
      </c>
      <c r="E1726" s="4">
        <v>242</v>
      </c>
      <c r="F1726" s="4" t="s">
        <v>39</v>
      </c>
      <c r="G1726" s="4" t="s">
        <v>2075</v>
      </c>
      <c r="H1726" s="4" t="s">
        <v>15</v>
      </c>
      <c r="I1726" s="4" t="s">
        <v>2048</v>
      </c>
      <c r="J1726" s="4" t="s">
        <v>2072</v>
      </c>
      <c r="K1726" s="4" t="s">
        <v>151</v>
      </c>
      <c r="L1726" s="4" t="s">
        <v>3742</v>
      </c>
      <c r="M1726" s="4" t="s">
        <v>3746</v>
      </c>
      <c r="N1726" s="4" t="s">
        <v>3747</v>
      </c>
      <c r="O1726" s="17" t="str">
        <f>INDEX('список ID из СУЭ с должностями'!$A:$F,MATCH(E1726,'список ID из СУЭ с должностями'!$B:$B,0),5)</f>
        <v>НС</v>
      </c>
    </row>
    <row r="1727" spans="1:15" ht="45">
      <c r="A1727" s="3" t="s">
        <v>10</v>
      </c>
      <c r="B1727" s="3" t="s">
        <v>11</v>
      </c>
      <c r="C1727" s="4">
        <v>2026</v>
      </c>
      <c r="D1727" s="5" t="s">
        <v>12</v>
      </c>
      <c r="E1727" s="4">
        <v>242</v>
      </c>
      <c r="F1727" s="4" t="s">
        <v>39</v>
      </c>
      <c r="G1727" s="4" t="s">
        <v>2075</v>
      </c>
      <c r="H1727" s="4" t="s">
        <v>15</v>
      </c>
      <c r="I1727" s="4" t="s">
        <v>191</v>
      </c>
      <c r="J1727" s="4" t="s">
        <v>200</v>
      </c>
      <c r="K1727" s="4" t="s">
        <v>66</v>
      </c>
      <c r="L1727" s="4" t="s">
        <v>3742</v>
      </c>
      <c r="M1727" s="4" t="s">
        <v>3746</v>
      </c>
      <c r="N1727" s="4" t="s">
        <v>3747</v>
      </c>
      <c r="O1727" s="17" t="str">
        <f>INDEX('список ID из СУЭ с должностями'!$A:$F,MATCH(E1727,'список ID из СУЭ с должностями'!$B:$B,0),5)</f>
        <v>НС</v>
      </c>
    </row>
    <row r="1728" spans="1:15" ht="285">
      <c r="A1728" s="3" t="s">
        <v>10</v>
      </c>
      <c r="B1728" s="3" t="s">
        <v>11</v>
      </c>
      <c r="C1728" s="4">
        <v>2026</v>
      </c>
      <c r="D1728" s="5" t="s">
        <v>12</v>
      </c>
      <c r="E1728" s="4">
        <v>242</v>
      </c>
      <c r="F1728" s="4" t="s">
        <v>39</v>
      </c>
      <c r="G1728" s="4" t="s">
        <v>2075</v>
      </c>
      <c r="H1728" s="4" t="s">
        <v>15</v>
      </c>
      <c r="I1728" s="4" t="s">
        <v>48</v>
      </c>
      <c r="J1728" s="4" t="s">
        <v>2067</v>
      </c>
      <c r="K1728" s="4" t="s">
        <v>35</v>
      </c>
      <c r="L1728" s="4" t="s">
        <v>3743</v>
      </c>
      <c r="M1728" s="4" t="s">
        <v>3746</v>
      </c>
      <c r="N1728" s="4" t="s">
        <v>3747</v>
      </c>
      <c r="O1728" s="17" t="str">
        <f>INDEX('список ID из СУЭ с должностями'!$A:$F,MATCH(E1728,'список ID из СУЭ с должностями'!$B:$B,0),5)</f>
        <v>НС</v>
      </c>
    </row>
    <row r="1729" spans="1:15" ht="45">
      <c r="A1729" s="3" t="s">
        <v>10</v>
      </c>
      <c r="B1729" s="3" t="s">
        <v>11</v>
      </c>
      <c r="C1729" s="4">
        <v>2026</v>
      </c>
      <c r="D1729" s="5" t="s">
        <v>12</v>
      </c>
      <c r="E1729" s="4">
        <v>242</v>
      </c>
      <c r="F1729" s="4" t="s">
        <v>39</v>
      </c>
      <c r="G1729" s="4" t="s">
        <v>2075</v>
      </c>
      <c r="H1729" s="4" t="s">
        <v>21</v>
      </c>
      <c r="I1729" s="4" t="s">
        <v>2073</v>
      </c>
      <c r="J1729" s="4" t="s">
        <v>2074</v>
      </c>
      <c r="K1729" s="4" t="s">
        <v>55</v>
      </c>
      <c r="L1729" s="4" t="s">
        <v>3742</v>
      </c>
      <c r="M1729" s="4" t="s">
        <v>3746</v>
      </c>
      <c r="N1729" s="4" t="s">
        <v>3747</v>
      </c>
      <c r="O1729" s="17" t="str">
        <f>INDEX('список ID из СУЭ с должностями'!$A:$F,MATCH(E1729,'список ID из СУЭ с должностями'!$B:$B,0),5)</f>
        <v>НС</v>
      </c>
    </row>
    <row r="1730" spans="1:15" ht="409.5">
      <c r="A1730" s="3" t="s">
        <v>10</v>
      </c>
      <c r="B1730" s="3" t="s">
        <v>11</v>
      </c>
      <c r="C1730" s="4">
        <v>2026</v>
      </c>
      <c r="D1730" s="5" t="s">
        <v>12</v>
      </c>
      <c r="E1730" s="4">
        <v>242</v>
      </c>
      <c r="F1730" s="4" t="s">
        <v>39</v>
      </c>
      <c r="G1730" s="4" t="s">
        <v>2075</v>
      </c>
      <c r="H1730" s="4" t="s">
        <v>15</v>
      </c>
      <c r="I1730" s="4" t="s">
        <v>25</v>
      </c>
      <c r="J1730" s="4" t="s">
        <v>1673</v>
      </c>
      <c r="K1730" s="4" t="s">
        <v>25</v>
      </c>
      <c r="L1730" s="4" t="s">
        <v>3743</v>
      </c>
      <c r="M1730" s="4" t="s">
        <v>3746</v>
      </c>
      <c r="N1730" s="4" t="s">
        <v>3747</v>
      </c>
      <c r="O1730" s="17" t="str">
        <f>INDEX('список ID из СУЭ с должностями'!$A:$F,MATCH(E1730,'список ID из СУЭ с должностями'!$B:$B,0),5)</f>
        <v>НС</v>
      </c>
    </row>
    <row r="1731" spans="1:15" ht="75">
      <c r="A1731" s="3" t="s">
        <v>10</v>
      </c>
      <c r="B1731" s="3" t="s">
        <v>11</v>
      </c>
      <c r="C1731" s="4">
        <v>2026</v>
      </c>
      <c r="D1731" s="5" t="s">
        <v>12</v>
      </c>
      <c r="E1731" s="4">
        <v>243</v>
      </c>
      <c r="F1731" s="4" t="s">
        <v>84</v>
      </c>
      <c r="G1731" s="4" t="s">
        <v>1381</v>
      </c>
      <c r="H1731" s="4" t="s">
        <v>15</v>
      </c>
      <c r="I1731" s="4" t="s">
        <v>2076</v>
      </c>
      <c r="J1731" s="4" t="s">
        <v>2077</v>
      </c>
      <c r="K1731" s="4" t="s">
        <v>1386</v>
      </c>
      <c r="L1731" s="4" t="s">
        <v>3742</v>
      </c>
      <c r="M1731" s="4" t="s">
        <v>3746</v>
      </c>
      <c r="N1731" s="4" t="s">
        <v>3766</v>
      </c>
      <c r="O1731" s="17">
        <f>INDEX('список ID из СУЭ с должностями'!$A:$F,MATCH(E1731,'список ID из СУЭ с должностями'!$B:$B,0),5)</f>
        <v>0</v>
      </c>
    </row>
    <row r="1732" spans="1:15" ht="75">
      <c r="A1732" s="3" t="s">
        <v>10</v>
      </c>
      <c r="B1732" s="3" t="s">
        <v>11</v>
      </c>
      <c r="C1732" s="4">
        <v>2026</v>
      </c>
      <c r="D1732" s="5" t="s">
        <v>12</v>
      </c>
      <c r="E1732" s="4">
        <v>243</v>
      </c>
      <c r="F1732" s="4" t="s">
        <v>84</v>
      </c>
      <c r="G1732" s="4" t="s">
        <v>1381</v>
      </c>
      <c r="H1732" s="4" t="s">
        <v>15</v>
      </c>
      <c r="I1732" s="4" t="s">
        <v>1387</v>
      </c>
      <c r="J1732" s="4" t="s">
        <v>1388</v>
      </c>
      <c r="K1732" s="4" t="s">
        <v>1389</v>
      </c>
      <c r="L1732" s="4" t="s">
        <v>3743</v>
      </c>
      <c r="M1732" s="4" t="s">
        <v>3746</v>
      </c>
      <c r="N1732" s="4" t="s">
        <v>3766</v>
      </c>
      <c r="O1732" s="17">
        <f>INDEX('список ID из СУЭ с должностями'!$A:$F,MATCH(E1732,'список ID из СУЭ с должностями'!$B:$B,0),5)</f>
        <v>0</v>
      </c>
    </row>
    <row r="1733" spans="1:15" ht="285">
      <c r="A1733" s="3" t="s">
        <v>10</v>
      </c>
      <c r="B1733" s="3" t="s">
        <v>11</v>
      </c>
      <c r="C1733" s="4">
        <v>2026</v>
      </c>
      <c r="D1733" s="5" t="s">
        <v>12</v>
      </c>
      <c r="E1733" s="4">
        <v>243</v>
      </c>
      <c r="F1733" s="4" t="s">
        <v>84</v>
      </c>
      <c r="G1733" s="4" t="s">
        <v>1381</v>
      </c>
      <c r="H1733" s="4" t="s">
        <v>15</v>
      </c>
      <c r="I1733" s="4" t="s">
        <v>1390</v>
      </c>
      <c r="J1733" s="4" t="s">
        <v>1391</v>
      </c>
      <c r="K1733" s="4" t="s">
        <v>1386</v>
      </c>
      <c r="L1733" s="4" t="s">
        <v>3743</v>
      </c>
      <c r="M1733" s="4" t="s">
        <v>3746</v>
      </c>
      <c r="N1733" s="4" t="s">
        <v>3766</v>
      </c>
      <c r="O1733" s="17">
        <f>INDEX('список ID из СУЭ с должностями'!$A:$F,MATCH(E1733,'список ID из СУЭ с должностями'!$B:$B,0),5)</f>
        <v>0</v>
      </c>
    </row>
    <row r="1734" spans="1:15" ht="180">
      <c r="A1734" s="3" t="s">
        <v>10</v>
      </c>
      <c r="B1734" s="3" t="s">
        <v>11</v>
      </c>
      <c r="C1734" s="4">
        <v>2026</v>
      </c>
      <c r="D1734" s="5" t="s">
        <v>12</v>
      </c>
      <c r="E1734" s="4">
        <v>243</v>
      </c>
      <c r="F1734" s="4" t="s">
        <v>84</v>
      </c>
      <c r="G1734" s="4" t="s">
        <v>1381</v>
      </c>
      <c r="H1734" s="4" t="s">
        <v>15</v>
      </c>
      <c r="I1734" s="4" t="s">
        <v>1394</v>
      </c>
      <c r="J1734" s="4" t="s">
        <v>1395</v>
      </c>
      <c r="K1734" s="4" t="s">
        <v>1386</v>
      </c>
      <c r="L1734" s="4" t="s">
        <v>3743</v>
      </c>
      <c r="M1734" s="4" t="s">
        <v>3746</v>
      </c>
      <c r="N1734" s="4" t="s">
        <v>3766</v>
      </c>
      <c r="O1734" s="17">
        <f>INDEX('список ID из СУЭ с должностями'!$A:$F,MATCH(E1734,'список ID из СУЭ с должностями'!$B:$B,0),5)</f>
        <v>0</v>
      </c>
    </row>
    <row r="1735" spans="1:15" ht="165">
      <c r="A1735" s="3" t="s">
        <v>10</v>
      </c>
      <c r="B1735" s="3" t="s">
        <v>11</v>
      </c>
      <c r="C1735" s="4">
        <v>2026</v>
      </c>
      <c r="D1735" s="5" t="s">
        <v>12</v>
      </c>
      <c r="E1735" s="4">
        <v>243</v>
      </c>
      <c r="F1735" s="4" t="s">
        <v>84</v>
      </c>
      <c r="G1735" s="4" t="s">
        <v>1381</v>
      </c>
      <c r="H1735" s="4" t="s">
        <v>15</v>
      </c>
      <c r="I1735" s="4" t="s">
        <v>1392</v>
      </c>
      <c r="J1735" s="4" t="s">
        <v>1393</v>
      </c>
      <c r="K1735" s="4" t="s">
        <v>1386</v>
      </c>
      <c r="L1735" s="4" t="s">
        <v>3743</v>
      </c>
      <c r="M1735" s="4" t="s">
        <v>3746</v>
      </c>
      <c r="N1735" s="4" t="s">
        <v>3766</v>
      </c>
      <c r="O1735" s="17">
        <f>INDEX('список ID из СУЭ с должностями'!$A:$F,MATCH(E1735,'список ID из СУЭ с должностями'!$B:$B,0),5)</f>
        <v>0</v>
      </c>
    </row>
    <row r="1736" spans="1:15" ht="409.5">
      <c r="A1736" s="3" t="s">
        <v>10</v>
      </c>
      <c r="B1736" s="3" t="s">
        <v>11</v>
      </c>
      <c r="C1736" s="4">
        <v>2026</v>
      </c>
      <c r="D1736" s="5" t="s">
        <v>12</v>
      </c>
      <c r="E1736" s="4">
        <v>244</v>
      </c>
      <c r="F1736" s="4" t="s">
        <v>458</v>
      </c>
      <c r="G1736" s="4" t="s">
        <v>1004</v>
      </c>
      <c r="H1736" s="4" t="s">
        <v>21</v>
      </c>
      <c r="I1736" s="4" t="s">
        <v>437</v>
      </c>
      <c r="J1736" s="4" t="s">
        <v>1704</v>
      </c>
      <c r="K1736" s="4" t="s">
        <v>52</v>
      </c>
      <c r="L1736" s="4" t="s">
        <v>3743</v>
      </c>
      <c r="M1736" s="4" t="s">
        <v>3746</v>
      </c>
      <c r="N1736" s="4" t="s">
        <v>3747</v>
      </c>
      <c r="O1736" s="17">
        <f>INDEX('список ID из СУЭ с должностями'!$A:$F,MATCH(E1736,'список ID из СУЭ с должностями'!$B:$B,0),5)</f>
        <v>0</v>
      </c>
    </row>
    <row r="1737" spans="1:15" ht="409.5">
      <c r="A1737" s="3" t="s">
        <v>10</v>
      </c>
      <c r="B1737" s="3" t="s">
        <v>11</v>
      </c>
      <c r="C1737" s="4">
        <v>2026</v>
      </c>
      <c r="D1737" s="5" t="s">
        <v>12</v>
      </c>
      <c r="E1737" s="4">
        <v>244</v>
      </c>
      <c r="F1737" s="4" t="s">
        <v>458</v>
      </c>
      <c r="G1737" s="4" t="s">
        <v>1004</v>
      </c>
      <c r="H1737" s="4" t="s">
        <v>21</v>
      </c>
      <c r="I1737" s="4" t="s">
        <v>1168</v>
      </c>
      <c r="J1737" s="4" t="s">
        <v>1709</v>
      </c>
      <c r="K1737" s="4" t="s">
        <v>25</v>
      </c>
      <c r="L1737" s="4" t="s">
        <v>3743</v>
      </c>
      <c r="M1737" s="4" t="s">
        <v>3746</v>
      </c>
      <c r="N1737" s="4" t="s">
        <v>3747</v>
      </c>
      <c r="O1737" s="17">
        <f>INDEX('список ID из СУЭ с должностями'!$A:$F,MATCH(E1737,'список ID из СУЭ с должностями'!$B:$B,0),5)</f>
        <v>0</v>
      </c>
    </row>
    <row r="1738" spans="1:15" ht="409.5">
      <c r="A1738" s="3" t="s">
        <v>10</v>
      </c>
      <c r="B1738" s="3" t="s">
        <v>11</v>
      </c>
      <c r="C1738" s="4">
        <v>2026</v>
      </c>
      <c r="D1738" s="5" t="s">
        <v>12</v>
      </c>
      <c r="E1738" s="4">
        <v>244</v>
      </c>
      <c r="F1738" s="4" t="s">
        <v>458</v>
      </c>
      <c r="G1738" s="4" t="s">
        <v>1004</v>
      </c>
      <c r="H1738" s="4" t="s">
        <v>15</v>
      </c>
      <c r="I1738" s="4" t="s">
        <v>460</v>
      </c>
      <c r="J1738" s="4" t="s">
        <v>1170</v>
      </c>
      <c r="K1738" s="4" t="s">
        <v>38</v>
      </c>
      <c r="L1738" s="4" t="s">
        <v>3743</v>
      </c>
      <c r="M1738" s="4" t="s">
        <v>3746</v>
      </c>
      <c r="N1738" s="4" t="s">
        <v>3747</v>
      </c>
      <c r="O1738" s="17">
        <f>INDEX('список ID из СУЭ с должностями'!$A:$F,MATCH(E1738,'список ID из СУЭ с должностями'!$B:$B,0),5)</f>
        <v>0</v>
      </c>
    </row>
    <row r="1739" spans="1:15" ht="150">
      <c r="A1739" s="3" t="s">
        <v>10</v>
      </c>
      <c r="B1739" s="3" t="s">
        <v>11</v>
      </c>
      <c r="C1739" s="4">
        <v>2026</v>
      </c>
      <c r="D1739" s="5" t="s">
        <v>12</v>
      </c>
      <c r="E1739" s="4">
        <v>244</v>
      </c>
      <c r="F1739" s="4" t="s">
        <v>458</v>
      </c>
      <c r="G1739" s="4" t="s">
        <v>1004</v>
      </c>
      <c r="H1739" s="4" t="s">
        <v>21</v>
      </c>
      <c r="I1739" s="4" t="s">
        <v>1171</v>
      </c>
      <c r="J1739" s="4" t="s">
        <v>1172</v>
      </c>
      <c r="K1739" s="4" t="s">
        <v>230</v>
      </c>
      <c r="L1739" s="4" t="s">
        <v>3743</v>
      </c>
      <c r="M1739" s="4" t="s">
        <v>3746</v>
      </c>
      <c r="N1739" s="4" t="s">
        <v>3754</v>
      </c>
      <c r="O1739" s="17">
        <f>INDEX('список ID из СУЭ с должностями'!$A:$F,MATCH(E1739,'список ID из СУЭ с должностями'!$B:$B,0),5)</f>
        <v>0</v>
      </c>
    </row>
    <row r="1740" spans="1:15" ht="405">
      <c r="A1740" s="3" t="s">
        <v>10</v>
      </c>
      <c r="B1740" s="3" t="s">
        <v>11</v>
      </c>
      <c r="C1740" s="4">
        <v>2026</v>
      </c>
      <c r="D1740" s="5" t="s">
        <v>12</v>
      </c>
      <c r="E1740" s="4">
        <v>244</v>
      </c>
      <c r="F1740" s="4" t="s">
        <v>458</v>
      </c>
      <c r="G1740" s="4" t="s">
        <v>1004</v>
      </c>
      <c r="H1740" s="4" t="s">
        <v>15</v>
      </c>
      <c r="I1740" s="4" t="s">
        <v>855</v>
      </c>
      <c r="J1740" s="4" t="s">
        <v>2078</v>
      </c>
      <c r="K1740" s="4" t="s">
        <v>66</v>
      </c>
      <c r="L1740" s="4" t="s">
        <v>3743</v>
      </c>
      <c r="M1740" s="4" t="s">
        <v>3746</v>
      </c>
      <c r="N1740" s="4" t="s">
        <v>3747</v>
      </c>
      <c r="O1740" s="17">
        <f>INDEX('список ID из СУЭ с должностями'!$A:$F,MATCH(E1740,'список ID из СУЭ с должностями'!$B:$B,0),5)</f>
        <v>0</v>
      </c>
    </row>
    <row r="1741" spans="1:15" ht="315">
      <c r="A1741" s="3" t="s">
        <v>10</v>
      </c>
      <c r="B1741" s="3" t="s">
        <v>11</v>
      </c>
      <c r="C1741" s="4">
        <v>2026</v>
      </c>
      <c r="D1741" s="5" t="s">
        <v>12</v>
      </c>
      <c r="E1741" s="4">
        <v>244</v>
      </c>
      <c r="F1741" s="4" t="s">
        <v>458</v>
      </c>
      <c r="G1741" s="4" t="s">
        <v>1004</v>
      </c>
      <c r="H1741" s="4" t="s">
        <v>15</v>
      </c>
      <c r="I1741" s="4" t="s">
        <v>147</v>
      </c>
      <c r="J1741" s="4" t="s">
        <v>1706</v>
      </c>
      <c r="K1741" s="4" t="s">
        <v>35</v>
      </c>
      <c r="L1741" s="4" t="s">
        <v>3743</v>
      </c>
      <c r="M1741" s="4" t="s">
        <v>3746</v>
      </c>
      <c r="N1741" s="4" t="s">
        <v>3747</v>
      </c>
      <c r="O1741" s="17">
        <f>INDEX('список ID из СУЭ с должностями'!$A:$F,MATCH(E1741,'список ID из СУЭ с должностями'!$B:$B,0),5)</f>
        <v>0</v>
      </c>
    </row>
    <row r="1742" spans="1:15" ht="330">
      <c r="A1742" s="3" t="s">
        <v>10</v>
      </c>
      <c r="B1742" s="3" t="s">
        <v>11</v>
      </c>
      <c r="C1742" s="4">
        <v>2026</v>
      </c>
      <c r="D1742" s="5" t="s">
        <v>12</v>
      </c>
      <c r="E1742" s="4">
        <v>244</v>
      </c>
      <c r="F1742" s="4" t="s">
        <v>458</v>
      </c>
      <c r="G1742" s="4" t="s">
        <v>1004</v>
      </c>
      <c r="H1742" s="4" t="s">
        <v>15</v>
      </c>
      <c r="I1742" s="4" t="s">
        <v>303</v>
      </c>
      <c r="J1742" s="4" t="s">
        <v>1707</v>
      </c>
      <c r="K1742" s="4" t="s">
        <v>66</v>
      </c>
      <c r="L1742" s="4" t="s">
        <v>3743</v>
      </c>
      <c r="M1742" s="4" t="s">
        <v>3746</v>
      </c>
      <c r="N1742" s="4" t="s">
        <v>3747</v>
      </c>
      <c r="O1742" s="17">
        <f>INDEX('список ID из СУЭ с должностями'!$A:$F,MATCH(E1742,'список ID из СУЭ с должностями'!$B:$B,0),5)</f>
        <v>0</v>
      </c>
    </row>
    <row r="1743" spans="1:15" ht="409.5">
      <c r="A1743" s="3" t="s">
        <v>10</v>
      </c>
      <c r="B1743" s="3" t="s">
        <v>11</v>
      </c>
      <c r="C1743" s="4">
        <v>2026</v>
      </c>
      <c r="D1743" s="5" t="s">
        <v>12</v>
      </c>
      <c r="E1743" s="4">
        <v>244</v>
      </c>
      <c r="F1743" s="4" t="s">
        <v>458</v>
      </c>
      <c r="G1743" s="4" t="s">
        <v>1004</v>
      </c>
      <c r="H1743" s="4" t="s">
        <v>15</v>
      </c>
      <c r="I1743" s="4" t="s">
        <v>149</v>
      </c>
      <c r="J1743" s="4" t="s">
        <v>2079</v>
      </c>
      <c r="K1743" s="4" t="s">
        <v>52</v>
      </c>
      <c r="L1743" s="4" t="s">
        <v>3743</v>
      </c>
      <c r="M1743" s="4" t="s">
        <v>3746</v>
      </c>
      <c r="N1743" s="4" t="s">
        <v>3747</v>
      </c>
      <c r="O1743" s="17">
        <f>INDEX('список ID из СУЭ с должностями'!$A:$F,MATCH(E1743,'список ID из СУЭ с должностями'!$B:$B,0),5)</f>
        <v>0</v>
      </c>
    </row>
    <row r="1744" spans="1:15" ht="60">
      <c r="A1744" s="3" t="s">
        <v>10</v>
      </c>
      <c r="B1744" s="3" t="s">
        <v>11</v>
      </c>
      <c r="C1744" s="4">
        <v>2026</v>
      </c>
      <c r="D1744" s="5" t="s">
        <v>12</v>
      </c>
      <c r="E1744" s="4">
        <v>245</v>
      </c>
      <c r="F1744" s="4" t="s">
        <v>153</v>
      </c>
      <c r="G1744" s="4" t="s">
        <v>205</v>
      </c>
      <c r="H1744" s="4" t="s">
        <v>15</v>
      </c>
      <c r="I1744" s="4" t="s">
        <v>175</v>
      </c>
      <c r="J1744" s="4" t="s">
        <v>207</v>
      </c>
      <c r="K1744" s="4" t="s">
        <v>38</v>
      </c>
      <c r="L1744" s="4" t="s">
        <v>3743</v>
      </c>
      <c r="M1744" s="4" t="s">
        <v>3746</v>
      </c>
      <c r="N1744" s="4" t="s">
        <v>3747</v>
      </c>
      <c r="O1744" s="17">
        <f>INDEX('список ID из СУЭ с должностями'!$A:$F,MATCH(E1744,'список ID из СУЭ с должностями'!$B:$B,0),5)</f>
        <v>0</v>
      </c>
    </row>
    <row r="1745" spans="1:15" ht="90">
      <c r="A1745" s="3" t="s">
        <v>10</v>
      </c>
      <c r="B1745" s="3" t="s">
        <v>11</v>
      </c>
      <c r="C1745" s="4">
        <v>2026</v>
      </c>
      <c r="D1745" s="5" t="s">
        <v>12</v>
      </c>
      <c r="E1745" s="4">
        <v>245</v>
      </c>
      <c r="F1745" s="4" t="s">
        <v>153</v>
      </c>
      <c r="G1745" s="4" t="s">
        <v>205</v>
      </c>
      <c r="H1745" s="4" t="s">
        <v>15</v>
      </c>
      <c r="I1745" s="4" t="s">
        <v>159</v>
      </c>
      <c r="J1745" s="4" t="s">
        <v>213</v>
      </c>
      <c r="K1745" s="4" t="s">
        <v>20</v>
      </c>
      <c r="L1745" s="4" t="s">
        <v>3743</v>
      </c>
      <c r="M1745" s="4" t="s">
        <v>3746</v>
      </c>
      <c r="N1745" s="4" t="s">
        <v>3747</v>
      </c>
      <c r="O1745" s="17">
        <f>INDEX('список ID из СУЭ с должностями'!$A:$F,MATCH(E1745,'список ID из СУЭ с должностями'!$B:$B,0),5)</f>
        <v>0</v>
      </c>
    </row>
    <row r="1746" spans="1:15" ht="90">
      <c r="A1746" s="3" t="s">
        <v>10</v>
      </c>
      <c r="B1746" s="3" t="s">
        <v>11</v>
      </c>
      <c r="C1746" s="4">
        <v>2026</v>
      </c>
      <c r="D1746" s="5" t="s">
        <v>12</v>
      </c>
      <c r="E1746" s="4">
        <v>245</v>
      </c>
      <c r="F1746" s="4" t="s">
        <v>153</v>
      </c>
      <c r="G1746" s="4" t="s">
        <v>205</v>
      </c>
      <c r="H1746" s="4" t="s">
        <v>21</v>
      </c>
      <c r="I1746" s="4" t="s">
        <v>155</v>
      </c>
      <c r="J1746" s="4" t="s">
        <v>156</v>
      </c>
      <c r="K1746" s="4" t="s">
        <v>30</v>
      </c>
      <c r="L1746" s="4" t="s">
        <v>3743</v>
      </c>
      <c r="M1746" s="4" t="s">
        <v>3746</v>
      </c>
      <c r="N1746" s="4" t="s">
        <v>3747</v>
      </c>
      <c r="O1746" s="17">
        <f>INDEX('список ID из СУЭ с должностями'!$A:$F,MATCH(E1746,'список ID из СУЭ с должностями'!$B:$B,0),5)</f>
        <v>0</v>
      </c>
    </row>
    <row r="1747" spans="1:15" ht="60">
      <c r="A1747" s="3" t="s">
        <v>10</v>
      </c>
      <c r="B1747" s="3" t="s">
        <v>11</v>
      </c>
      <c r="C1747" s="4">
        <v>2026</v>
      </c>
      <c r="D1747" s="5" t="s">
        <v>12</v>
      </c>
      <c r="E1747" s="4">
        <v>245</v>
      </c>
      <c r="F1747" s="4" t="s">
        <v>153</v>
      </c>
      <c r="G1747" s="4" t="s">
        <v>205</v>
      </c>
      <c r="H1747" s="4" t="s">
        <v>15</v>
      </c>
      <c r="I1747" s="4" t="s">
        <v>161</v>
      </c>
      <c r="J1747" s="4" t="s">
        <v>162</v>
      </c>
      <c r="K1747" s="4" t="s">
        <v>151</v>
      </c>
      <c r="L1747" s="4" t="s">
        <v>3743</v>
      </c>
      <c r="M1747" s="4" t="s">
        <v>3746</v>
      </c>
      <c r="N1747" s="4" t="s">
        <v>3747</v>
      </c>
      <c r="O1747" s="17">
        <f>INDEX('список ID из СУЭ с должностями'!$A:$F,MATCH(E1747,'список ID из СУЭ с должностями'!$B:$B,0),5)</f>
        <v>0</v>
      </c>
    </row>
    <row r="1748" spans="1:15" ht="60">
      <c r="A1748" s="3" t="s">
        <v>10</v>
      </c>
      <c r="B1748" s="3" t="s">
        <v>11</v>
      </c>
      <c r="C1748" s="4">
        <v>2026</v>
      </c>
      <c r="D1748" s="5" t="s">
        <v>12</v>
      </c>
      <c r="E1748" s="4">
        <v>245</v>
      </c>
      <c r="F1748" s="4" t="s">
        <v>153</v>
      </c>
      <c r="G1748" s="4" t="s">
        <v>205</v>
      </c>
      <c r="H1748" s="4" t="s">
        <v>41</v>
      </c>
      <c r="I1748" s="4" t="s">
        <v>165</v>
      </c>
      <c r="J1748" s="4" t="s">
        <v>166</v>
      </c>
      <c r="K1748" s="4" t="s">
        <v>151</v>
      </c>
      <c r="L1748" s="4" t="s">
        <v>3743</v>
      </c>
      <c r="M1748" s="4" t="s">
        <v>3746</v>
      </c>
      <c r="N1748" s="4" t="s">
        <v>3747</v>
      </c>
      <c r="O1748" s="17">
        <f>INDEX('список ID из СУЭ с должностями'!$A:$F,MATCH(E1748,'список ID из СУЭ с должностями'!$B:$B,0),5)</f>
        <v>0</v>
      </c>
    </row>
    <row r="1749" spans="1:15" ht="90">
      <c r="A1749" s="3" t="s">
        <v>10</v>
      </c>
      <c r="B1749" s="3" t="s">
        <v>11</v>
      </c>
      <c r="C1749" s="4">
        <v>2026</v>
      </c>
      <c r="D1749" s="5" t="s">
        <v>12</v>
      </c>
      <c r="E1749" s="4">
        <v>245</v>
      </c>
      <c r="F1749" s="4" t="s">
        <v>153</v>
      </c>
      <c r="G1749" s="4" t="s">
        <v>205</v>
      </c>
      <c r="H1749" s="4" t="s">
        <v>15</v>
      </c>
      <c r="I1749" s="4" t="s">
        <v>171</v>
      </c>
      <c r="J1749" s="4" t="s">
        <v>172</v>
      </c>
      <c r="K1749" s="4" t="s">
        <v>151</v>
      </c>
      <c r="L1749" s="4" t="s">
        <v>3743</v>
      </c>
      <c r="M1749" s="4" t="s">
        <v>3746</v>
      </c>
      <c r="N1749" s="4" t="s">
        <v>3747</v>
      </c>
      <c r="O1749" s="17">
        <f>INDEX('список ID из СУЭ с должностями'!$A:$F,MATCH(E1749,'список ID из СУЭ с должностями'!$B:$B,0),5)</f>
        <v>0</v>
      </c>
    </row>
    <row r="1750" spans="1:15" ht="135">
      <c r="A1750" s="3" t="s">
        <v>10</v>
      </c>
      <c r="B1750" s="3" t="s">
        <v>11</v>
      </c>
      <c r="C1750" s="4">
        <v>2026</v>
      </c>
      <c r="D1750" s="5" t="s">
        <v>12</v>
      </c>
      <c r="E1750" s="4">
        <v>245</v>
      </c>
      <c r="F1750" s="4" t="s">
        <v>153</v>
      </c>
      <c r="G1750" s="4" t="s">
        <v>205</v>
      </c>
      <c r="H1750" s="4" t="s">
        <v>15</v>
      </c>
      <c r="I1750" s="4" t="s">
        <v>167</v>
      </c>
      <c r="J1750" s="4" t="s">
        <v>214</v>
      </c>
      <c r="K1750" s="4" t="s">
        <v>20</v>
      </c>
      <c r="L1750" s="4" t="s">
        <v>3743</v>
      </c>
      <c r="M1750" s="4" t="s">
        <v>3746</v>
      </c>
      <c r="N1750" s="4" t="s">
        <v>3747</v>
      </c>
      <c r="O1750" s="17">
        <f>INDEX('список ID из СУЭ с должностями'!$A:$F,MATCH(E1750,'список ID из СУЭ с должностями'!$B:$B,0),5)</f>
        <v>0</v>
      </c>
    </row>
    <row r="1751" spans="1:15" ht="60">
      <c r="A1751" s="3" t="s">
        <v>10</v>
      </c>
      <c r="B1751" s="3" t="s">
        <v>11</v>
      </c>
      <c r="C1751" s="4">
        <v>2026</v>
      </c>
      <c r="D1751" s="5" t="s">
        <v>12</v>
      </c>
      <c r="E1751" s="4">
        <v>245</v>
      </c>
      <c r="F1751" s="4" t="s">
        <v>153</v>
      </c>
      <c r="G1751" s="4" t="s">
        <v>205</v>
      </c>
      <c r="H1751" s="4" t="s">
        <v>15</v>
      </c>
      <c r="I1751" s="4" t="s">
        <v>163</v>
      </c>
      <c r="J1751" s="4" t="s">
        <v>206</v>
      </c>
      <c r="K1751" s="4" t="s">
        <v>38</v>
      </c>
      <c r="L1751" s="4" t="s">
        <v>3742</v>
      </c>
      <c r="M1751" s="4" t="s">
        <v>3746</v>
      </c>
      <c r="N1751" s="4" t="s">
        <v>3747</v>
      </c>
      <c r="O1751" s="17">
        <f>INDEX('список ID из СУЭ с должностями'!$A:$F,MATCH(E1751,'список ID из СУЭ с должностями'!$B:$B,0),5)</f>
        <v>0</v>
      </c>
    </row>
    <row r="1752" spans="1:15" ht="60">
      <c r="A1752" s="3" t="s">
        <v>10</v>
      </c>
      <c r="B1752" s="3" t="s">
        <v>11</v>
      </c>
      <c r="C1752" s="4">
        <v>2026</v>
      </c>
      <c r="D1752" s="5" t="s">
        <v>12</v>
      </c>
      <c r="E1752" s="4">
        <v>245</v>
      </c>
      <c r="F1752" s="4" t="s">
        <v>153</v>
      </c>
      <c r="G1752" s="4" t="s">
        <v>205</v>
      </c>
      <c r="H1752" s="4" t="s">
        <v>15</v>
      </c>
      <c r="I1752" s="4" t="s">
        <v>215</v>
      </c>
      <c r="J1752" s="4" t="s">
        <v>211</v>
      </c>
      <c r="K1752" s="4" t="s">
        <v>151</v>
      </c>
      <c r="L1752" s="4" t="s">
        <v>3743</v>
      </c>
      <c r="M1752" s="4" t="s">
        <v>3746</v>
      </c>
      <c r="N1752" s="4" t="s">
        <v>3747</v>
      </c>
      <c r="O1752" s="17">
        <f>INDEX('список ID из СУЭ с должностями'!$A:$F,MATCH(E1752,'список ID из СУЭ с должностями'!$B:$B,0),5)</f>
        <v>0</v>
      </c>
    </row>
    <row r="1753" spans="1:15" ht="60">
      <c r="A1753" s="3" t="s">
        <v>10</v>
      </c>
      <c r="B1753" s="3" t="s">
        <v>11</v>
      </c>
      <c r="C1753" s="4">
        <v>2026</v>
      </c>
      <c r="D1753" s="5" t="s">
        <v>12</v>
      </c>
      <c r="E1753" s="4">
        <v>245</v>
      </c>
      <c r="F1753" s="4" t="s">
        <v>153</v>
      </c>
      <c r="G1753" s="4" t="s">
        <v>205</v>
      </c>
      <c r="H1753" s="4" t="s">
        <v>15</v>
      </c>
      <c r="I1753" s="4" t="s">
        <v>216</v>
      </c>
      <c r="J1753" s="4" t="s">
        <v>170</v>
      </c>
      <c r="K1753" s="4" t="s">
        <v>55</v>
      </c>
      <c r="L1753" s="4" t="s">
        <v>3743</v>
      </c>
      <c r="M1753" s="4" t="s">
        <v>3746</v>
      </c>
      <c r="N1753" s="4" t="s">
        <v>3747</v>
      </c>
      <c r="O1753" s="17">
        <f>INDEX('список ID из СУЭ с должностями'!$A:$F,MATCH(E1753,'список ID из СУЭ с должностями'!$B:$B,0),5)</f>
        <v>0</v>
      </c>
    </row>
    <row r="1754" spans="1:15" ht="135">
      <c r="A1754" s="3" t="s">
        <v>10</v>
      </c>
      <c r="B1754" s="3" t="s">
        <v>11</v>
      </c>
      <c r="C1754" s="4">
        <v>2026</v>
      </c>
      <c r="D1754" s="5" t="s">
        <v>12</v>
      </c>
      <c r="E1754" s="4">
        <v>246</v>
      </c>
      <c r="F1754" s="4" t="s">
        <v>67</v>
      </c>
      <c r="G1754" s="4" t="s">
        <v>2080</v>
      </c>
      <c r="H1754" s="4" t="s">
        <v>15</v>
      </c>
      <c r="I1754" s="4" t="s">
        <v>806</v>
      </c>
      <c r="J1754" s="4" t="s">
        <v>2081</v>
      </c>
      <c r="K1754" s="4" t="s">
        <v>38</v>
      </c>
      <c r="L1754" s="4" t="s">
        <v>3743</v>
      </c>
      <c r="M1754" s="4" t="s">
        <v>3746</v>
      </c>
      <c r="N1754" s="4" t="s">
        <v>3747</v>
      </c>
      <c r="O1754" s="17">
        <f>INDEX('список ID из СУЭ с должностями'!$A:$F,MATCH(E1754,'список ID из СУЭ с должностями'!$B:$B,0),5)</f>
        <v>0</v>
      </c>
    </row>
    <row r="1755" spans="1:15" ht="150">
      <c r="A1755" s="3" t="s">
        <v>10</v>
      </c>
      <c r="B1755" s="3" t="s">
        <v>11</v>
      </c>
      <c r="C1755" s="4">
        <v>2026</v>
      </c>
      <c r="D1755" s="5" t="s">
        <v>12</v>
      </c>
      <c r="E1755" s="4">
        <v>246</v>
      </c>
      <c r="F1755" s="4" t="s">
        <v>67</v>
      </c>
      <c r="G1755" s="4" t="s">
        <v>2080</v>
      </c>
      <c r="H1755" s="4" t="s">
        <v>15</v>
      </c>
      <c r="I1755" s="4" t="s">
        <v>809</v>
      </c>
      <c r="J1755" s="4" t="s">
        <v>2082</v>
      </c>
      <c r="K1755" s="4" t="s">
        <v>52</v>
      </c>
      <c r="L1755" s="4" t="s">
        <v>3743</v>
      </c>
      <c r="M1755" s="4" t="s">
        <v>3746</v>
      </c>
      <c r="N1755" s="4" t="s">
        <v>3747</v>
      </c>
      <c r="O1755" s="17">
        <f>INDEX('список ID из СУЭ с должностями'!$A:$F,MATCH(E1755,'список ID из СУЭ с должностями'!$B:$B,0),5)</f>
        <v>0</v>
      </c>
    </row>
    <row r="1756" spans="1:15" ht="255">
      <c r="A1756" s="3" t="s">
        <v>10</v>
      </c>
      <c r="B1756" s="3" t="s">
        <v>11</v>
      </c>
      <c r="C1756" s="4">
        <v>2026</v>
      </c>
      <c r="D1756" s="5" t="s">
        <v>12</v>
      </c>
      <c r="E1756" s="4">
        <v>246</v>
      </c>
      <c r="F1756" s="4" t="s">
        <v>67</v>
      </c>
      <c r="G1756" s="4" t="s">
        <v>2080</v>
      </c>
      <c r="H1756" s="4" t="s">
        <v>15</v>
      </c>
      <c r="I1756" s="4" t="s">
        <v>857</v>
      </c>
      <c r="J1756" s="4" t="s">
        <v>2083</v>
      </c>
      <c r="K1756" s="4" t="s">
        <v>35</v>
      </c>
      <c r="L1756" s="4" t="s">
        <v>3743</v>
      </c>
      <c r="M1756" s="4" t="s">
        <v>3746</v>
      </c>
      <c r="N1756" s="4" t="s">
        <v>3747</v>
      </c>
      <c r="O1756" s="17">
        <f>INDEX('список ID из СУЭ с должностями'!$A:$F,MATCH(E1756,'список ID из СУЭ с должностями'!$B:$B,0),5)</f>
        <v>0</v>
      </c>
    </row>
    <row r="1757" spans="1:15" ht="135">
      <c r="A1757" s="3" t="s">
        <v>10</v>
      </c>
      <c r="B1757" s="3" t="s">
        <v>11</v>
      </c>
      <c r="C1757" s="4">
        <v>2026</v>
      </c>
      <c r="D1757" s="5" t="s">
        <v>12</v>
      </c>
      <c r="E1757" s="4">
        <v>246</v>
      </c>
      <c r="F1757" s="4" t="s">
        <v>67</v>
      </c>
      <c r="G1757" s="4" t="s">
        <v>2080</v>
      </c>
      <c r="H1757" s="4" t="s">
        <v>15</v>
      </c>
      <c r="I1757" s="4" t="s">
        <v>812</v>
      </c>
      <c r="J1757" s="4" t="s">
        <v>2084</v>
      </c>
      <c r="K1757" s="4" t="s">
        <v>66</v>
      </c>
      <c r="L1757" s="4" t="s">
        <v>3743</v>
      </c>
      <c r="M1757" s="4" t="s">
        <v>3746</v>
      </c>
      <c r="N1757" s="4" t="s">
        <v>3747</v>
      </c>
      <c r="O1757" s="17">
        <f>INDEX('список ID из СУЭ с должностями'!$A:$F,MATCH(E1757,'список ID из СУЭ с должностями'!$B:$B,0),5)</f>
        <v>0</v>
      </c>
    </row>
    <row r="1758" spans="1:15" ht="150">
      <c r="A1758" s="3" t="s">
        <v>10</v>
      </c>
      <c r="B1758" s="3" t="s">
        <v>11</v>
      </c>
      <c r="C1758" s="4">
        <v>2026</v>
      </c>
      <c r="D1758" s="5" t="s">
        <v>12</v>
      </c>
      <c r="E1758" s="4">
        <v>246</v>
      </c>
      <c r="F1758" s="4" t="s">
        <v>67</v>
      </c>
      <c r="G1758" s="4" t="s">
        <v>2080</v>
      </c>
      <c r="H1758" s="4" t="s">
        <v>15</v>
      </c>
      <c r="I1758" s="4" t="s">
        <v>303</v>
      </c>
      <c r="J1758" s="4" t="s">
        <v>2085</v>
      </c>
      <c r="K1758" s="4" t="s">
        <v>66</v>
      </c>
      <c r="L1758" s="4" t="s">
        <v>3743</v>
      </c>
      <c r="M1758" s="4" t="s">
        <v>3746</v>
      </c>
      <c r="N1758" s="4" t="s">
        <v>3747</v>
      </c>
      <c r="O1758" s="17">
        <f>INDEX('список ID из СУЭ с должностями'!$A:$F,MATCH(E1758,'список ID из СУЭ с должностями'!$B:$B,0),5)</f>
        <v>0</v>
      </c>
    </row>
    <row r="1759" spans="1:15" ht="135">
      <c r="A1759" s="3" t="s">
        <v>10</v>
      </c>
      <c r="B1759" s="3" t="s">
        <v>11</v>
      </c>
      <c r="C1759" s="4">
        <v>2026</v>
      </c>
      <c r="D1759" s="5" t="s">
        <v>12</v>
      </c>
      <c r="E1759" s="4">
        <v>247</v>
      </c>
      <c r="F1759" s="4" t="s">
        <v>454</v>
      </c>
      <c r="G1759" s="4" t="s">
        <v>2086</v>
      </c>
      <c r="H1759" s="4" t="s">
        <v>15</v>
      </c>
      <c r="I1759" s="4" t="s">
        <v>806</v>
      </c>
      <c r="J1759" s="4" t="s">
        <v>807</v>
      </c>
      <c r="K1759" s="4" t="s">
        <v>38</v>
      </c>
      <c r="L1759" s="4" t="s">
        <v>3743</v>
      </c>
      <c r="M1759" s="4" t="s">
        <v>3746</v>
      </c>
      <c r="N1759" s="4" t="s">
        <v>3747</v>
      </c>
      <c r="O1759" s="17">
        <f>INDEX('список ID из СУЭ с должностями'!$A:$F,MATCH(E1759,'список ID из СУЭ с должностями'!$B:$B,0),5)</f>
        <v>0</v>
      </c>
    </row>
    <row r="1760" spans="1:15" ht="135">
      <c r="A1760" s="3" t="s">
        <v>10</v>
      </c>
      <c r="B1760" s="3" t="s">
        <v>11</v>
      </c>
      <c r="C1760" s="4">
        <v>2026</v>
      </c>
      <c r="D1760" s="5" t="s">
        <v>12</v>
      </c>
      <c r="E1760" s="4">
        <v>247</v>
      </c>
      <c r="F1760" s="4" t="s">
        <v>454</v>
      </c>
      <c r="G1760" s="4" t="s">
        <v>2086</v>
      </c>
      <c r="H1760" s="4" t="s">
        <v>15</v>
      </c>
      <c r="I1760" s="4" t="s">
        <v>855</v>
      </c>
      <c r="J1760" s="4" t="s">
        <v>1823</v>
      </c>
      <c r="K1760" s="4" t="s">
        <v>66</v>
      </c>
      <c r="L1760" s="4" t="s">
        <v>3743</v>
      </c>
      <c r="M1760" s="4" t="s">
        <v>3746</v>
      </c>
      <c r="N1760" s="4" t="s">
        <v>3747</v>
      </c>
      <c r="O1760" s="17">
        <f>INDEX('список ID из СУЭ с должностями'!$A:$F,MATCH(E1760,'список ID из СУЭ с должностями'!$B:$B,0),5)</f>
        <v>0</v>
      </c>
    </row>
    <row r="1761" spans="1:15" ht="210">
      <c r="A1761" s="3" t="s">
        <v>10</v>
      </c>
      <c r="B1761" s="3" t="s">
        <v>11</v>
      </c>
      <c r="C1761" s="4">
        <v>2026</v>
      </c>
      <c r="D1761" s="5" t="s">
        <v>12</v>
      </c>
      <c r="E1761" s="4">
        <v>247</v>
      </c>
      <c r="F1761" s="4" t="s">
        <v>454</v>
      </c>
      <c r="G1761" s="4" t="s">
        <v>2086</v>
      </c>
      <c r="H1761" s="4" t="s">
        <v>15</v>
      </c>
      <c r="I1761" s="4" t="s">
        <v>147</v>
      </c>
      <c r="J1761" s="4" t="s">
        <v>1824</v>
      </c>
      <c r="K1761" s="4" t="s">
        <v>35</v>
      </c>
      <c r="L1761" s="4" t="s">
        <v>3743</v>
      </c>
      <c r="M1761" s="4" t="s">
        <v>3746</v>
      </c>
      <c r="N1761" s="4" t="s">
        <v>3747</v>
      </c>
      <c r="O1761" s="17">
        <f>INDEX('список ID из СУЭ с должностями'!$A:$F,MATCH(E1761,'список ID из СУЭ с должностями'!$B:$B,0),5)</f>
        <v>0</v>
      </c>
    </row>
    <row r="1762" spans="1:15" ht="135">
      <c r="A1762" s="3" t="s">
        <v>10</v>
      </c>
      <c r="B1762" s="3" t="s">
        <v>11</v>
      </c>
      <c r="C1762" s="4">
        <v>2026</v>
      </c>
      <c r="D1762" s="5" t="s">
        <v>12</v>
      </c>
      <c r="E1762" s="4">
        <v>247</v>
      </c>
      <c r="F1762" s="4" t="s">
        <v>454</v>
      </c>
      <c r="G1762" s="4" t="s">
        <v>2086</v>
      </c>
      <c r="H1762" s="4" t="s">
        <v>15</v>
      </c>
      <c r="I1762" s="4" t="s">
        <v>149</v>
      </c>
      <c r="J1762" s="4" t="s">
        <v>1825</v>
      </c>
      <c r="K1762" s="4" t="s">
        <v>52</v>
      </c>
      <c r="L1762" s="4" t="s">
        <v>3743</v>
      </c>
      <c r="M1762" s="4" t="s">
        <v>3746</v>
      </c>
      <c r="N1762" s="4" t="s">
        <v>3747</v>
      </c>
      <c r="O1762" s="17">
        <f>INDEX('список ID из СУЭ с должностями'!$A:$F,MATCH(E1762,'список ID из СУЭ с должностями'!$B:$B,0),5)</f>
        <v>0</v>
      </c>
    </row>
    <row r="1763" spans="1:15" ht="225">
      <c r="A1763" s="3" t="s">
        <v>10</v>
      </c>
      <c r="B1763" s="3" t="s">
        <v>11</v>
      </c>
      <c r="C1763" s="4">
        <v>2026</v>
      </c>
      <c r="D1763" s="5" t="s">
        <v>12</v>
      </c>
      <c r="E1763" s="4">
        <v>247</v>
      </c>
      <c r="F1763" s="4" t="s">
        <v>454</v>
      </c>
      <c r="G1763" s="4" t="s">
        <v>2086</v>
      </c>
      <c r="H1763" s="4" t="s">
        <v>15</v>
      </c>
      <c r="I1763" s="4" t="s">
        <v>303</v>
      </c>
      <c r="J1763" s="4" t="s">
        <v>1826</v>
      </c>
      <c r="K1763" s="4" t="s">
        <v>52</v>
      </c>
      <c r="L1763" s="4" t="s">
        <v>3743</v>
      </c>
      <c r="M1763" s="4" t="s">
        <v>3746</v>
      </c>
      <c r="N1763" s="4" t="s">
        <v>3747</v>
      </c>
      <c r="O1763" s="17">
        <f>INDEX('список ID из СУЭ с должностями'!$A:$F,MATCH(E1763,'список ID из СУЭ с должностями'!$B:$B,0),5)</f>
        <v>0</v>
      </c>
    </row>
    <row r="1764" spans="1:15" ht="75">
      <c r="A1764" s="3" t="s">
        <v>10</v>
      </c>
      <c r="B1764" s="3" t="s">
        <v>11</v>
      </c>
      <c r="C1764" s="4">
        <v>2026</v>
      </c>
      <c r="D1764" s="5" t="s">
        <v>12</v>
      </c>
      <c r="E1764" s="4">
        <v>248</v>
      </c>
      <c r="F1764" s="4" t="s">
        <v>280</v>
      </c>
      <c r="G1764" s="4" t="s">
        <v>1504</v>
      </c>
      <c r="H1764" s="4" t="s">
        <v>21</v>
      </c>
      <c r="I1764" s="4" t="s">
        <v>2041</v>
      </c>
      <c r="J1764" s="4" t="s">
        <v>2042</v>
      </c>
      <c r="K1764" s="4" t="s">
        <v>52</v>
      </c>
      <c r="L1764" s="4" t="s">
        <v>3742</v>
      </c>
      <c r="M1764" s="4" t="s">
        <v>3746</v>
      </c>
      <c r="N1764" s="4" t="s">
        <v>3747</v>
      </c>
      <c r="O1764" s="17" t="str">
        <f>INDEX('список ID из СУЭ с должностями'!$A:$F,MATCH(E1764,'список ID из СУЭ с должностями'!$B:$B,0),5)</f>
        <v>ВИП</v>
      </c>
    </row>
    <row r="1765" spans="1:15" ht="75">
      <c r="A1765" s="3" t="s">
        <v>10</v>
      </c>
      <c r="B1765" s="3" t="s">
        <v>11</v>
      </c>
      <c r="C1765" s="4">
        <v>2026</v>
      </c>
      <c r="D1765" s="5" t="s">
        <v>12</v>
      </c>
      <c r="E1765" s="4">
        <v>248</v>
      </c>
      <c r="F1765" s="4" t="s">
        <v>280</v>
      </c>
      <c r="G1765" s="4" t="s">
        <v>1504</v>
      </c>
      <c r="H1765" s="4" t="s">
        <v>21</v>
      </c>
      <c r="I1765" s="4" t="s">
        <v>2046</v>
      </c>
      <c r="J1765" s="4" t="s">
        <v>65</v>
      </c>
      <c r="K1765" s="4" t="s">
        <v>66</v>
      </c>
      <c r="L1765" s="4" t="s">
        <v>3742</v>
      </c>
      <c r="M1765" s="4" t="s">
        <v>3746</v>
      </c>
      <c r="N1765" s="4" t="s">
        <v>3747</v>
      </c>
      <c r="O1765" s="17" t="str">
        <f>INDEX('список ID из СУЭ с должностями'!$A:$F,MATCH(E1765,'список ID из СУЭ с должностями'!$B:$B,0),5)</f>
        <v>ВИП</v>
      </c>
    </row>
    <row r="1766" spans="1:15" ht="75">
      <c r="A1766" s="3" t="s">
        <v>10</v>
      </c>
      <c r="B1766" s="3" t="s">
        <v>11</v>
      </c>
      <c r="C1766" s="4">
        <v>2026</v>
      </c>
      <c r="D1766" s="5" t="s">
        <v>12</v>
      </c>
      <c r="E1766" s="4">
        <v>248</v>
      </c>
      <c r="F1766" s="4" t="s">
        <v>280</v>
      </c>
      <c r="G1766" s="4" t="s">
        <v>1504</v>
      </c>
      <c r="H1766" s="4" t="s">
        <v>15</v>
      </c>
      <c r="I1766" s="4" t="s">
        <v>62</v>
      </c>
      <c r="J1766" s="4" t="s">
        <v>2038</v>
      </c>
      <c r="K1766" s="4" t="s">
        <v>66</v>
      </c>
      <c r="L1766" s="4" t="s">
        <v>3743</v>
      </c>
      <c r="M1766" s="4" t="s">
        <v>3746</v>
      </c>
      <c r="N1766" s="4" t="s">
        <v>3747</v>
      </c>
      <c r="O1766" s="17" t="str">
        <f>INDEX('список ID из СУЭ с должностями'!$A:$F,MATCH(E1766,'список ID из СУЭ с должностями'!$B:$B,0),5)</f>
        <v>ВИП</v>
      </c>
    </row>
    <row r="1767" spans="1:15" ht="75">
      <c r="A1767" s="3" t="s">
        <v>10</v>
      </c>
      <c r="B1767" s="3" t="s">
        <v>11</v>
      </c>
      <c r="C1767" s="4">
        <v>2026</v>
      </c>
      <c r="D1767" s="5" t="s">
        <v>12</v>
      </c>
      <c r="E1767" s="4">
        <v>248</v>
      </c>
      <c r="F1767" s="4" t="s">
        <v>280</v>
      </c>
      <c r="G1767" s="4" t="s">
        <v>1504</v>
      </c>
      <c r="H1767" s="4" t="s">
        <v>21</v>
      </c>
      <c r="I1767" s="4" t="s">
        <v>2043</v>
      </c>
      <c r="J1767" s="4" t="s">
        <v>2044</v>
      </c>
      <c r="K1767" s="4" t="s">
        <v>30</v>
      </c>
      <c r="L1767" s="4" t="s">
        <v>3742</v>
      </c>
      <c r="M1767" s="4" t="s">
        <v>3746</v>
      </c>
      <c r="N1767" s="4" t="s">
        <v>3747</v>
      </c>
      <c r="O1767" s="17" t="str">
        <f>INDEX('список ID из СУЭ с должностями'!$A:$F,MATCH(E1767,'список ID из СУЭ с должностями'!$B:$B,0),5)</f>
        <v>ВИП</v>
      </c>
    </row>
    <row r="1768" spans="1:15" ht="75">
      <c r="A1768" s="3" t="s">
        <v>10</v>
      </c>
      <c r="B1768" s="3" t="s">
        <v>11</v>
      </c>
      <c r="C1768" s="4">
        <v>2026</v>
      </c>
      <c r="D1768" s="5" t="s">
        <v>12</v>
      </c>
      <c r="E1768" s="4">
        <v>248</v>
      </c>
      <c r="F1768" s="4" t="s">
        <v>280</v>
      </c>
      <c r="G1768" s="4" t="s">
        <v>1504</v>
      </c>
      <c r="H1768" s="4" t="s">
        <v>21</v>
      </c>
      <c r="I1768" s="4" t="s">
        <v>56</v>
      </c>
      <c r="J1768" s="4" t="s">
        <v>2045</v>
      </c>
      <c r="K1768" s="4" t="s">
        <v>55</v>
      </c>
      <c r="L1768" s="4" t="s">
        <v>3743</v>
      </c>
      <c r="M1768" s="4" t="s">
        <v>3746</v>
      </c>
      <c r="N1768" s="4" t="s">
        <v>3747</v>
      </c>
      <c r="O1768" s="17" t="str">
        <f>INDEX('список ID из СУЭ с должностями'!$A:$F,MATCH(E1768,'список ID из СУЭ с должностями'!$B:$B,0),5)</f>
        <v>ВИП</v>
      </c>
    </row>
    <row r="1769" spans="1:15" ht="75">
      <c r="A1769" s="3" t="s">
        <v>10</v>
      </c>
      <c r="B1769" s="3" t="s">
        <v>11</v>
      </c>
      <c r="C1769" s="4">
        <v>2026</v>
      </c>
      <c r="D1769" s="5" t="s">
        <v>12</v>
      </c>
      <c r="E1769" s="4">
        <v>248</v>
      </c>
      <c r="F1769" s="4" t="s">
        <v>280</v>
      </c>
      <c r="G1769" s="4" t="s">
        <v>1504</v>
      </c>
      <c r="H1769" s="4" t="s">
        <v>15</v>
      </c>
      <c r="I1769" s="4" t="s">
        <v>42</v>
      </c>
      <c r="J1769" s="4" t="s">
        <v>2087</v>
      </c>
      <c r="K1769" s="4" t="s">
        <v>66</v>
      </c>
      <c r="L1769" s="4" t="s">
        <v>3743</v>
      </c>
      <c r="M1769" s="4" t="s">
        <v>3746</v>
      </c>
      <c r="N1769" s="4" t="s">
        <v>3747</v>
      </c>
      <c r="O1769" s="17" t="str">
        <f>INDEX('список ID из СУЭ с должностями'!$A:$F,MATCH(E1769,'список ID из СУЭ с должностями'!$B:$B,0),5)</f>
        <v>ВИП</v>
      </c>
    </row>
    <row r="1770" spans="1:15" ht="75">
      <c r="A1770" s="3" t="s">
        <v>10</v>
      </c>
      <c r="B1770" s="3" t="s">
        <v>11</v>
      </c>
      <c r="C1770" s="4">
        <v>2026</v>
      </c>
      <c r="D1770" s="5" t="s">
        <v>12</v>
      </c>
      <c r="E1770" s="4">
        <v>248</v>
      </c>
      <c r="F1770" s="4" t="s">
        <v>280</v>
      </c>
      <c r="G1770" s="4" t="s">
        <v>1504</v>
      </c>
      <c r="H1770" s="4" t="s">
        <v>21</v>
      </c>
      <c r="I1770" s="4" t="s">
        <v>2039</v>
      </c>
      <c r="J1770" s="4" t="s">
        <v>2040</v>
      </c>
      <c r="K1770" s="4" t="s">
        <v>55</v>
      </c>
      <c r="L1770" s="4" t="s">
        <v>3743</v>
      </c>
      <c r="M1770" s="4" t="s">
        <v>3746</v>
      </c>
      <c r="N1770" s="4" t="s">
        <v>3747</v>
      </c>
      <c r="O1770" s="17" t="str">
        <f>INDEX('список ID из СУЭ с должностями'!$A:$F,MATCH(E1770,'список ID из СУЭ с должностями'!$B:$B,0),5)</f>
        <v>ВИП</v>
      </c>
    </row>
    <row r="1771" spans="1:15" ht="240">
      <c r="A1771" s="3" t="s">
        <v>10</v>
      </c>
      <c r="B1771" s="3" t="s">
        <v>11</v>
      </c>
      <c r="C1771" s="4">
        <v>2026</v>
      </c>
      <c r="D1771" s="5" t="s">
        <v>12</v>
      </c>
      <c r="E1771" s="4">
        <v>248</v>
      </c>
      <c r="F1771" s="4" t="s">
        <v>280</v>
      </c>
      <c r="G1771" s="4" t="s">
        <v>1504</v>
      </c>
      <c r="H1771" s="4" t="s">
        <v>15</v>
      </c>
      <c r="I1771" s="4" t="s">
        <v>48</v>
      </c>
      <c r="J1771" s="4" t="s">
        <v>2047</v>
      </c>
      <c r="K1771" s="4" t="s">
        <v>35</v>
      </c>
      <c r="L1771" s="4" t="s">
        <v>3743</v>
      </c>
      <c r="M1771" s="4" t="s">
        <v>3746</v>
      </c>
      <c r="N1771" s="4" t="s">
        <v>3747</v>
      </c>
      <c r="O1771" s="17" t="str">
        <f>INDEX('список ID из СУЭ с должностями'!$A:$F,MATCH(E1771,'список ID из СУЭ с должностями'!$B:$B,0),5)</f>
        <v>ВИП</v>
      </c>
    </row>
    <row r="1772" spans="1:15" ht="75">
      <c r="A1772" s="3" t="s">
        <v>10</v>
      </c>
      <c r="B1772" s="3" t="s">
        <v>11</v>
      </c>
      <c r="C1772" s="4">
        <v>2026</v>
      </c>
      <c r="D1772" s="5" t="s">
        <v>12</v>
      </c>
      <c r="E1772" s="4">
        <v>248</v>
      </c>
      <c r="F1772" s="4" t="s">
        <v>280</v>
      </c>
      <c r="G1772" s="4" t="s">
        <v>1504</v>
      </c>
      <c r="H1772" s="4" t="s">
        <v>21</v>
      </c>
      <c r="I1772" s="4" t="s">
        <v>2048</v>
      </c>
      <c r="J1772" s="4" t="s">
        <v>2049</v>
      </c>
      <c r="K1772" s="4" t="s">
        <v>151</v>
      </c>
      <c r="L1772" s="4" t="s">
        <v>3742</v>
      </c>
      <c r="M1772" s="4" t="s">
        <v>3746</v>
      </c>
      <c r="N1772" s="4" t="s">
        <v>3747</v>
      </c>
      <c r="O1772" s="17" t="str">
        <f>INDEX('список ID из СУЭ с должностями'!$A:$F,MATCH(E1772,'список ID из СУЭ с должностями'!$B:$B,0),5)</f>
        <v>ВИП</v>
      </c>
    </row>
    <row r="1773" spans="1:15" ht="150">
      <c r="A1773" s="3" t="s">
        <v>10</v>
      </c>
      <c r="B1773" s="3" t="s">
        <v>11</v>
      </c>
      <c r="C1773" s="4">
        <v>2026</v>
      </c>
      <c r="D1773" s="5" t="s">
        <v>12</v>
      </c>
      <c r="E1773" s="4">
        <v>249</v>
      </c>
      <c r="F1773" s="4" t="s">
        <v>39</v>
      </c>
      <c r="G1773" s="4" t="s">
        <v>1450</v>
      </c>
      <c r="H1773" s="4" t="s">
        <v>41</v>
      </c>
      <c r="I1773" s="4" t="s">
        <v>42</v>
      </c>
      <c r="J1773" s="4" t="s">
        <v>43</v>
      </c>
      <c r="K1773" s="4" t="s">
        <v>25</v>
      </c>
      <c r="L1773" s="4" t="s">
        <v>3743</v>
      </c>
      <c r="M1773" s="4" t="s">
        <v>3746</v>
      </c>
      <c r="N1773" s="4" t="s">
        <v>3747</v>
      </c>
      <c r="O1773" s="17" t="str">
        <f>INDEX('список ID из СУЭ с должностями'!$A:$F,MATCH(E1773,'список ID из СУЭ с должностями'!$B:$B,0),5)</f>
        <v>НС</v>
      </c>
    </row>
    <row r="1774" spans="1:15" ht="45">
      <c r="A1774" s="3" t="s">
        <v>10</v>
      </c>
      <c r="B1774" s="3" t="s">
        <v>11</v>
      </c>
      <c r="C1774" s="4">
        <v>2026</v>
      </c>
      <c r="D1774" s="5" t="s">
        <v>12</v>
      </c>
      <c r="E1774" s="4">
        <v>249</v>
      </c>
      <c r="F1774" s="4" t="s">
        <v>39</v>
      </c>
      <c r="G1774" s="4" t="s">
        <v>1450</v>
      </c>
      <c r="H1774" s="4" t="s">
        <v>15</v>
      </c>
      <c r="I1774" s="4" t="s">
        <v>64</v>
      </c>
      <c r="J1774" s="4" t="s">
        <v>65</v>
      </c>
      <c r="K1774" s="4" t="s">
        <v>66</v>
      </c>
      <c r="L1774" s="4" t="s">
        <v>3742</v>
      </c>
      <c r="M1774" s="4" t="s">
        <v>3746</v>
      </c>
      <c r="N1774" s="4" t="s">
        <v>3747</v>
      </c>
      <c r="O1774" s="17" t="str">
        <f>INDEX('список ID из СУЭ с должностями'!$A:$F,MATCH(E1774,'список ID из СУЭ с должностями'!$B:$B,0),5)</f>
        <v>НС</v>
      </c>
    </row>
    <row r="1775" spans="1:15" ht="45">
      <c r="A1775" s="3" t="s">
        <v>10</v>
      </c>
      <c r="B1775" s="3" t="s">
        <v>11</v>
      </c>
      <c r="C1775" s="4">
        <v>2026</v>
      </c>
      <c r="D1775" s="5" t="s">
        <v>12</v>
      </c>
      <c r="E1775" s="4">
        <v>249</v>
      </c>
      <c r="F1775" s="4" t="s">
        <v>39</v>
      </c>
      <c r="G1775" s="4" t="s">
        <v>1450</v>
      </c>
      <c r="H1775" s="4" t="s">
        <v>15</v>
      </c>
      <c r="I1775" s="4" t="s">
        <v>62</v>
      </c>
      <c r="J1775" s="4" t="s">
        <v>63</v>
      </c>
      <c r="K1775" s="4" t="s">
        <v>52</v>
      </c>
      <c r="L1775" s="4" t="s">
        <v>3743</v>
      </c>
      <c r="M1775" s="4" t="s">
        <v>3746</v>
      </c>
      <c r="N1775" s="4" t="s">
        <v>3747</v>
      </c>
      <c r="O1775" s="17" t="str">
        <f>INDEX('список ID из СУЭ с должностями'!$A:$F,MATCH(E1775,'список ID из СУЭ с должностями'!$B:$B,0),5)</f>
        <v>НС</v>
      </c>
    </row>
    <row r="1776" spans="1:15" ht="165">
      <c r="A1776" s="3" t="s">
        <v>10</v>
      </c>
      <c r="B1776" s="3" t="s">
        <v>11</v>
      </c>
      <c r="C1776" s="4">
        <v>2026</v>
      </c>
      <c r="D1776" s="5" t="s">
        <v>12</v>
      </c>
      <c r="E1776" s="4">
        <v>249</v>
      </c>
      <c r="F1776" s="4" t="s">
        <v>39</v>
      </c>
      <c r="G1776" s="4" t="s">
        <v>1450</v>
      </c>
      <c r="H1776" s="4" t="s">
        <v>15</v>
      </c>
      <c r="I1776" s="4" t="s">
        <v>1582</v>
      </c>
      <c r="J1776" s="4" t="s">
        <v>1621</v>
      </c>
      <c r="K1776" s="4" t="s">
        <v>52</v>
      </c>
      <c r="L1776" s="4" t="s">
        <v>3743</v>
      </c>
      <c r="M1776" s="4" t="s">
        <v>3746</v>
      </c>
      <c r="N1776" s="4" t="s">
        <v>3747</v>
      </c>
      <c r="O1776" s="17" t="str">
        <f>INDEX('список ID из СУЭ с должностями'!$A:$F,MATCH(E1776,'список ID из СУЭ с должностями'!$B:$B,0),5)</f>
        <v>НС</v>
      </c>
    </row>
    <row r="1777" spans="1:15" ht="60">
      <c r="A1777" s="3" t="s">
        <v>10</v>
      </c>
      <c r="B1777" s="3" t="s">
        <v>11</v>
      </c>
      <c r="C1777" s="4">
        <v>2026</v>
      </c>
      <c r="D1777" s="5" t="s">
        <v>12</v>
      </c>
      <c r="E1777" s="4">
        <v>249</v>
      </c>
      <c r="F1777" s="4" t="s">
        <v>39</v>
      </c>
      <c r="G1777" s="4" t="s">
        <v>1450</v>
      </c>
      <c r="H1777" s="4" t="s">
        <v>15</v>
      </c>
      <c r="I1777" s="4" t="s">
        <v>58</v>
      </c>
      <c r="J1777" s="4" t="s">
        <v>59</v>
      </c>
      <c r="K1777" s="4" t="s">
        <v>30</v>
      </c>
      <c r="L1777" s="4" t="s">
        <v>3742</v>
      </c>
      <c r="M1777" s="4" t="s">
        <v>3746</v>
      </c>
      <c r="N1777" s="4" t="s">
        <v>3747</v>
      </c>
      <c r="O1777" s="17" t="str">
        <f>INDEX('список ID из СУЭ с должностями'!$A:$F,MATCH(E1777,'список ID из СУЭ с должностями'!$B:$B,0),5)</f>
        <v>НС</v>
      </c>
    </row>
    <row r="1778" spans="1:15" ht="60">
      <c r="A1778" s="3" t="s">
        <v>10</v>
      </c>
      <c r="B1778" s="3" t="s">
        <v>11</v>
      </c>
      <c r="C1778" s="4">
        <v>2026</v>
      </c>
      <c r="D1778" s="5" t="s">
        <v>12</v>
      </c>
      <c r="E1778" s="4">
        <v>249</v>
      </c>
      <c r="F1778" s="4" t="s">
        <v>39</v>
      </c>
      <c r="G1778" s="4" t="s">
        <v>1450</v>
      </c>
      <c r="H1778" s="4" t="s">
        <v>15</v>
      </c>
      <c r="I1778" s="4" t="s">
        <v>56</v>
      </c>
      <c r="J1778" s="4" t="s">
        <v>57</v>
      </c>
      <c r="K1778" s="4" t="s">
        <v>55</v>
      </c>
      <c r="L1778" s="4" t="s">
        <v>3743</v>
      </c>
      <c r="M1778" s="4" t="s">
        <v>3746</v>
      </c>
      <c r="N1778" s="4" t="s">
        <v>3747</v>
      </c>
      <c r="O1778" s="17" t="str">
        <f>INDEX('список ID из СУЭ с должностями'!$A:$F,MATCH(E1778,'список ID из СУЭ с должностями'!$B:$B,0),5)</f>
        <v>НС</v>
      </c>
    </row>
    <row r="1779" spans="1:15" ht="45">
      <c r="A1779" s="3" t="s">
        <v>10</v>
      </c>
      <c r="B1779" s="3" t="s">
        <v>11</v>
      </c>
      <c r="C1779" s="4">
        <v>2026</v>
      </c>
      <c r="D1779" s="5" t="s">
        <v>12</v>
      </c>
      <c r="E1779" s="4">
        <v>249</v>
      </c>
      <c r="F1779" s="4" t="s">
        <v>39</v>
      </c>
      <c r="G1779" s="4" t="s">
        <v>1450</v>
      </c>
      <c r="H1779" s="4" t="s">
        <v>15</v>
      </c>
      <c r="I1779" s="4" t="s">
        <v>53</v>
      </c>
      <c r="J1779" s="4" t="s">
        <v>1622</v>
      </c>
      <c r="K1779" s="4" t="s">
        <v>55</v>
      </c>
      <c r="L1779" s="4" t="s">
        <v>3743</v>
      </c>
      <c r="M1779" s="4" t="s">
        <v>3746</v>
      </c>
      <c r="N1779" s="4" t="s">
        <v>3747</v>
      </c>
      <c r="O1779" s="17" t="str">
        <f>INDEX('список ID из СУЭ с должностями'!$A:$F,MATCH(E1779,'список ID из СУЭ с должностями'!$B:$B,0),5)</f>
        <v>НС</v>
      </c>
    </row>
    <row r="1780" spans="1:15" ht="45">
      <c r="A1780" s="3" t="s">
        <v>10</v>
      </c>
      <c r="B1780" s="3" t="s">
        <v>11</v>
      </c>
      <c r="C1780" s="4">
        <v>2026</v>
      </c>
      <c r="D1780" s="5" t="s">
        <v>12</v>
      </c>
      <c r="E1780" s="4">
        <v>249</v>
      </c>
      <c r="F1780" s="4" t="s">
        <v>39</v>
      </c>
      <c r="G1780" s="4" t="s">
        <v>1450</v>
      </c>
      <c r="H1780" s="4" t="s">
        <v>15</v>
      </c>
      <c r="I1780" s="4" t="s">
        <v>2088</v>
      </c>
      <c r="J1780" s="4" t="s">
        <v>2089</v>
      </c>
      <c r="K1780" s="4" t="s">
        <v>52</v>
      </c>
      <c r="L1780" s="4" t="s">
        <v>3742</v>
      </c>
      <c r="M1780" s="4" t="s">
        <v>3746</v>
      </c>
      <c r="N1780" s="4" t="s">
        <v>3747</v>
      </c>
      <c r="O1780" s="17" t="str">
        <f>INDEX('список ID из СУЭ с должностями'!$A:$F,MATCH(E1780,'список ID из СУЭ с должностями'!$B:$B,0),5)</f>
        <v>НС</v>
      </c>
    </row>
    <row r="1781" spans="1:15" ht="105">
      <c r="A1781" s="3" t="s">
        <v>10</v>
      </c>
      <c r="B1781" s="3" t="s">
        <v>11</v>
      </c>
      <c r="C1781" s="4">
        <v>2026</v>
      </c>
      <c r="D1781" s="5" t="s">
        <v>12</v>
      </c>
      <c r="E1781" s="4">
        <v>249</v>
      </c>
      <c r="F1781" s="4" t="s">
        <v>39</v>
      </c>
      <c r="G1781" s="4" t="s">
        <v>1450</v>
      </c>
      <c r="H1781" s="4" t="s">
        <v>15</v>
      </c>
      <c r="I1781" s="4" t="s">
        <v>48</v>
      </c>
      <c r="J1781" s="4" t="s">
        <v>49</v>
      </c>
      <c r="K1781" s="4" t="s">
        <v>35</v>
      </c>
      <c r="L1781" s="4" t="s">
        <v>3743</v>
      </c>
      <c r="M1781" s="4" t="s">
        <v>3746</v>
      </c>
      <c r="N1781" s="4" t="s">
        <v>3747</v>
      </c>
      <c r="O1781" s="17" t="str">
        <f>INDEX('список ID из СУЭ с должностями'!$A:$F,MATCH(E1781,'список ID из СУЭ с должностями'!$B:$B,0),5)</f>
        <v>НС</v>
      </c>
    </row>
    <row r="1782" spans="1:15" ht="150">
      <c r="A1782" s="3" t="s">
        <v>10</v>
      </c>
      <c r="B1782" s="3" t="s">
        <v>11</v>
      </c>
      <c r="C1782" s="4">
        <v>2026</v>
      </c>
      <c r="D1782" s="5" t="s">
        <v>12</v>
      </c>
      <c r="E1782" s="4">
        <v>249</v>
      </c>
      <c r="F1782" s="4" t="s">
        <v>39</v>
      </c>
      <c r="G1782" s="4" t="s">
        <v>1450</v>
      </c>
      <c r="H1782" s="4" t="s">
        <v>15</v>
      </c>
      <c r="I1782" s="4" t="s">
        <v>46</v>
      </c>
      <c r="J1782" s="4" t="s">
        <v>47</v>
      </c>
      <c r="K1782" s="4" t="s">
        <v>20</v>
      </c>
      <c r="L1782" s="4" t="s">
        <v>3743</v>
      </c>
      <c r="M1782" s="4" t="s">
        <v>3746</v>
      </c>
      <c r="N1782" s="4" t="s">
        <v>3747</v>
      </c>
      <c r="O1782" s="17" t="str">
        <f>INDEX('список ID из СУЭ с должностями'!$A:$F,MATCH(E1782,'список ID из СУЭ с должностями'!$B:$B,0),5)</f>
        <v>НС</v>
      </c>
    </row>
    <row r="1783" spans="1:15" ht="90">
      <c r="A1783" s="3" t="s">
        <v>10</v>
      </c>
      <c r="B1783" s="3" t="s">
        <v>11</v>
      </c>
      <c r="C1783" s="4">
        <v>2026</v>
      </c>
      <c r="D1783" s="5" t="s">
        <v>12</v>
      </c>
      <c r="E1783" s="4">
        <v>250</v>
      </c>
      <c r="F1783" s="4" t="s">
        <v>724</v>
      </c>
      <c r="G1783" s="4" t="s">
        <v>725</v>
      </c>
      <c r="H1783" s="4" t="s">
        <v>15</v>
      </c>
      <c r="I1783" s="4" t="s">
        <v>1063</v>
      </c>
      <c r="J1783" s="4" t="s">
        <v>2090</v>
      </c>
      <c r="K1783" s="4" t="s">
        <v>66</v>
      </c>
      <c r="L1783" s="4" t="s">
        <v>3743</v>
      </c>
      <c r="M1783" s="4" t="s">
        <v>3746</v>
      </c>
      <c r="N1783" s="4" t="s">
        <v>3747</v>
      </c>
      <c r="O1783" s="17">
        <f>INDEX('список ID из СУЭ с должностями'!$A:$F,MATCH(E1783,'список ID из СУЭ с должностями'!$B:$B,0),5)</f>
        <v>0</v>
      </c>
    </row>
    <row r="1784" spans="1:15" ht="120">
      <c r="A1784" s="3" t="s">
        <v>10</v>
      </c>
      <c r="B1784" s="3" t="s">
        <v>11</v>
      </c>
      <c r="C1784" s="4">
        <v>2026</v>
      </c>
      <c r="D1784" s="5" t="s">
        <v>12</v>
      </c>
      <c r="E1784" s="4">
        <v>250</v>
      </c>
      <c r="F1784" s="4" t="s">
        <v>724</v>
      </c>
      <c r="G1784" s="4" t="s">
        <v>725</v>
      </c>
      <c r="H1784" s="4" t="s">
        <v>15</v>
      </c>
      <c r="I1784" s="4" t="s">
        <v>1663</v>
      </c>
      <c r="J1784" s="4" t="s">
        <v>2091</v>
      </c>
      <c r="K1784" s="4" t="s">
        <v>66</v>
      </c>
      <c r="L1784" s="4" t="s">
        <v>3743</v>
      </c>
      <c r="M1784" s="4" t="s">
        <v>3746</v>
      </c>
      <c r="N1784" s="4" t="s">
        <v>3747</v>
      </c>
      <c r="O1784" s="17">
        <f>INDEX('список ID из СУЭ с должностями'!$A:$F,MATCH(E1784,'список ID из СУЭ с должностями'!$B:$B,0),5)</f>
        <v>0</v>
      </c>
    </row>
    <row r="1785" spans="1:15" ht="90">
      <c r="A1785" s="3" t="s">
        <v>10</v>
      </c>
      <c r="B1785" s="3" t="s">
        <v>11</v>
      </c>
      <c r="C1785" s="4">
        <v>2026</v>
      </c>
      <c r="D1785" s="5" t="s">
        <v>12</v>
      </c>
      <c r="E1785" s="4">
        <v>250</v>
      </c>
      <c r="F1785" s="4" t="s">
        <v>724</v>
      </c>
      <c r="G1785" s="4" t="s">
        <v>725</v>
      </c>
      <c r="H1785" s="4" t="s">
        <v>15</v>
      </c>
      <c r="I1785" s="4" t="s">
        <v>2092</v>
      </c>
      <c r="J1785" s="4" t="s">
        <v>1070</v>
      </c>
      <c r="K1785" s="4" t="s">
        <v>66</v>
      </c>
      <c r="L1785" s="4" t="s">
        <v>3742</v>
      </c>
      <c r="M1785" s="4" t="s">
        <v>3746</v>
      </c>
      <c r="N1785" s="4" t="s">
        <v>3747</v>
      </c>
      <c r="O1785" s="17">
        <f>INDEX('список ID из СУЭ с должностями'!$A:$F,MATCH(E1785,'список ID из СУЭ с должностями'!$B:$B,0),5)</f>
        <v>0</v>
      </c>
    </row>
    <row r="1786" spans="1:15" ht="90">
      <c r="A1786" s="3" t="s">
        <v>10</v>
      </c>
      <c r="B1786" s="3" t="s">
        <v>11</v>
      </c>
      <c r="C1786" s="4">
        <v>2026</v>
      </c>
      <c r="D1786" s="5" t="s">
        <v>12</v>
      </c>
      <c r="E1786" s="4">
        <v>250</v>
      </c>
      <c r="F1786" s="4" t="s">
        <v>724</v>
      </c>
      <c r="G1786" s="4" t="s">
        <v>725</v>
      </c>
      <c r="H1786" s="4" t="s">
        <v>15</v>
      </c>
      <c r="I1786" s="4" t="s">
        <v>1067</v>
      </c>
      <c r="J1786" s="4" t="s">
        <v>182</v>
      </c>
      <c r="K1786" s="4" t="s">
        <v>52</v>
      </c>
      <c r="L1786" s="4" t="s">
        <v>3742</v>
      </c>
      <c r="M1786" s="4" t="s">
        <v>3746</v>
      </c>
      <c r="N1786" s="4" t="s">
        <v>3747</v>
      </c>
      <c r="O1786" s="17">
        <f>INDEX('список ID из СУЭ с должностями'!$A:$F,MATCH(E1786,'список ID из СУЭ с должностями'!$B:$B,0),5)</f>
        <v>0</v>
      </c>
    </row>
    <row r="1787" spans="1:15" ht="90">
      <c r="A1787" s="3" t="s">
        <v>10</v>
      </c>
      <c r="B1787" s="3" t="s">
        <v>11</v>
      </c>
      <c r="C1787" s="4">
        <v>2026</v>
      </c>
      <c r="D1787" s="5" t="s">
        <v>12</v>
      </c>
      <c r="E1787" s="4">
        <v>250</v>
      </c>
      <c r="F1787" s="4" t="s">
        <v>724</v>
      </c>
      <c r="G1787" s="4" t="s">
        <v>725</v>
      </c>
      <c r="H1787" s="4" t="s">
        <v>15</v>
      </c>
      <c r="I1787" s="4" t="s">
        <v>1068</v>
      </c>
      <c r="J1787" s="4" t="s">
        <v>132</v>
      </c>
      <c r="K1787" s="4" t="s">
        <v>52</v>
      </c>
      <c r="L1787" s="4" t="s">
        <v>3742</v>
      </c>
      <c r="M1787" s="4" t="s">
        <v>3746</v>
      </c>
      <c r="N1787" s="4" t="s">
        <v>3747</v>
      </c>
      <c r="O1787" s="17">
        <f>INDEX('список ID из СУЭ с должностями'!$A:$F,MATCH(E1787,'список ID из СУЭ с должностями'!$B:$B,0),5)</f>
        <v>0</v>
      </c>
    </row>
    <row r="1788" spans="1:15" ht="90">
      <c r="A1788" s="3" t="s">
        <v>10</v>
      </c>
      <c r="B1788" s="3" t="s">
        <v>11</v>
      </c>
      <c r="C1788" s="4">
        <v>2026</v>
      </c>
      <c r="D1788" s="5" t="s">
        <v>12</v>
      </c>
      <c r="E1788" s="4">
        <v>250</v>
      </c>
      <c r="F1788" s="4" t="s">
        <v>724</v>
      </c>
      <c r="G1788" s="4" t="s">
        <v>725</v>
      </c>
      <c r="H1788" s="4" t="s">
        <v>15</v>
      </c>
      <c r="I1788" s="4" t="s">
        <v>2093</v>
      </c>
      <c r="J1788" s="4" t="s">
        <v>2094</v>
      </c>
      <c r="K1788" s="4" t="s">
        <v>66</v>
      </c>
      <c r="L1788" s="4" t="s">
        <v>3743</v>
      </c>
      <c r="M1788" s="4" t="s">
        <v>3746</v>
      </c>
      <c r="N1788" s="4" t="s">
        <v>3747</v>
      </c>
      <c r="O1788" s="17">
        <f>INDEX('список ID из СУЭ с должностями'!$A:$F,MATCH(E1788,'список ID из СУЭ с должностями'!$B:$B,0),5)</f>
        <v>0</v>
      </c>
    </row>
    <row r="1789" spans="1:15" ht="90">
      <c r="A1789" s="3" t="s">
        <v>10</v>
      </c>
      <c r="B1789" s="3" t="s">
        <v>11</v>
      </c>
      <c r="C1789" s="4">
        <v>2026</v>
      </c>
      <c r="D1789" s="5" t="s">
        <v>12</v>
      </c>
      <c r="E1789" s="4">
        <v>250</v>
      </c>
      <c r="F1789" s="4" t="s">
        <v>724</v>
      </c>
      <c r="G1789" s="4" t="s">
        <v>725</v>
      </c>
      <c r="H1789" s="4" t="s">
        <v>15</v>
      </c>
      <c r="I1789" s="4" t="s">
        <v>2095</v>
      </c>
      <c r="J1789" s="4" t="s">
        <v>182</v>
      </c>
      <c r="K1789" s="4" t="s">
        <v>66</v>
      </c>
      <c r="L1789" s="4" t="s">
        <v>3742</v>
      </c>
      <c r="M1789" s="4" t="s">
        <v>3746</v>
      </c>
      <c r="N1789" s="4" t="s">
        <v>3747</v>
      </c>
      <c r="O1789" s="17">
        <f>INDEX('список ID из СУЭ с должностями'!$A:$F,MATCH(E1789,'список ID из СУЭ с должностями'!$B:$B,0),5)</f>
        <v>0</v>
      </c>
    </row>
    <row r="1790" spans="1:15" ht="90">
      <c r="A1790" s="3" t="s">
        <v>10</v>
      </c>
      <c r="B1790" s="3" t="s">
        <v>11</v>
      </c>
      <c r="C1790" s="4">
        <v>2026</v>
      </c>
      <c r="D1790" s="5" t="s">
        <v>12</v>
      </c>
      <c r="E1790" s="4">
        <v>250</v>
      </c>
      <c r="F1790" s="4" t="s">
        <v>724</v>
      </c>
      <c r="G1790" s="4" t="s">
        <v>725</v>
      </c>
      <c r="H1790" s="4" t="s">
        <v>15</v>
      </c>
      <c r="I1790" s="4" t="s">
        <v>2096</v>
      </c>
      <c r="J1790" s="4" t="s">
        <v>2097</v>
      </c>
      <c r="K1790" s="4" t="s">
        <v>66</v>
      </c>
      <c r="L1790" s="4" t="s">
        <v>3743</v>
      </c>
      <c r="M1790" s="4" t="s">
        <v>3746</v>
      </c>
      <c r="N1790" s="4" t="s">
        <v>3747</v>
      </c>
      <c r="O1790" s="17">
        <f>INDEX('список ID из СУЭ с должностями'!$A:$F,MATCH(E1790,'список ID из СУЭ с должностями'!$B:$B,0),5)</f>
        <v>0</v>
      </c>
    </row>
    <row r="1791" spans="1:15" ht="90">
      <c r="A1791" s="3" t="s">
        <v>10</v>
      </c>
      <c r="B1791" s="3" t="s">
        <v>11</v>
      </c>
      <c r="C1791" s="4">
        <v>2026</v>
      </c>
      <c r="D1791" s="5" t="s">
        <v>12</v>
      </c>
      <c r="E1791" s="4">
        <v>250</v>
      </c>
      <c r="F1791" s="4" t="s">
        <v>724</v>
      </c>
      <c r="G1791" s="4" t="s">
        <v>725</v>
      </c>
      <c r="H1791" s="4" t="s">
        <v>15</v>
      </c>
      <c r="I1791" s="4" t="s">
        <v>2098</v>
      </c>
      <c r="J1791" s="4" t="s">
        <v>2099</v>
      </c>
      <c r="K1791" s="4" t="s">
        <v>25</v>
      </c>
      <c r="L1791" s="4" t="s">
        <v>3743</v>
      </c>
      <c r="M1791" s="4" t="s">
        <v>3746</v>
      </c>
      <c r="N1791" s="4" t="s">
        <v>3747</v>
      </c>
      <c r="O1791" s="17">
        <f>INDEX('список ID из СУЭ с должностями'!$A:$F,MATCH(E1791,'список ID из СУЭ с должностями'!$B:$B,0),5)</f>
        <v>0</v>
      </c>
    </row>
    <row r="1792" spans="1:15" ht="90">
      <c r="A1792" s="3" t="s">
        <v>10</v>
      </c>
      <c r="B1792" s="3" t="s">
        <v>11</v>
      </c>
      <c r="C1792" s="4">
        <v>2026</v>
      </c>
      <c r="D1792" s="5" t="s">
        <v>12</v>
      </c>
      <c r="E1792" s="4">
        <v>250</v>
      </c>
      <c r="F1792" s="4" t="s">
        <v>724</v>
      </c>
      <c r="G1792" s="4" t="s">
        <v>725</v>
      </c>
      <c r="H1792" s="4" t="s">
        <v>15</v>
      </c>
      <c r="I1792" s="4" t="s">
        <v>2100</v>
      </c>
      <c r="J1792" s="4" t="s">
        <v>2054</v>
      </c>
      <c r="K1792" s="4" t="s">
        <v>35</v>
      </c>
      <c r="L1792" s="4" t="s">
        <v>3743</v>
      </c>
      <c r="M1792" s="4" t="s">
        <v>3746</v>
      </c>
      <c r="N1792" s="4" t="s">
        <v>3747</v>
      </c>
      <c r="O1792" s="17">
        <f>INDEX('список ID из СУЭ с должностями'!$A:$F,MATCH(E1792,'список ID из СУЭ с должностями'!$B:$B,0),5)</f>
        <v>0</v>
      </c>
    </row>
    <row r="1793" spans="1:15" ht="75">
      <c r="A1793" s="3" t="s">
        <v>10</v>
      </c>
      <c r="B1793" s="3" t="s">
        <v>11</v>
      </c>
      <c r="C1793" s="4">
        <v>2026</v>
      </c>
      <c r="D1793" s="5" t="s">
        <v>12</v>
      </c>
      <c r="E1793" s="4">
        <v>251</v>
      </c>
      <c r="F1793" s="4" t="s">
        <v>385</v>
      </c>
      <c r="G1793" s="4" t="s">
        <v>1074</v>
      </c>
      <c r="H1793" s="4" t="s">
        <v>15</v>
      </c>
      <c r="I1793" s="4" t="s">
        <v>1368</v>
      </c>
      <c r="J1793" s="4" t="s">
        <v>2101</v>
      </c>
      <c r="K1793" s="4" t="s">
        <v>1368</v>
      </c>
      <c r="L1793" s="4" t="s">
        <v>3743</v>
      </c>
      <c r="M1793" s="4" t="s">
        <v>3750</v>
      </c>
      <c r="N1793" s="4" t="s">
        <v>3772</v>
      </c>
      <c r="O1793" s="17">
        <f>INDEX('список ID из СУЭ с должностями'!$A:$F,MATCH(E1793,'список ID из СУЭ с должностями'!$B:$B,0),5)</f>
        <v>0</v>
      </c>
    </row>
    <row r="1794" spans="1:15" ht="60">
      <c r="A1794" s="3" t="s">
        <v>10</v>
      </c>
      <c r="B1794" s="3" t="s">
        <v>11</v>
      </c>
      <c r="C1794" s="4">
        <v>2026</v>
      </c>
      <c r="D1794" s="5" t="s">
        <v>12</v>
      </c>
      <c r="E1794" s="4">
        <v>251</v>
      </c>
      <c r="F1794" s="4" t="s">
        <v>385</v>
      </c>
      <c r="G1794" s="4" t="s">
        <v>1074</v>
      </c>
      <c r="H1794" s="4" t="s">
        <v>21</v>
      </c>
      <c r="I1794" s="4" t="s">
        <v>2102</v>
      </c>
      <c r="J1794" s="4" t="s">
        <v>2103</v>
      </c>
      <c r="K1794" s="4" t="s">
        <v>2102</v>
      </c>
      <c r="L1794" s="4" t="s">
        <v>3743</v>
      </c>
      <c r="M1794" s="4" t="s">
        <v>3750</v>
      </c>
      <c r="N1794" s="4" t="s">
        <v>3772</v>
      </c>
      <c r="O1794" s="17">
        <f>INDEX('список ID из СУЭ с должностями'!$A:$F,MATCH(E1794,'список ID из СУЭ с должностями'!$B:$B,0),5)</f>
        <v>0</v>
      </c>
    </row>
    <row r="1795" spans="1:15" ht="75">
      <c r="A1795" s="3" t="s">
        <v>10</v>
      </c>
      <c r="B1795" s="3" t="s">
        <v>11</v>
      </c>
      <c r="C1795" s="4">
        <v>2026</v>
      </c>
      <c r="D1795" s="5" t="s">
        <v>12</v>
      </c>
      <c r="E1795" s="4">
        <v>251</v>
      </c>
      <c r="F1795" s="4" t="s">
        <v>385</v>
      </c>
      <c r="G1795" s="4" t="s">
        <v>1074</v>
      </c>
      <c r="H1795" s="4" t="s">
        <v>15</v>
      </c>
      <c r="I1795" s="4" t="s">
        <v>1076</v>
      </c>
      <c r="J1795" s="4" t="s">
        <v>2104</v>
      </c>
      <c r="K1795" s="4" t="s">
        <v>1076</v>
      </c>
      <c r="L1795" s="4" t="s">
        <v>3743</v>
      </c>
      <c r="M1795" s="4" t="s">
        <v>3750</v>
      </c>
      <c r="N1795" s="4" t="s">
        <v>3772</v>
      </c>
      <c r="O1795" s="17">
        <f>INDEX('список ID из СУЭ с должностями'!$A:$F,MATCH(E1795,'список ID из СУЭ с должностями'!$B:$B,0),5)</f>
        <v>0</v>
      </c>
    </row>
    <row r="1796" spans="1:15" ht="75">
      <c r="A1796" s="3" t="s">
        <v>10</v>
      </c>
      <c r="B1796" s="3" t="s">
        <v>11</v>
      </c>
      <c r="C1796" s="4">
        <v>2026</v>
      </c>
      <c r="D1796" s="5" t="s">
        <v>12</v>
      </c>
      <c r="E1796" s="4">
        <v>251</v>
      </c>
      <c r="F1796" s="4" t="s">
        <v>385</v>
      </c>
      <c r="G1796" s="4" t="s">
        <v>1074</v>
      </c>
      <c r="H1796" s="4" t="s">
        <v>41</v>
      </c>
      <c r="I1796" s="4" t="s">
        <v>2105</v>
      </c>
      <c r="J1796" s="4" t="s">
        <v>132</v>
      </c>
      <c r="K1796" s="4" t="s">
        <v>2106</v>
      </c>
      <c r="L1796" s="4" t="s">
        <v>3742</v>
      </c>
      <c r="M1796" s="4" t="s">
        <v>3750</v>
      </c>
      <c r="N1796" s="4" t="s">
        <v>3772</v>
      </c>
      <c r="O1796" s="17">
        <f>INDEX('список ID из СУЭ с должностями'!$A:$F,MATCH(E1796,'список ID из СУЭ с должностями'!$B:$B,0),5)</f>
        <v>0</v>
      </c>
    </row>
    <row r="1797" spans="1:15" ht="75">
      <c r="A1797" s="3" t="s">
        <v>10</v>
      </c>
      <c r="B1797" s="3" t="s">
        <v>11</v>
      </c>
      <c r="C1797" s="4">
        <v>2026</v>
      </c>
      <c r="D1797" s="5" t="s">
        <v>12</v>
      </c>
      <c r="E1797" s="4">
        <v>251</v>
      </c>
      <c r="F1797" s="4" t="s">
        <v>385</v>
      </c>
      <c r="G1797" s="4" t="s">
        <v>1074</v>
      </c>
      <c r="H1797" s="4" t="s">
        <v>21</v>
      </c>
      <c r="I1797" s="4" t="s">
        <v>2107</v>
      </c>
      <c r="J1797" s="4" t="s">
        <v>132</v>
      </c>
      <c r="K1797" s="4" t="s">
        <v>2108</v>
      </c>
      <c r="L1797" s="4" t="s">
        <v>3742</v>
      </c>
      <c r="M1797" s="4" t="s">
        <v>3750</v>
      </c>
      <c r="N1797" s="4" t="s">
        <v>3772</v>
      </c>
      <c r="O1797" s="17">
        <f>INDEX('список ID из СУЭ с должностями'!$A:$F,MATCH(E1797,'список ID из СУЭ с должностями'!$B:$B,0),5)</f>
        <v>0</v>
      </c>
    </row>
    <row r="1798" spans="1:15" ht="60">
      <c r="A1798" s="3" t="s">
        <v>10</v>
      </c>
      <c r="B1798" s="3" t="s">
        <v>11</v>
      </c>
      <c r="C1798" s="4">
        <v>2026</v>
      </c>
      <c r="D1798" s="5" t="s">
        <v>12</v>
      </c>
      <c r="E1798" s="4">
        <v>251</v>
      </c>
      <c r="F1798" s="4" t="s">
        <v>385</v>
      </c>
      <c r="G1798" s="4" t="s">
        <v>1074</v>
      </c>
      <c r="H1798" s="4" t="s">
        <v>21</v>
      </c>
      <c r="I1798" s="4" t="s">
        <v>2109</v>
      </c>
      <c r="J1798" s="4" t="s">
        <v>302</v>
      </c>
      <c r="K1798" s="4" t="s">
        <v>2110</v>
      </c>
      <c r="L1798" s="4" t="s">
        <v>3742</v>
      </c>
      <c r="M1798" s="4" t="s">
        <v>3750</v>
      </c>
      <c r="N1798" s="4" t="s">
        <v>3772</v>
      </c>
      <c r="O1798" s="17">
        <f>INDEX('список ID из СУЭ с должностями'!$A:$F,MATCH(E1798,'список ID из СУЭ с должностями'!$B:$B,0),5)</f>
        <v>0</v>
      </c>
    </row>
    <row r="1799" spans="1:15" ht="60">
      <c r="A1799" s="3" t="s">
        <v>10</v>
      </c>
      <c r="B1799" s="3" t="s">
        <v>11</v>
      </c>
      <c r="C1799" s="4">
        <v>2026</v>
      </c>
      <c r="D1799" s="5" t="s">
        <v>12</v>
      </c>
      <c r="E1799" s="4">
        <v>251</v>
      </c>
      <c r="F1799" s="4" t="s">
        <v>385</v>
      </c>
      <c r="G1799" s="4" t="s">
        <v>1074</v>
      </c>
      <c r="H1799" s="4" t="s">
        <v>15</v>
      </c>
      <c r="I1799" s="4" t="s">
        <v>1081</v>
      </c>
      <c r="J1799" s="4" t="s">
        <v>302</v>
      </c>
      <c r="K1799" s="4" t="s">
        <v>2111</v>
      </c>
      <c r="L1799" s="4" t="s">
        <v>3742</v>
      </c>
      <c r="M1799" s="4" t="s">
        <v>3750</v>
      </c>
      <c r="N1799" s="4" t="s">
        <v>3772</v>
      </c>
      <c r="O1799" s="17">
        <f>INDEX('список ID из СУЭ с должностями'!$A:$F,MATCH(E1799,'список ID из СУЭ с должностями'!$B:$B,0),5)</f>
        <v>0</v>
      </c>
    </row>
    <row r="1800" spans="1:15" ht="409.5">
      <c r="A1800" s="3" t="s">
        <v>10</v>
      </c>
      <c r="B1800" s="3" t="s">
        <v>11</v>
      </c>
      <c r="C1800" s="4">
        <v>2026</v>
      </c>
      <c r="D1800" s="5" t="s">
        <v>12</v>
      </c>
      <c r="E1800" s="4">
        <v>252</v>
      </c>
      <c r="F1800" s="4" t="s">
        <v>39</v>
      </c>
      <c r="G1800" s="4" t="s">
        <v>1151</v>
      </c>
      <c r="H1800" s="4" t="s">
        <v>15</v>
      </c>
      <c r="I1800" s="4" t="s">
        <v>25</v>
      </c>
      <c r="J1800" s="4" t="s">
        <v>1673</v>
      </c>
      <c r="K1800" s="4" t="s">
        <v>25</v>
      </c>
      <c r="L1800" s="4" t="s">
        <v>3743</v>
      </c>
      <c r="M1800" s="4" t="s">
        <v>3746</v>
      </c>
      <c r="N1800" s="4" t="s">
        <v>3747</v>
      </c>
      <c r="O1800" s="17" t="str">
        <f>INDEX('список ID из СУЭ с должностями'!$A:$F,MATCH(E1800,'список ID из СУЭ с должностями'!$B:$B,0),5)</f>
        <v>НС</v>
      </c>
    </row>
    <row r="1801" spans="1:15" ht="285">
      <c r="A1801" s="3" t="s">
        <v>10</v>
      </c>
      <c r="B1801" s="3" t="s">
        <v>11</v>
      </c>
      <c r="C1801" s="4">
        <v>2026</v>
      </c>
      <c r="D1801" s="5" t="s">
        <v>12</v>
      </c>
      <c r="E1801" s="4">
        <v>252</v>
      </c>
      <c r="F1801" s="4" t="s">
        <v>39</v>
      </c>
      <c r="G1801" s="4" t="s">
        <v>1151</v>
      </c>
      <c r="H1801" s="4" t="s">
        <v>15</v>
      </c>
      <c r="I1801" s="4" t="s">
        <v>48</v>
      </c>
      <c r="J1801" s="4" t="s">
        <v>2067</v>
      </c>
      <c r="K1801" s="4" t="s">
        <v>35</v>
      </c>
      <c r="L1801" s="4" t="s">
        <v>3743</v>
      </c>
      <c r="M1801" s="4" t="s">
        <v>3746</v>
      </c>
      <c r="N1801" s="4" t="s">
        <v>3747</v>
      </c>
      <c r="O1801" s="17" t="str">
        <f>INDEX('список ID из СУЭ с должностями'!$A:$F,MATCH(E1801,'список ID из СУЭ с должностями'!$B:$B,0),5)</f>
        <v>НС</v>
      </c>
    </row>
    <row r="1802" spans="1:15" ht="45">
      <c r="A1802" s="3" t="s">
        <v>10</v>
      </c>
      <c r="B1802" s="3" t="s">
        <v>11</v>
      </c>
      <c r="C1802" s="4">
        <v>2026</v>
      </c>
      <c r="D1802" s="5" t="s">
        <v>12</v>
      </c>
      <c r="E1802" s="4">
        <v>252</v>
      </c>
      <c r="F1802" s="4" t="s">
        <v>39</v>
      </c>
      <c r="G1802" s="4" t="s">
        <v>1151</v>
      </c>
      <c r="H1802" s="4" t="s">
        <v>15</v>
      </c>
      <c r="I1802" s="4" t="s">
        <v>191</v>
      </c>
      <c r="J1802" s="4" t="s">
        <v>200</v>
      </c>
      <c r="K1802" s="4" t="s">
        <v>66</v>
      </c>
      <c r="L1802" s="4" t="s">
        <v>3742</v>
      </c>
      <c r="M1802" s="4" t="s">
        <v>3746</v>
      </c>
      <c r="N1802" s="4" t="s">
        <v>3747</v>
      </c>
      <c r="O1802" s="17" t="str">
        <f>INDEX('список ID из СУЭ с должностями'!$A:$F,MATCH(E1802,'список ID из СУЭ с должностями'!$B:$B,0),5)</f>
        <v>НС</v>
      </c>
    </row>
    <row r="1803" spans="1:15" ht="60">
      <c r="A1803" s="3" t="s">
        <v>10</v>
      </c>
      <c r="B1803" s="3" t="s">
        <v>11</v>
      </c>
      <c r="C1803" s="4">
        <v>2026</v>
      </c>
      <c r="D1803" s="5" t="s">
        <v>12</v>
      </c>
      <c r="E1803" s="4">
        <v>252</v>
      </c>
      <c r="F1803" s="4" t="s">
        <v>39</v>
      </c>
      <c r="G1803" s="4" t="s">
        <v>1151</v>
      </c>
      <c r="H1803" s="4" t="s">
        <v>15</v>
      </c>
      <c r="I1803" s="4" t="s">
        <v>2048</v>
      </c>
      <c r="J1803" s="4" t="s">
        <v>2072</v>
      </c>
      <c r="K1803" s="4" t="s">
        <v>151</v>
      </c>
      <c r="L1803" s="4" t="s">
        <v>3742</v>
      </c>
      <c r="M1803" s="4" t="s">
        <v>3746</v>
      </c>
      <c r="N1803" s="4" t="s">
        <v>3747</v>
      </c>
      <c r="O1803" s="17" t="str">
        <f>INDEX('список ID из СУЭ с должностями'!$A:$F,MATCH(E1803,'список ID из СУЭ с должностями'!$B:$B,0),5)</f>
        <v>НС</v>
      </c>
    </row>
    <row r="1804" spans="1:15" ht="60">
      <c r="A1804" s="3" t="s">
        <v>10</v>
      </c>
      <c r="B1804" s="3" t="s">
        <v>11</v>
      </c>
      <c r="C1804" s="4">
        <v>2026</v>
      </c>
      <c r="D1804" s="5" t="s">
        <v>12</v>
      </c>
      <c r="E1804" s="4">
        <v>252</v>
      </c>
      <c r="F1804" s="4" t="s">
        <v>39</v>
      </c>
      <c r="G1804" s="4" t="s">
        <v>1151</v>
      </c>
      <c r="H1804" s="4" t="s">
        <v>15</v>
      </c>
      <c r="I1804" s="4" t="s">
        <v>2070</v>
      </c>
      <c r="J1804" s="4" t="s">
        <v>2071</v>
      </c>
      <c r="K1804" s="4" t="s">
        <v>52</v>
      </c>
      <c r="L1804" s="4" t="s">
        <v>3743</v>
      </c>
      <c r="M1804" s="4" t="s">
        <v>3746</v>
      </c>
      <c r="N1804" s="4" t="s">
        <v>3747</v>
      </c>
      <c r="O1804" s="17" t="str">
        <f>INDEX('список ID из СУЭ с должностями'!$A:$F,MATCH(E1804,'список ID из СУЭ с должностями'!$B:$B,0),5)</f>
        <v>НС</v>
      </c>
    </row>
    <row r="1805" spans="1:15" ht="409.5">
      <c r="A1805" s="3" t="s">
        <v>10</v>
      </c>
      <c r="B1805" s="3" t="s">
        <v>11</v>
      </c>
      <c r="C1805" s="4">
        <v>2026</v>
      </c>
      <c r="D1805" s="5" t="s">
        <v>12</v>
      </c>
      <c r="E1805" s="4">
        <v>252</v>
      </c>
      <c r="F1805" s="4" t="s">
        <v>39</v>
      </c>
      <c r="G1805" s="4" t="s">
        <v>1151</v>
      </c>
      <c r="H1805" s="4" t="s">
        <v>15</v>
      </c>
      <c r="I1805" s="4" t="s">
        <v>189</v>
      </c>
      <c r="J1805" s="4" t="s">
        <v>2069</v>
      </c>
      <c r="K1805" s="4" t="s">
        <v>66</v>
      </c>
      <c r="L1805" s="4" t="s">
        <v>3743</v>
      </c>
      <c r="M1805" s="4" t="s">
        <v>3746</v>
      </c>
      <c r="N1805" s="4" t="s">
        <v>3747</v>
      </c>
      <c r="O1805" s="17" t="str">
        <f>INDEX('список ID из СУЭ с должностями'!$A:$F,MATCH(E1805,'список ID из СУЭ с должностями'!$B:$B,0),5)</f>
        <v>НС</v>
      </c>
    </row>
    <row r="1806" spans="1:15" ht="45">
      <c r="A1806" s="3" t="s">
        <v>10</v>
      </c>
      <c r="B1806" s="3" t="s">
        <v>11</v>
      </c>
      <c r="C1806" s="4">
        <v>2026</v>
      </c>
      <c r="D1806" s="5" t="s">
        <v>12</v>
      </c>
      <c r="E1806" s="4">
        <v>252</v>
      </c>
      <c r="F1806" s="4" t="s">
        <v>39</v>
      </c>
      <c r="G1806" s="4" t="s">
        <v>1151</v>
      </c>
      <c r="H1806" s="4" t="s">
        <v>41</v>
      </c>
      <c r="I1806" s="4" t="s">
        <v>62</v>
      </c>
      <c r="J1806" s="4" t="s">
        <v>2068</v>
      </c>
      <c r="K1806" s="4" t="s">
        <v>55</v>
      </c>
      <c r="L1806" s="4" t="s">
        <v>3743</v>
      </c>
      <c r="M1806" s="4" t="s">
        <v>3746</v>
      </c>
      <c r="N1806" s="4" t="s">
        <v>3747</v>
      </c>
      <c r="O1806" s="17" t="str">
        <f>INDEX('список ID из СУЭ с должностями'!$A:$F,MATCH(E1806,'список ID из СУЭ с должностями'!$B:$B,0),5)</f>
        <v>НС</v>
      </c>
    </row>
    <row r="1807" spans="1:15" ht="60">
      <c r="A1807" s="3" t="s">
        <v>10</v>
      </c>
      <c r="B1807" s="3" t="s">
        <v>11</v>
      </c>
      <c r="C1807" s="4">
        <v>2026</v>
      </c>
      <c r="D1807" s="5" t="s">
        <v>12</v>
      </c>
      <c r="E1807" s="4">
        <v>252</v>
      </c>
      <c r="F1807" s="4" t="s">
        <v>39</v>
      </c>
      <c r="G1807" s="4" t="s">
        <v>1151</v>
      </c>
      <c r="H1807" s="4" t="s">
        <v>15</v>
      </c>
      <c r="I1807" s="4" t="s">
        <v>2052</v>
      </c>
      <c r="J1807" s="4" t="s">
        <v>79</v>
      </c>
      <c r="K1807" s="4" t="s">
        <v>38</v>
      </c>
      <c r="L1807" s="4" t="s">
        <v>3742</v>
      </c>
      <c r="M1807" s="4" t="s">
        <v>3746</v>
      </c>
      <c r="N1807" s="4" t="s">
        <v>3747</v>
      </c>
      <c r="O1807" s="17" t="str">
        <f>INDEX('список ID из СУЭ с должностями'!$A:$F,MATCH(E1807,'список ID из СУЭ с должностями'!$B:$B,0),5)</f>
        <v>НС</v>
      </c>
    </row>
    <row r="1808" spans="1:15" ht="120">
      <c r="A1808" s="3" t="s">
        <v>10</v>
      </c>
      <c r="B1808" s="3" t="s">
        <v>11</v>
      </c>
      <c r="C1808" s="4">
        <v>2026</v>
      </c>
      <c r="D1808" s="5" t="s">
        <v>12</v>
      </c>
      <c r="E1808" s="4">
        <v>252</v>
      </c>
      <c r="F1808" s="4" t="s">
        <v>39</v>
      </c>
      <c r="G1808" s="4" t="s">
        <v>1151</v>
      </c>
      <c r="H1808" s="4" t="s">
        <v>21</v>
      </c>
      <c r="I1808" s="4" t="s">
        <v>1674</v>
      </c>
      <c r="J1808" s="4" t="s">
        <v>1675</v>
      </c>
      <c r="K1808" s="4" t="s">
        <v>52</v>
      </c>
      <c r="L1808" s="4" t="s">
        <v>3743</v>
      </c>
      <c r="M1808" s="4" t="s">
        <v>3746</v>
      </c>
      <c r="N1808" s="4" t="s">
        <v>3747</v>
      </c>
      <c r="O1808" s="17" t="str">
        <f>INDEX('список ID из СУЭ с должностями'!$A:$F,MATCH(E1808,'список ID из СУЭ с должностями'!$B:$B,0),5)</f>
        <v>НС</v>
      </c>
    </row>
    <row r="1809" spans="1:15" ht="45">
      <c r="A1809" s="3" t="s">
        <v>10</v>
      </c>
      <c r="B1809" s="3" t="s">
        <v>11</v>
      </c>
      <c r="C1809" s="4">
        <v>2026</v>
      </c>
      <c r="D1809" s="5" t="s">
        <v>12</v>
      </c>
      <c r="E1809" s="4">
        <v>252</v>
      </c>
      <c r="F1809" s="4" t="s">
        <v>39</v>
      </c>
      <c r="G1809" s="4" t="s">
        <v>1151</v>
      </c>
      <c r="H1809" s="4" t="s">
        <v>21</v>
      </c>
      <c r="I1809" s="4" t="s">
        <v>2073</v>
      </c>
      <c r="J1809" s="4" t="s">
        <v>2074</v>
      </c>
      <c r="K1809" s="4" t="s">
        <v>55</v>
      </c>
      <c r="L1809" s="4" t="s">
        <v>3742</v>
      </c>
      <c r="M1809" s="4" t="s">
        <v>3746</v>
      </c>
      <c r="N1809" s="4" t="s">
        <v>3747</v>
      </c>
      <c r="O1809" s="17" t="str">
        <f>INDEX('список ID из СУЭ с должностями'!$A:$F,MATCH(E1809,'список ID из СУЭ с должностями'!$B:$B,0),5)</f>
        <v>НС</v>
      </c>
    </row>
    <row r="1810" spans="1:15" ht="240">
      <c r="A1810" s="3" t="s">
        <v>10</v>
      </c>
      <c r="B1810" s="3" t="s">
        <v>11</v>
      </c>
      <c r="C1810" s="4">
        <v>2026</v>
      </c>
      <c r="D1810" s="5" t="s">
        <v>12</v>
      </c>
      <c r="E1810" s="4">
        <v>253</v>
      </c>
      <c r="F1810" s="4" t="s">
        <v>1915</v>
      </c>
      <c r="G1810" s="4" t="s">
        <v>1913</v>
      </c>
      <c r="H1810" s="4" t="s">
        <v>15</v>
      </c>
      <c r="I1810" s="4" t="s">
        <v>933</v>
      </c>
      <c r="J1810" s="4" t="s">
        <v>934</v>
      </c>
      <c r="K1810" s="4" t="s">
        <v>30</v>
      </c>
      <c r="L1810" s="4" t="s">
        <v>3743</v>
      </c>
      <c r="M1810" s="4" t="s">
        <v>3746</v>
      </c>
      <c r="N1810" s="4" t="s">
        <v>3747</v>
      </c>
      <c r="O1810" s="17">
        <f>INDEX('список ID из СУЭ с должностями'!$A:$F,MATCH(E1810,'список ID из СУЭ с должностями'!$B:$B,0),5)</f>
        <v>0</v>
      </c>
    </row>
    <row r="1811" spans="1:15" ht="75">
      <c r="A1811" s="3" t="s">
        <v>10</v>
      </c>
      <c r="B1811" s="3" t="s">
        <v>11</v>
      </c>
      <c r="C1811" s="4">
        <v>2026</v>
      </c>
      <c r="D1811" s="5" t="s">
        <v>12</v>
      </c>
      <c r="E1811" s="4">
        <v>253</v>
      </c>
      <c r="F1811" s="4" t="s">
        <v>1915</v>
      </c>
      <c r="G1811" s="4" t="s">
        <v>1913</v>
      </c>
      <c r="H1811" s="4" t="s">
        <v>15</v>
      </c>
      <c r="I1811" s="4" t="s">
        <v>437</v>
      </c>
      <c r="J1811" s="4" t="s">
        <v>930</v>
      </c>
      <c r="K1811" s="4" t="s">
        <v>55</v>
      </c>
      <c r="L1811" s="4" t="s">
        <v>3743</v>
      </c>
      <c r="M1811" s="4" t="s">
        <v>3746</v>
      </c>
      <c r="N1811" s="4" t="s">
        <v>3747</v>
      </c>
      <c r="O1811" s="17">
        <f>INDEX('список ID из СУЭ с должностями'!$A:$F,MATCH(E1811,'список ID из СУЭ с должностями'!$B:$B,0),5)</f>
        <v>0</v>
      </c>
    </row>
    <row r="1812" spans="1:15" ht="75">
      <c r="A1812" s="3" t="s">
        <v>10</v>
      </c>
      <c r="B1812" s="3" t="s">
        <v>11</v>
      </c>
      <c r="C1812" s="4">
        <v>2026</v>
      </c>
      <c r="D1812" s="5" t="s">
        <v>12</v>
      </c>
      <c r="E1812" s="4">
        <v>253</v>
      </c>
      <c r="F1812" s="4" t="s">
        <v>1915</v>
      </c>
      <c r="G1812" s="4" t="s">
        <v>1913</v>
      </c>
      <c r="H1812" s="4" t="s">
        <v>15</v>
      </c>
      <c r="I1812" s="4" t="s">
        <v>468</v>
      </c>
      <c r="J1812" s="4" t="s">
        <v>79</v>
      </c>
      <c r="K1812" s="4" t="s">
        <v>30</v>
      </c>
      <c r="L1812" s="4" t="s">
        <v>3742</v>
      </c>
      <c r="M1812" s="4" t="s">
        <v>3746</v>
      </c>
      <c r="N1812" s="4" t="s">
        <v>3747</v>
      </c>
      <c r="O1812" s="17">
        <f>INDEX('список ID из СУЭ с должностями'!$A:$F,MATCH(E1812,'список ID из СУЭ с должностями'!$B:$B,0),5)</f>
        <v>0</v>
      </c>
    </row>
    <row r="1813" spans="1:15" ht="165">
      <c r="A1813" s="3" t="s">
        <v>10</v>
      </c>
      <c r="B1813" s="3" t="s">
        <v>11</v>
      </c>
      <c r="C1813" s="4">
        <v>2026</v>
      </c>
      <c r="D1813" s="5" t="s">
        <v>12</v>
      </c>
      <c r="E1813" s="4">
        <v>253</v>
      </c>
      <c r="F1813" s="4" t="s">
        <v>1915</v>
      </c>
      <c r="G1813" s="4" t="s">
        <v>1913</v>
      </c>
      <c r="H1813" s="4" t="s">
        <v>15</v>
      </c>
      <c r="I1813" s="4" t="s">
        <v>890</v>
      </c>
      <c r="J1813" s="4" t="s">
        <v>2112</v>
      </c>
      <c r="K1813" s="4" t="s">
        <v>35</v>
      </c>
      <c r="L1813" s="4" t="s">
        <v>3743</v>
      </c>
      <c r="M1813" s="4" t="s">
        <v>3746</v>
      </c>
      <c r="N1813" s="4" t="s">
        <v>3747</v>
      </c>
      <c r="O1813" s="17">
        <f>INDEX('список ID из СУЭ с должностями'!$A:$F,MATCH(E1813,'список ID из СУЭ с должностями'!$B:$B,0),5)</f>
        <v>0</v>
      </c>
    </row>
    <row r="1814" spans="1:15" ht="75">
      <c r="A1814" s="3" t="s">
        <v>10</v>
      </c>
      <c r="B1814" s="3" t="s">
        <v>11</v>
      </c>
      <c r="C1814" s="4">
        <v>2026</v>
      </c>
      <c r="D1814" s="5" t="s">
        <v>12</v>
      </c>
      <c r="E1814" s="4">
        <v>253</v>
      </c>
      <c r="F1814" s="4" t="s">
        <v>1915</v>
      </c>
      <c r="G1814" s="4" t="s">
        <v>1913</v>
      </c>
      <c r="H1814" s="4" t="s">
        <v>15</v>
      </c>
      <c r="I1814" s="4" t="s">
        <v>439</v>
      </c>
      <c r="J1814" s="4" t="s">
        <v>2113</v>
      </c>
      <c r="K1814" s="4" t="s">
        <v>52</v>
      </c>
      <c r="L1814" s="4" t="s">
        <v>3743</v>
      </c>
      <c r="M1814" s="4" t="s">
        <v>3746</v>
      </c>
      <c r="N1814" s="4" t="s">
        <v>3747</v>
      </c>
      <c r="O1814" s="17">
        <f>INDEX('список ID из СУЭ с должностями'!$A:$F,MATCH(E1814,'список ID из СУЭ с должностями'!$B:$B,0),5)</f>
        <v>0</v>
      </c>
    </row>
    <row r="1815" spans="1:15" ht="75">
      <c r="A1815" s="3" t="s">
        <v>10</v>
      </c>
      <c r="B1815" s="3" t="s">
        <v>11</v>
      </c>
      <c r="C1815" s="4">
        <v>2026</v>
      </c>
      <c r="D1815" s="5" t="s">
        <v>12</v>
      </c>
      <c r="E1815" s="4">
        <v>253</v>
      </c>
      <c r="F1815" s="4" t="s">
        <v>1915</v>
      </c>
      <c r="G1815" s="4" t="s">
        <v>1913</v>
      </c>
      <c r="H1815" s="4" t="s">
        <v>15</v>
      </c>
      <c r="I1815" s="4" t="s">
        <v>1917</v>
      </c>
      <c r="J1815" s="4" t="s">
        <v>1917</v>
      </c>
      <c r="K1815" s="4" t="s">
        <v>52</v>
      </c>
      <c r="L1815" s="4" t="s">
        <v>3743</v>
      </c>
      <c r="M1815" s="4" t="s">
        <v>3746</v>
      </c>
      <c r="N1815" s="4" t="s">
        <v>3747</v>
      </c>
      <c r="O1815" s="17">
        <f>INDEX('список ID из СУЭ с должностями'!$A:$F,MATCH(E1815,'список ID из СУЭ с должностями'!$B:$B,0),5)</f>
        <v>0</v>
      </c>
    </row>
    <row r="1816" spans="1:15" ht="105">
      <c r="A1816" s="3" t="s">
        <v>10</v>
      </c>
      <c r="B1816" s="3" t="s">
        <v>11</v>
      </c>
      <c r="C1816" s="4">
        <v>2026</v>
      </c>
      <c r="D1816" s="5" t="s">
        <v>12</v>
      </c>
      <c r="E1816" s="4">
        <v>254</v>
      </c>
      <c r="F1816" s="4" t="s">
        <v>2114</v>
      </c>
      <c r="G1816" s="4" t="s">
        <v>1659</v>
      </c>
      <c r="H1816" s="4" t="s">
        <v>15</v>
      </c>
      <c r="I1816" s="4" t="s">
        <v>66</v>
      </c>
      <c r="J1816" s="4" t="s">
        <v>2115</v>
      </c>
      <c r="K1816" s="4" t="s">
        <v>66</v>
      </c>
      <c r="L1816" s="4" t="s">
        <v>3743</v>
      </c>
      <c r="M1816" s="4" t="s">
        <v>3746</v>
      </c>
      <c r="N1816" s="4" t="s">
        <v>3747</v>
      </c>
      <c r="O1816" s="17">
        <f>INDEX('список ID из СУЭ с должностями'!$A:$F,MATCH(E1816,'список ID из СУЭ с должностями'!$B:$B,0),5)</f>
        <v>0</v>
      </c>
    </row>
    <row r="1817" spans="1:15" ht="225">
      <c r="A1817" s="3" t="s">
        <v>10</v>
      </c>
      <c r="B1817" s="3" t="s">
        <v>11</v>
      </c>
      <c r="C1817" s="4">
        <v>2026</v>
      </c>
      <c r="D1817" s="5" t="s">
        <v>12</v>
      </c>
      <c r="E1817" s="4">
        <v>254</v>
      </c>
      <c r="F1817" s="4" t="s">
        <v>2114</v>
      </c>
      <c r="G1817" s="4" t="s">
        <v>1659</v>
      </c>
      <c r="H1817" s="4" t="s">
        <v>15</v>
      </c>
      <c r="I1817" s="4" t="s">
        <v>2116</v>
      </c>
      <c r="J1817" s="4" t="s">
        <v>2117</v>
      </c>
      <c r="K1817" s="4" t="s">
        <v>25</v>
      </c>
      <c r="L1817" s="4" t="s">
        <v>3743</v>
      </c>
      <c r="M1817" s="4" t="s">
        <v>3746</v>
      </c>
      <c r="N1817" s="4" t="s">
        <v>3747</v>
      </c>
      <c r="O1817" s="17">
        <f>INDEX('список ID из СУЭ с должностями'!$A:$F,MATCH(E1817,'список ID из СУЭ с должностями'!$B:$B,0),5)</f>
        <v>0</v>
      </c>
    </row>
    <row r="1818" spans="1:15" ht="90">
      <c r="A1818" s="3" t="s">
        <v>10</v>
      </c>
      <c r="B1818" s="3" t="s">
        <v>11</v>
      </c>
      <c r="C1818" s="4">
        <v>2026</v>
      </c>
      <c r="D1818" s="5" t="s">
        <v>12</v>
      </c>
      <c r="E1818" s="4">
        <v>254</v>
      </c>
      <c r="F1818" s="4" t="s">
        <v>2114</v>
      </c>
      <c r="G1818" s="4" t="s">
        <v>1659</v>
      </c>
      <c r="H1818" s="4" t="s">
        <v>15</v>
      </c>
      <c r="I1818" s="4" t="s">
        <v>2118</v>
      </c>
      <c r="J1818" s="4" t="s">
        <v>2119</v>
      </c>
      <c r="K1818" s="4" t="s">
        <v>66</v>
      </c>
      <c r="L1818" s="4" t="s">
        <v>3743</v>
      </c>
      <c r="M1818" s="4" t="s">
        <v>3746</v>
      </c>
      <c r="N1818" s="4" t="s">
        <v>3747</v>
      </c>
      <c r="O1818" s="17">
        <f>INDEX('список ID из СУЭ с должностями'!$A:$F,MATCH(E1818,'список ID из СУЭ с должностями'!$B:$B,0),5)</f>
        <v>0</v>
      </c>
    </row>
    <row r="1819" spans="1:15" ht="90">
      <c r="A1819" s="3" t="s">
        <v>10</v>
      </c>
      <c r="B1819" s="3" t="s">
        <v>11</v>
      </c>
      <c r="C1819" s="4">
        <v>2026</v>
      </c>
      <c r="D1819" s="5" t="s">
        <v>12</v>
      </c>
      <c r="E1819" s="4">
        <v>254</v>
      </c>
      <c r="F1819" s="4" t="s">
        <v>2114</v>
      </c>
      <c r="G1819" s="4" t="s">
        <v>1659</v>
      </c>
      <c r="H1819" s="4" t="s">
        <v>15</v>
      </c>
      <c r="I1819" s="4" t="s">
        <v>2120</v>
      </c>
      <c r="J1819" s="4" t="s">
        <v>2121</v>
      </c>
      <c r="K1819" s="4" t="s">
        <v>188</v>
      </c>
      <c r="L1819" s="4" t="s">
        <v>3743</v>
      </c>
      <c r="M1819" s="4" t="s">
        <v>3746</v>
      </c>
      <c r="N1819" s="4" t="s">
        <v>3747</v>
      </c>
      <c r="O1819" s="17">
        <f>INDEX('список ID из СУЭ с должностями'!$A:$F,MATCH(E1819,'список ID из СУЭ с должностями'!$B:$B,0),5)</f>
        <v>0</v>
      </c>
    </row>
    <row r="1820" spans="1:15" ht="90">
      <c r="A1820" s="3" t="s">
        <v>10</v>
      </c>
      <c r="B1820" s="3" t="s">
        <v>11</v>
      </c>
      <c r="C1820" s="4">
        <v>2026</v>
      </c>
      <c r="D1820" s="5" t="s">
        <v>12</v>
      </c>
      <c r="E1820" s="4">
        <v>254</v>
      </c>
      <c r="F1820" s="4" t="s">
        <v>2114</v>
      </c>
      <c r="G1820" s="4" t="s">
        <v>1659</v>
      </c>
      <c r="H1820" s="4" t="s">
        <v>15</v>
      </c>
      <c r="I1820" s="4" t="s">
        <v>2122</v>
      </c>
      <c r="J1820" s="4" t="s">
        <v>2123</v>
      </c>
      <c r="K1820" s="4" t="s">
        <v>52</v>
      </c>
      <c r="L1820" s="4" t="s">
        <v>3743</v>
      </c>
      <c r="M1820" s="4" t="s">
        <v>3746</v>
      </c>
      <c r="N1820" s="4" t="s">
        <v>3747</v>
      </c>
      <c r="O1820" s="17">
        <f>INDEX('список ID из СУЭ с должностями'!$A:$F,MATCH(E1820,'список ID из СУЭ с должностями'!$B:$B,0),5)</f>
        <v>0</v>
      </c>
    </row>
    <row r="1821" spans="1:15" ht="300">
      <c r="A1821" s="3" t="s">
        <v>10</v>
      </c>
      <c r="B1821" s="3" t="s">
        <v>11</v>
      </c>
      <c r="C1821" s="4">
        <v>2026</v>
      </c>
      <c r="D1821" s="5" t="s">
        <v>12</v>
      </c>
      <c r="E1821" s="4">
        <v>254</v>
      </c>
      <c r="F1821" s="4" t="s">
        <v>2114</v>
      </c>
      <c r="G1821" s="4" t="s">
        <v>1659</v>
      </c>
      <c r="H1821" s="4" t="s">
        <v>15</v>
      </c>
      <c r="I1821" s="4" t="s">
        <v>28</v>
      </c>
      <c r="J1821" s="4" t="s">
        <v>2124</v>
      </c>
      <c r="K1821" s="4" t="s">
        <v>30</v>
      </c>
      <c r="L1821" s="4" t="s">
        <v>3743</v>
      </c>
      <c r="M1821" s="4" t="s">
        <v>3746</v>
      </c>
      <c r="N1821" s="4" t="s">
        <v>3747</v>
      </c>
      <c r="O1821" s="17">
        <f>INDEX('список ID из СУЭ с должностями'!$A:$F,MATCH(E1821,'список ID из СУЭ с должностями'!$B:$B,0),5)</f>
        <v>0</v>
      </c>
    </row>
    <row r="1822" spans="1:15" ht="330">
      <c r="A1822" s="3" t="s">
        <v>10</v>
      </c>
      <c r="B1822" s="3" t="s">
        <v>11</v>
      </c>
      <c r="C1822" s="4">
        <v>2026</v>
      </c>
      <c r="D1822" s="5" t="s">
        <v>12</v>
      </c>
      <c r="E1822" s="4">
        <v>254</v>
      </c>
      <c r="F1822" s="4" t="s">
        <v>2114</v>
      </c>
      <c r="G1822" s="4" t="s">
        <v>1659</v>
      </c>
      <c r="H1822" s="4" t="s">
        <v>15</v>
      </c>
      <c r="I1822" s="4" t="s">
        <v>2125</v>
      </c>
      <c r="J1822" s="4" t="s">
        <v>2126</v>
      </c>
      <c r="K1822" s="4" t="s">
        <v>35</v>
      </c>
      <c r="L1822" s="4" t="s">
        <v>3743</v>
      </c>
      <c r="M1822" s="4" t="s">
        <v>3746</v>
      </c>
      <c r="N1822" s="4" t="s">
        <v>3747</v>
      </c>
      <c r="O1822" s="17">
        <f>INDEX('список ID из СУЭ с должностями'!$A:$F,MATCH(E1822,'список ID из СУЭ с должностями'!$B:$B,0),5)</f>
        <v>0</v>
      </c>
    </row>
    <row r="1823" spans="1:15" ht="75">
      <c r="A1823" s="3" t="s">
        <v>10</v>
      </c>
      <c r="B1823" s="3" t="s">
        <v>11</v>
      </c>
      <c r="C1823" s="4">
        <v>2026</v>
      </c>
      <c r="D1823" s="5" t="s">
        <v>12</v>
      </c>
      <c r="E1823" s="4">
        <v>255</v>
      </c>
      <c r="F1823" s="4" t="s">
        <v>385</v>
      </c>
      <c r="G1823" s="4" t="s">
        <v>1540</v>
      </c>
      <c r="H1823" s="4" t="s">
        <v>15</v>
      </c>
      <c r="I1823" s="4" t="s">
        <v>1544</v>
      </c>
      <c r="J1823" s="4" t="s">
        <v>1545</v>
      </c>
      <c r="K1823" s="4" t="s">
        <v>151</v>
      </c>
      <c r="L1823" s="4" t="s">
        <v>3743</v>
      </c>
      <c r="M1823" s="4" t="s">
        <v>3746</v>
      </c>
      <c r="N1823" s="4" t="s">
        <v>3747</v>
      </c>
      <c r="O1823" s="17">
        <f>INDEX('список ID из СУЭ с должностями'!$A:$F,MATCH(E1823,'список ID из СУЭ с должностями'!$B:$B,0),5)</f>
        <v>0</v>
      </c>
    </row>
    <row r="1824" spans="1:15" ht="60">
      <c r="A1824" s="3" t="s">
        <v>10</v>
      </c>
      <c r="B1824" s="3" t="s">
        <v>11</v>
      </c>
      <c r="C1824" s="4">
        <v>2026</v>
      </c>
      <c r="D1824" s="5" t="s">
        <v>12</v>
      </c>
      <c r="E1824" s="4">
        <v>255</v>
      </c>
      <c r="F1824" s="4" t="s">
        <v>385</v>
      </c>
      <c r="G1824" s="4" t="s">
        <v>1540</v>
      </c>
      <c r="H1824" s="4" t="s">
        <v>41</v>
      </c>
      <c r="I1824" s="4" t="s">
        <v>2127</v>
      </c>
      <c r="J1824" s="4" t="s">
        <v>2128</v>
      </c>
      <c r="K1824" s="4" t="s">
        <v>52</v>
      </c>
      <c r="L1824" s="4" t="s">
        <v>3743</v>
      </c>
      <c r="M1824" s="4" t="s">
        <v>3746</v>
      </c>
      <c r="N1824" s="4" t="s">
        <v>3747</v>
      </c>
      <c r="O1824" s="17">
        <f>INDEX('список ID из СУЭ с должностями'!$A:$F,MATCH(E1824,'список ID из СУЭ с должностями'!$B:$B,0),5)</f>
        <v>0</v>
      </c>
    </row>
    <row r="1825" spans="1:15" ht="150">
      <c r="A1825" s="3" t="s">
        <v>10</v>
      </c>
      <c r="B1825" s="3" t="s">
        <v>11</v>
      </c>
      <c r="C1825" s="4">
        <v>2026</v>
      </c>
      <c r="D1825" s="5" t="s">
        <v>12</v>
      </c>
      <c r="E1825" s="4">
        <v>255</v>
      </c>
      <c r="F1825" s="4" t="s">
        <v>385</v>
      </c>
      <c r="G1825" s="4" t="s">
        <v>1540</v>
      </c>
      <c r="H1825" s="4" t="s">
        <v>15</v>
      </c>
      <c r="I1825" s="4" t="s">
        <v>1541</v>
      </c>
      <c r="J1825" s="4" t="s">
        <v>1542</v>
      </c>
      <c r="K1825" s="4" t="s">
        <v>20</v>
      </c>
      <c r="L1825" s="4" t="s">
        <v>3743</v>
      </c>
      <c r="M1825" s="4" t="s">
        <v>3746</v>
      </c>
      <c r="N1825" s="4" t="s">
        <v>3747</v>
      </c>
      <c r="O1825" s="17">
        <f>INDEX('список ID из СУЭ с должностями'!$A:$F,MATCH(E1825,'список ID из СУЭ с должностями'!$B:$B,0),5)</f>
        <v>0</v>
      </c>
    </row>
    <row r="1826" spans="1:15" ht="150">
      <c r="A1826" s="3" t="s">
        <v>10</v>
      </c>
      <c r="B1826" s="3" t="s">
        <v>11</v>
      </c>
      <c r="C1826" s="4">
        <v>2026</v>
      </c>
      <c r="D1826" s="5" t="s">
        <v>12</v>
      </c>
      <c r="E1826" s="4">
        <v>255</v>
      </c>
      <c r="F1826" s="4" t="s">
        <v>385</v>
      </c>
      <c r="G1826" s="4" t="s">
        <v>1540</v>
      </c>
      <c r="H1826" s="4" t="s">
        <v>15</v>
      </c>
      <c r="I1826" s="4" t="s">
        <v>1548</v>
      </c>
      <c r="J1826" s="4" t="s">
        <v>1549</v>
      </c>
      <c r="K1826" s="4" t="s">
        <v>66</v>
      </c>
      <c r="L1826" s="4" t="s">
        <v>3743</v>
      </c>
      <c r="M1826" s="4" t="s">
        <v>3746</v>
      </c>
      <c r="N1826" s="4" t="s">
        <v>3747</v>
      </c>
      <c r="O1826" s="17">
        <f>INDEX('список ID из СУЭ с должностями'!$A:$F,MATCH(E1826,'список ID из СУЭ с должностями'!$B:$B,0),5)</f>
        <v>0</v>
      </c>
    </row>
    <row r="1827" spans="1:15" ht="120">
      <c r="A1827" s="3" t="s">
        <v>10</v>
      </c>
      <c r="B1827" s="3" t="s">
        <v>11</v>
      </c>
      <c r="C1827" s="4">
        <v>2026</v>
      </c>
      <c r="D1827" s="5" t="s">
        <v>12</v>
      </c>
      <c r="E1827" s="4">
        <v>255</v>
      </c>
      <c r="F1827" s="4" t="s">
        <v>385</v>
      </c>
      <c r="G1827" s="4" t="s">
        <v>1540</v>
      </c>
      <c r="H1827" s="4" t="s">
        <v>15</v>
      </c>
      <c r="I1827" s="4" t="s">
        <v>1550</v>
      </c>
      <c r="J1827" s="4" t="s">
        <v>1551</v>
      </c>
      <c r="K1827" s="4" t="s">
        <v>35</v>
      </c>
      <c r="L1827" s="4" t="s">
        <v>3743</v>
      </c>
      <c r="M1827" s="4" t="s">
        <v>3746</v>
      </c>
      <c r="N1827" s="4" t="s">
        <v>3747</v>
      </c>
      <c r="O1827" s="17">
        <f>INDEX('список ID из СУЭ с должностями'!$A:$F,MATCH(E1827,'список ID из СУЭ с должностями'!$B:$B,0),5)</f>
        <v>0</v>
      </c>
    </row>
    <row r="1828" spans="1:15" ht="165">
      <c r="A1828" s="3" t="s">
        <v>10</v>
      </c>
      <c r="B1828" s="3" t="s">
        <v>11</v>
      </c>
      <c r="C1828" s="4">
        <v>2026</v>
      </c>
      <c r="D1828" s="5" t="s">
        <v>12</v>
      </c>
      <c r="E1828" s="4">
        <v>255</v>
      </c>
      <c r="F1828" s="4" t="s">
        <v>385</v>
      </c>
      <c r="G1828" s="4" t="s">
        <v>1540</v>
      </c>
      <c r="H1828" s="4" t="s">
        <v>15</v>
      </c>
      <c r="I1828" s="4" t="s">
        <v>1552</v>
      </c>
      <c r="J1828" s="4" t="s">
        <v>1553</v>
      </c>
      <c r="K1828" s="4" t="s">
        <v>23</v>
      </c>
      <c r="L1828" s="4" t="s">
        <v>3743</v>
      </c>
      <c r="M1828" s="4" t="s">
        <v>3748</v>
      </c>
      <c r="N1828" s="4" t="s">
        <v>3752</v>
      </c>
      <c r="O1828" s="17">
        <f>INDEX('список ID из СУЭ с должностями'!$A:$F,MATCH(E1828,'список ID из СУЭ с должностями'!$B:$B,0),5)</f>
        <v>0</v>
      </c>
    </row>
    <row r="1829" spans="1:15" ht="180">
      <c r="A1829" s="3" t="s">
        <v>10</v>
      </c>
      <c r="B1829" s="3" t="s">
        <v>11</v>
      </c>
      <c r="C1829" s="4">
        <v>2026</v>
      </c>
      <c r="D1829" s="5" t="s">
        <v>12</v>
      </c>
      <c r="E1829" s="4">
        <v>255</v>
      </c>
      <c r="F1829" s="4" t="s">
        <v>385</v>
      </c>
      <c r="G1829" s="4" t="s">
        <v>1540</v>
      </c>
      <c r="H1829" s="4" t="s">
        <v>15</v>
      </c>
      <c r="I1829" s="4" t="s">
        <v>1546</v>
      </c>
      <c r="J1829" s="4" t="s">
        <v>2129</v>
      </c>
      <c r="K1829" s="4" t="s">
        <v>188</v>
      </c>
      <c r="L1829" s="4" t="s">
        <v>3743</v>
      </c>
      <c r="M1829" s="4" t="s">
        <v>3746</v>
      </c>
      <c r="N1829" s="4" t="s">
        <v>3747</v>
      </c>
      <c r="O1829" s="17">
        <f>INDEX('список ID из СУЭ с должностями'!$A:$F,MATCH(E1829,'список ID из СУЭ с должностями'!$B:$B,0),5)</f>
        <v>0</v>
      </c>
    </row>
    <row r="1830" spans="1:15" ht="60">
      <c r="A1830" s="3" t="s">
        <v>10</v>
      </c>
      <c r="B1830" s="3" t="s">
        <v>11</v>
      </c>
      <c r="C1830" s="4">
        <v>2026</v>
      </c>
      <c r="D1830" s="5" t="s">
        <v>12</v>
      </c>
      <c r="E1830" s="4">
        <v>256</v>
      </c>
      <c r="F1830" s="4" t="s">
        <v>1670</v>
      </c>
      <c r="G1830" s="4" t="s">
        <v>45</v>
      </c>
      <c r="H1830" s="4" t="s">
        <v>21</v>
      </c>
      <c r="I1830" s="4" t="s">
        <v>220</v>
      </c>
      <c r="J1830" s="4" t="s">
        <v>2130</v>
      </c>
      <c r="K1830" s="4" t="s">
        <v>220</v>
      </c>
      <c r="L1830" s="4" t="s">
        <v>3743</v>
      </c>
      <c r="M1830" s="4" t="s">
        <v>3753</v>
      </c>
      <c r="N1830" s="4" t="s">
        <v>3747</v>
      </c>
      <c r="O1830" s="17" t="str">
        <f>INDEX('список ID из СУЭ с должностями'!$A:$F,MATCH(E1830,'список ID из СУЭ с должностями'!$B:$B,0),5)</f>
        <v>СМП</v>
      </c>
    </row>
    <row r="1831" spans="1:15" ht="135">
      <c r="A1831" s="3" t="s">
        <v>10</v>
      </c>
      <c r="B1831" s="3" t="s">
        <v>11</v>
      </c>
      <c r="C1831" s="4">
        <v>2026</v>
      </c>
      <c r="D1831" s="5" t="s">
        <v>12</v>
      </c>
      <c r="E1831" s="4">
        <v>256</v>
      </c>
      <c r="F1831" s="4" t="s">
        <v>1670</v>
      </c>
      <c r="G1831" s="4" t="s">
        <v>45</v>
      </c>
      <c r="H1831" s="4" t="s">
        <v>15</v>
      </c>
      <c r="I1831" s="4" t="s">
        <v>1681</v>
      </c>
      <c r="J1831" s="4" t="s">
        <v>1682</v>
      </c>
      <c r="K1831" s="4" t="s">
        <v>66</v>
      </c>
      <c r="L1831" s="4" t="s">
        <v>3743</v>
      </c>
      <c r="M1831" s="4" t="s">
        <v>3746</v>
      </c>
      <c r="N1831" s="4" t="s">
        <v>3747</v>
      </c>
      <c r="O1831" s="17" t="str">
        <f>INDEX('список ID из СУЭ с должностями'!$A:$F,MATCH(E1831,'список ID из СУЭ с должностями'!$B:$B,0),5)</f>
        <v>СМП</v>
      </c>
    </row>
    <row r="1832" spans="1:15" ht="60">
      <c r="A1832" s="3" t="s">
        <v>10</v>
      </c>
      <c r="B1832" s="3" t="s">
        <v>11</v>
      </c>
      <c r="C1832" s="4">
        <v>2026</v>
      </c>
      <c r="D1832" s="5" t="s">
        <v>12</v>
      </c>
      <c r="E1832" s="4">
        <v>256</v>
      </c>
      <c r="F1832" s="4" t="s">
        <v>1670</v>
      </c>
      <c r="G1832" s="4" t="s">
        <v>45</v>
      </c>
      <c r="H1832" s="4" t="s">
        <v>15</v>
      </c>
      <c r="I1832" s="4" t="s">
        <v>1284</v>
      </c>
      <c r="J1832" s="4" t="s">
        <v>3738</v>
      </c>
      <c r="K1832" s="4" t="s">
        <v>188</v>
      </c>
      <c r="L1832" s="4" t="s">
        <v>3743</v>
      </c>
      <c r="M1832" s="4" t="s">
        <v>3746</v>
      </c>
      <c r="N1832" s="4" t="s">
        <v>3747</v>
      </c>
      <c r="O1832" s="17" t="str">
        <f>INDEX('список ID из СУЭ с должностями'!$A:$F,MATCH(E1832,'список ID из СУЭ с должностями'!$B:$B,0),5)</f>
        <v>СМП</v>
      </c>
    </row>
    <row r="1833" spans="1:15" ht="120">
      <c r="A1833" s="3" t="s">
        <v>10</v>
      </c>
      <c r="B1833" s="3" t="s">
        <v>11</v>
      </c>
      <c r="C1833" s="4">
        <v>2026</v>
      </c>
      <c r="D1833" s="5" t="s">
        <v>12</v>
      </c>
      <c r="E1833" s="4">
        <v>256</v>
      </c>
      <c r="F1833" s="4" t="s">
        <v>1670</v>
      </c>
      <c r="G1833" s="4" t="s">
        <v>45</v>
      </c>
      <c r="H1833" s="4" t="s">
        <v>15</v>
      </c>
      <c r="I1833" s="4" t="s">
        <v>2131</v>
      </c>
      <c r="J1833" s="4" t="s">
        <v>2132</v>
      </c>
      <c r="K1833" s="4" t="s">
        <v>66</v>
      </c>
      <c r="L1833" s="4" t="s">
        <v>3743</v>
      </c>
      <c r="M1833" s="4" t="s">
        <v>3746</v>
      </c>
      <c r="N1833" s="4" t="s">
        <v>3747</v>
      </c>
      <c r="O1833" s="17" t="str">
        <f>INDEX('список ID из СУЭ с должностями'!$A:$F,MATCH(E1833,'список ID из СУЭ с должностями'!$B:$B,0),5)</f>
        <v>СМП</v>
      </c>
    </row>
    <row r="1834" spans="1:15" ht="75">
      <c r="A1834" s="3" t="s">
        <v>10</v>
      </c>
      <c r="B1834" s="3" t="s">
        <v>11</v>
      </c>
      <c r="C1834" s="4">
        <v>2026</v>
      </c>
      <c r="D1834" s="5" t="s">
        <v>12</v>
      </c>
      <c r="E1834" s="4">
        <v>256</v>
      </c>
      <c r="F1834" s="4" t="s">
        <v>1670</v>
      </c>
      <c r="G1834" s="4" t="s">
        <v>45</v>
      </c>
      <c r="H1834" s="4" t="s">
        <v>15</v>
      </c>
      <c r="I1834" s="4" t="s">
        <v>2133</v>
      </c>
      <c r="J1834" s="4" t="s">
        <v>46</v>
      </c>
      <c r="K1834" s="4" t="s">
        <v>20</v>
      </c>
      <c r="L1834" s="4" t="s">
        <v>3743</v>
      </c>
      <c r="M1834" s="4" t="s">
        <v>3746</v>
      </c>
      <c r="N1834" s="4" t="s">
        <v>3747</v>
      </c>
      <c r="O1834" s="17" t="str">
        <f>INDEX('список ID из СУЭ с должностями'!$A:$F,MATCH(E1834,'список ID из СУЭ с должностями'!$B:$B,0),5)</f>
        <v>СМП</v>
      </c>
    </row>
    <row r="1835" spans="1:15" ht="45">
      <c r="A1835" s="3" t="s">
        <v>10</v>
      </c>
      <c r="B1835" s="3" t="s">
        <v>11</v>
      </c>
      <c r="C1835" s="4">
        <v>2026</v>
      </c>
      <c r="D1835" s="5" t="s">
        <v>12</v>
      </c>
      <c r="E1835" s="4">
        <v>256</v>
      </c>
      <c r="F1835" s="4" t="s">
        <v>1670</v>
      </c>
      <c r="G1835" s="4" t="s">
        <v>45</v>
      </c>
      <c r="H1835" s="4" t="s">
        <v>15</v>
      </c>
      <c r="I1835" s="4" t="s">
        <v>984</v>
      </c>
      <c r="J1835" s="4" t="s">
        <v>65</v>
      </c>
      <c r="K1835" s="4" t="s">
        <v>66</v>
      </c>
      <c r="L1835" s="4" t="s">
        <v>3742</v>
      </c>
      <c r="M1835" s="4" t="s">
        <v>3746</v>
      </c>
      <c r="N1835" s="4" t="s">
        <v>3747</v>
      </c>
      <c r="O1835" s="17" t="str">
        <f>INDEX('список ID из СУЭ с должностями'!$A:$F,MATCH(E1835,'список ID из СУЭ с должностями'!$B:$B,0),5)</f>
        <v>СМП</v>
      </c>
    </row>
    <row r="1836" spans="1:15" ht="75">
      <c r="A1836" s="3" t="s">
        <v>10</v>
      </c>
      <c r="B1836" s="3" t="s">
        <v>11</v>
      </c>
      <c r="C1836" s="4">
        <v>2026</v>
      </c>
      <c r="D1836" s="5" t="s">
        <v>12</v>
      </c>
      <c r="E1836" s="4">
        <v>256</v>
      </c>
      <c r="F1836" s="4" t="s">
        <v>1670</v>
      </c>
      <c r="G1836" s="4" t="s">
        <v>45</v>
      </c>
      <c r="H1836" s="4" t="s">
        <v>15</v>
      </c>
      <c r="I1836" s="4" t="s">
        <v>30</v>
      </c>
      <c r="J1836" s="4" t="s">
        <v>2134</v>
      </c>
      <c r="K1836" s="4" t="s">
        <v>30</v>
      </c>
      <c r="L1836" s="4" t="s">
        <v>3743</v>
      </c>
      <c r="M1836" s="4" t="s">
        <v>3746</v>
      </c>
      <c r="N1836" s="4" t="s">
        <v>3747</v>
      </c>
      <c r="O1836" s="17" t="str">
        <f>INDEX('список ID из СУЭ с должностями'!$A:$F,MATCH(E1836,'список ID из СУЭ с должностями'!$B:$B,0),5)</f>
        <v>СМП</v>
      </c>
    </row>
    <row r="1837" spans="1:15" ht="150">
      <c r="A1837" s="3" t="s">
        <v>10</v>
      </c>
      <c r="B1837" s="3" t="s">
        <v>11</v>
      </c>
      <c r="C1837" s="4">
        <v>2026</v>
      </c>
      <c r="D1837" s="5" t="s">
        <v>12</v>
      </c>
      <c r="E1837" s="4">
        <v>256</v>
      </c>
      <c r="F1837" s="4" t="s">
        <v>1670</v>
      </c>
      <c r="G1837" s="4" t="s">
        <v>45</v>
      </c>
      <c r="H1837" s="4" t="s">
        <v>41</v>
      </c>
      <c r="I1837" s="4" t="s">
        <v>42</v>
      </c>
      <c r="J1837" s="4" t="s">
        <v>2059</v>
      </c>
      <c r="K1837" s="4" t="s">
        <v>25</v>
      </c>
      <c r="L1837" s="4" t="s">
        <v>3743</v>
      </c>
      <c r="M1837" s="4" t="s">
        <v>3746</v>
      </c>
      <c r="N1837" s="4" t="s">
        <v>3747</v>
      </c>
      <c r="O1837" s="17" t="str">
        <f>INDEX('список ID из СУЭ с должностями'!$A:$F,MATCH(E1837,'список ID из СУЭ с должностями'!$B:$B,0),5)</f>
        <v>СМП</v>
      </c>
    </row>
    <row r="1838" spans="1:15" ht="300">
      <c r="A1838" s="3" t="s">
        <v>10</v>
      </c>
      <c r="B1838" s="3" t="s">
        <v>11</v>
      </c>
      <c r="C1838" s="4">
        <v>2026</v>
      </c>
      <c r="D1838" s="5" t="s">
        <v>12</v>
      </c>
      <c r="E1838" s="4">
        <v>256</v>
      </c>
      <c r="F1838" s="4" t="s">
        <v>1670</v>
      </c>
      <c r="G1838" s="4" t="s">
        <v>45</v>
      </c>
      <c r="H1838" s="4" t="s">
        <v>15</v>
      </c>
      <c r="I1838" s="4" t="s">
        <v>48</v>
      </c>
      <c r="J1838" s="4" t="s">
        <v>2063</v>
      </c>
      <c r="K1838" s="4" t="s">
        <v>35</v>
      </c>
      <c r="L1838" s="4" t="s">
        <v>3743</v>
      </c>
      <c r="M1838" s="4" t="s">
        <v>3746</v>
      </c>
      <c r="N1838" s="4" t="s">
        <v>3747</v>
      </c>
      <c r="O1838" s="17" t="str">
        <f>INDEX('список ID из СУЭ с должностями'!$A:$F,MATCH(E1838,'список ID из СУЭ с должностями'!$B:$B,0),5)</f>
        <v>СМП</v>
      </c>
    </row>
    <row r="1839" spans="1:15" ht="135">
      <c r="A1839" s="3" t="s">
        <v>10</v>
      </c>
      <c r="B1839" s="3" t="s">
        <v>11</v>
      </c>
      <c r="C1839" s="4">
        <v>2026</v>
      </c>
      <c r="D1839" s="5" t="s">
        <v>12</v>
      </c>
      <c r="E1839" s="4">
        <v>257</v>
      </c>
      <c r="F1839" s="4" t="s">
        <v>454</v>
      </c>
      <c r="G1839" s="4" t="s">
        <v>1822</v>
      </c>
      <c r="H1839" s="4" t="s">
        <v>41</v>
      </c>
      <c r="I1839" s="4" t="s">
        <v>855</v>
      </c>
      <c r="J1839" s="4" t="s">
        <v>2135</v>
      </c>
      <c r="K1839" s="4" t="s">
        <v>25</v>
      </c>
      <c r="L1839" s="4" t="s">
        <v>3743</v>
      </c>
      <c r="M1839" s="4" t="s">
        <v>3746</v>
      </c>
      <c r="N1839" s="4" t="s">
        <v>3747</v>
      </c>
      <c r="O1839" s="17">
        <f>INDEX('список ID из СУЭ с должностями'!$A:$F,MATCH(E1839,'список ID из СУЭ с должностями'!$B:$B,0),5)</f>
        <v>0</v>
      </c>
    </row>
    <row r="1840" spans="1:15" ht="210">
      <c r="A1840" s="3" t="s">
        <v>10</v>
      </c>
      <c r="B1840" s="3" t="s">
        <v>11</v>
      </c>
      <c r="C1840" s="4">
        <v>2026</v>
      </c>
      <c r="D1840" s="5" t="s">
        <v>12</v>
      </c>
      <c r="E1840" s="4">
        <v>257</v>
      </c>
      <c r="F1840" s="4" t="s">
        <v>454</v>
      </c>
      <c r="G1840" s="4" t="s">
        <v>1822</v>
      </c>
      <c r="H1840" s="4" t="s">
        <v>15</v>
      </c>
      <c r="I1840" s="4" t="s">
        <v>857</v>
      </c>
      <c r="J1840" s="4" t="s">
        <v>2136</v>
      </c>
      <c r="K1840" s="4" t="s">
        <v>35</v>
      </c>
      <c r="L1840" s="4" t="s">
        <v>3743</v>
      </c>
      <c r="M1840" s="4" t="s">
        <v>3746</v>
      </c>
      <c r="N1840" s="4" t="s">
        <v>3747</v>
      </c>
      <c r="O1840" s="17">
        <f>INDEX('список ID из СУЭ с должностями'!$A:$F,MATCH(E1840,'список ID из СУЭ с должностями'!$B:$B,0),5)</f>
        <v>0</v>
      </c>
    </row>
    <row r="1841" spans="1:15" ht="210">
      <c r="A1841" s="3" t="s">
        <v>10</v>
      </c>
      <c r="B1841" s="3" t="s">
        <v>11</v>
      </c>
      <c r="C1841" s="4">
        <v>2026</v>
      </c>
      <c r="D1841" s="5" t="s">
        <v>12</v>
      </c>
      <c r="E1841" s="4">
        <v>257</v>
      </c>
      <c r="F1841" s="4" t="s">
        <v>454</v>
      </c>
      <c r="G1841" s="4" t="s">
        <v>1822</v>
      </c>
      <c r="H1841" s="4" t="s">
        <v>15</v>
      </c>
      <c r="I1841" s="4" t="s">
        <v>303</v>
      </c>
      <c r="J1841" s="4" t="s">
        <v>2137</v>
      </c>
      <c r="K1841" s="4" t="s">
        <v>66</v>
      </c>
      <c r="L1841" s="4" t="s">
        <v>3743</v>
      </c>
      <c r="M1841" s="4" t="s">
        <v>3746</v>
      </c>
      <c r="N1841" s="4" t="s">
        <v>3747</v>
      </c>
      <c r="O1841" s="17">
        <f>INDEX('список ID из СУЭ с должностями'!$A:$F,MATCH(E1841,'список ID из СУЭ с должностями'!$B:$B,0),5)</f>
        <v>0</v>
      </c>
    </row>
    <row r="1842" spans="1:15" ht="135">
      <c r="A1842" s="3" t="s">
        <v>10</v>
      </c>
      <c r="B1842" s="3" t="s">
        <v>11</v>
      </c>
      <c r="C1842" s="4">
        <v>2026</v>
      </c>
      <c r="D1842" s="5" t="s">
        <v>12</v>
      </c>
      <c r="E1842" s="4">
        <v>257</v>
      </c>
      <c r="F1842" s="4" t="s">
        <v>454</v>
      </c>
      <c r="G1842" s="4" t="s">
        <v>1822</v>
      </c>
      <c r="H1842" s="4" t="s">
        <v>15</v>
      </c>
      <c r="I1842" s="4" t="s">
        <v>149</v>
      </c>
      <c r="J1842" s="4" t="s">
        <v>1825</v>
      </c>
      <c r="K1842" s="4" t="s">
        <v>66</v>
      </c>
      <c r="L1842" s="4" t="s">
        <v>3743</v>
      </c>
      <c r="M1842" s="4" t="s">
        <v>3746</v>
      </c>
      <c r="N1842" s="4" t="s">
        <v>3747</v>
      </c>
      <c r="O1842" s="17">
        <f>INDEX('список ID из СУЭ с должностями'!$A:$F,MATCH(E1842,'список ID из СУЭ с должностями'!$B:$B,0),5)</f>
        <v>0</v>
      </c>
    </row>
    <row r="1843" spans="1:15" ht="135">
      <c r="A1843" s="3" t="s">
        <v>10</v>
      </c>
      <c r="B1843" s="3" t="s">
        <v>11</v>
      </c>
      <c r="C1843" s="4">
        <v>2026</v>
      </c>
      <c r="D1843" s="5" t="s">
        <v>12</v>
      </c>
      <c r="E1843" s="4">
        <v>257</v>
      </c>
      <c r="F1843" s="4" t="s">
        <v>454</v>
      </c>
      <c r="G1843" s="4" t="s">
        <v>1822</v>
      </c>
      <c r="H1843" s="4" t="s">
        <v>15</v>
      </c>
      <c r="I1843" s="4" t="s">
        <v>806</v>
      </c>
      <c r="J1843" s="4" t="s">
        <v>2138</v>
      </c>
      <c r="K1843" s="4" t="s">
        <v>38</v>
      </c>
      <c r="L1843" s="4" t="s">
        <v>3743</v>
      </c>
      <c r="M1843" s="4" t="s">
        <v>3746</v>
      </c>
      <c r="N1843" s="4" t="s">
        <v>3747</v>
      </c>
      <c r="O1843" s="17">
        <f>INDEX('список ID из СУЭ с должностями'!$A:$F,MATCH(E1843,'список ID из СУЭ с должностями'!$B:$B,0),5)</f>
        <v>0</v>
      </c>
    </row>
    <row r="1844" spans="1:15" ht="90">
      <c r="A1844" s="3" t="s">
        <v>10</v>
      </c>
      <c r="B1844" s="3" t="s">
        <v>11</v>
      </c>
      <c r="C1844" s="4">
        <v>2026</v>
      </c>
      <c r="D1844" s="5" t="s">
        <v>12</v>
      </c>
      <c r="E1844" s="4">
        <v>258</v>
      </c>
      <c r="F1844" s="4" t="s">
        <v>385</v>
      </c>
      <c r="G1844" s="4" t="s">
        <v>1362</v>
      </c>
      <c r="H1844" s="4" t="s">
        <v>41</v>
      </c>
      <c r="I1844" s="4" t="s">
        <v>2139</v>
      </c>
      <c r="J1844" s="4" t="s">
        <v>2140</v>
      </c>
      <c r="K1844" s="4" t="s">
        <v>2141</v>
      </c>
      <c r="L1844" s="4" t="s">
        <v>3743</v>
      </c>
      <c r="M1844" s="4" t="s">
        <v>3746</v>
      </c>
      <c r="N1844" s="4" t="s">
        <v>3768</v>
      </c>
      <c r="O1844" s="17">
        <f>INDEX('список ID из СУЭ с должностями'!$A:$F,MATCH(E1844,'список ID из СУЭ с должностями'!$B:$B,0),5)</f>
        <v>0</v>
      </c>
    </row>
    <row r="1845" spans="1:15" ht="120">
      <c r="A1845" s="3" t="s">
        <v>10</v>
      </c>
      <c r="B1845" s="3" t="s">
        <v>11</v>
      </c>
      <c r="C1845" s="4">
        <v>2026</v>
      </c>
      <c r="D1845" s="5" t="s">
        <v>12</v>
      </c>
      <c r="E1845" s="4">
        <v>258</v>
      </c>
      <c r="F1845" s="4" t="s">
        <v>385</v>
      </c>
      <c r="G1845" s="4" t="s">
        <v>1362</v>
      </c>
      <c r="H1845" s="4" t="s">
        <v>15</v>
      </c>
      <c r="I1845" s="4" t="s">
        <v>2142</v>
      </c>
      <c r="J1845" s="4" t="s">
        <v>2143</v>
      </c>
      <c r="K1845" s="4" t="s">
        <v>2144</v>
      </c>
      <c r="L1845" s="4" t="s">
        <v>3743</v>
      </c>
      <c r="M1845" s="4" t="s">
        <v>3746</v>
      </c>
      <c r="N1845" s="4" t="s">
        <v>3768</v>
      </c>
      <c r="O1845" s="17">
        <f>INDEX('список ID из СУЭ с должностями'!$A:$F,MATCH(E1845,'список ID из СУЭ с должностями'!$B:$B,0),5)</f>
        <v>0</v>
      </c>
    </row>
    <row r="1846" spans="1:15" ht="330">
      <c r="A1846" s="3" t="s">
        <v>10</v>
      </c>
      <c r="B1846" s="3" t="s">
        <v>11</v>
      </c>
      <c r="C1846" s="4">
        <v>2026</v>
      </c>
      <c r="D1846" s="5" t="s">
        <v>12</v>
      </c>
      <c r="E1846" s="4">
        <v>258</v>
      </c>
      <c r="F1846" s="4" t="s">
        <v>385</v>
      </c>
      <c r="G1846" s="4" t="s">
        <v>1362</v>
      </c>
      <c r="H1846" s="4" t="s">
        <v>15</v>
      </c>
      <c r="I1846" s="4" t="s">
        <v>1374</v>
      </c>
      <c r="J1846" s="4" t="s">
        <v>1516</v>
      </c>
      <c r="K1846" s="4" t="s">
        <v>52</v>
      </c>
      <c r="L1846" s="4" t="s">
        <v>3743</v>
      </c>
      <c r="M1846" s="4" t="s">
        <v>3746</v>
      </c>
      <c r="N1846" s="4" t="s">
        <v>3747</v>
      </c>
      <c r="O1846" s="17">
        <f>INDEX('список ID из СУЭ с должностями'!$A:$F,MATCH(E1846,'список ID из СУЭ с должностями'!$B:$B,0),5)</f>
        <v>0</v>
      </c>
    </row>
    <row r="1847" spans="1:15" ht="60">
      <c r="A1847" s="3" t="s">
        <v>10</v>
      </c>
      <c r="B1847" s="3" t="s">
        <v>11</v>
      </c>
      <c r="C1847" s="4">
        <v>2026</v>
      </c>
      <c r="D1847" s="5" t="s">
        <v>12</v>
      </c>
      <c r="E1847" s="4">
        <v>258</v>
      </c>
      <c r="F1847" s="4" t="s">
        <v>385</v>
      </c>
      <c r="G1847" s="4" t="s">
        <v>1362</v>
      </c>
      <c r="H1847" s="4" t="s">
        <v>21</v>
      </c>
      <c r="I1847" s="4" t="s">
        <v>1520</v>
      </c>
      <c r="J1847" s="4" t="s">
        <v>1521</v>
      </c>
      <c r="K1847" s="4" t="s">
        <v>30</v>
      </c>
      <c r="L1847" s="4" t="s">
        <v>3742</v>
      </c>
      <c r="M1847" s="4" t="s">
        <v>3746</v>
      </c>
      <c r="N1847" s="4" t="s">
        <v>3747</v>
      </c>
      <c r="O1847" s="17">
        <f>INDEX('список ID из СУЭ с должностями'!$A:$F,MATCH(E1847,'список ID из СУЭ с должностями'!$B:$B,0),5)</f>
        <v>0</v>
      </c>
    </row>
    <row r="1848" spans="1:15" ht="180">
      <c r="A1848" s="3" t="s">
        <v>10</v>
      </c>
      <c r="B1848" s="3" t="s">
        <v>11</v>
      </c>
      <c r="C1848" s="4">
        <v>2026</v>
      </c>
      <c r="D1848" s="5" t="s">
        <v>12</v>
      </c>
      <c r="E1848" s="4">
        <v>258</v>
      </c>
      <c r="F1848" s="4" t="s">
        <v>385</v>
      </c>
      <c r="G1848" s="4" t="s">
        <v>1362</v>
      </c>
      <c r="H1848" s="4" t="s">
        <v>21</v>
      </c>
      <c r="I1848" s="4" t="s">
        <v>1508</v>
      </c>
      <c r="J1848" s="4" t="s">
        <v>2145</v>
      </c>
      <c r="K1848" s="4" t="s">
        <v>2146</v>
      </c>
      <c r="L1848" s="4" t="s">
        <v>3743</v>
      </c>
      <c r="M1848" s="4" t="s">
        <v>3746</v>
      </c>
      <c r="N1848" s="4" t="s">
        <v>3768</v>
      </c>
      <c r="O1848" s="17">
        <f>INDEX('список ID из СУЭ с должностями'!$A:$F,MATCH(E1848,'список ID из СУЭ с должностями'!$B:$B,0),5)</f>
        <v>0</v>
      </c>
    </row>
    <row r="1849" spans="1:15" ht="90">
      <c r="A1849" s="3" t="s">
        <v>10</v>
      </c>
      <c r="B1849" s="3" t="s">
        <v>11</v>
      </c>
      <c r="C1849" s="4">
        <v>2026</v>
      </c>
      <c r="D1849" s="5" t="s">
        <v>12</v>
      </c>
      <c r="E1849" s="4">
        <v>259</v>
      </c>
      <c r="F1849" s="4" t="s">
        <v>247</v>
      </c>
      <c r="G1849" s="4" t="s">
        <v>158</v>
      </c>
      <c r="H1849" s="4" t="s">
        <v>15</v>
      </c>
      <c r="I1849" s="4" t="s">
        <v>2147</v>
      </c>
      <c r="J1849" s="4" t="s">
        <v>2148</v>
      </c>
      <c r="K1849" s="4" t="s">
        <v>151</v>
      </c>
      <c r="L1849" s="4" t="s">
        <v>3743</v>
      </c>
      <c r="M1849" s="4" t="s">
        <v>3746</v>
      </c>
      <c r="N1849" s="4" t="s">
        <v>3747</v>
      </c>
      <c r="O1849" s="17">
        <f>INDEX('список ID из СУЭ с должностями'!$A:$F,MATCH(E1849,'список ID из СУЭ с должностями'!$B:$B,0),5)</f>
        <v>0</v>
      </c>
    </row>
    <row r="1850" spans="1:15" ht="90">
      <c r="A1850" s="3" t="s">
        <v>10</v>
      </c>
      <c r="B1850" s="3" t="s">
        <v>11</v>
      </c>
      <c r="C1850" s="4">
        <v>2026</v>
      </c>
      <c r="D1850" s="5" t="s">
        <v>12</v>
      </c>
      <c r="E1850" s="4">
        <v>259</v>
      </c>
      <c r="F1850" s="4" t="s">
        <v>247</v>
      </c>
      <c r="G1850" s="4" t="s">
        <v>158</v>
      </c>
      <c r="H1850" s="4" t="s">
        <v>15</v>
      </c>
      <c r="I1850" s="4" t="s">
        <v>250</v>
      </c>
      <c r="J1850" s="4" t="s">
        <v>2149</v>
      </c>
      <c r="K1850" s="4" t="s">
        <v>20</v>
      </c>
      <c r="L1850" s="4" t="s">
        <v>3743</v>
      </c>
      <c r="M1850" s="4" t="s">
        <v>3746</v>
      </c>
      <c r="N1850" s="4" t="s">
        <v>3747</v>
      </c>
      <c r="O1850" s="17">
        <f>INDEX('список ID из СУЭ с должностями'!$A:$F,MATCH(E1850,'список ID из СУЭ с должностями'!$B:$B,0),5)</f>
        <v>0</v>
      </c>
    </row>
    <row r="1851" spans="1:15" ht="75">
      <c r="A1851" s="3" t="s">
        <v>10</v>
      </c>
      <c r="B1851" s="3" t="s">
        <v>11</v>
      </c>
      <c r="C1851" s="4">
        <v>2026</v>
      </c>
      <c r="D1851" s="5" t="s">
        <v>12</v>
      </c>
      <c r="E1851" s="4">
        <v>259</v>
      </c>
      <c r="F1851" s="4" t="s">
        <v>247</v>
      </c>
      <c r="G1851" s="4" t="s">
        <v>158</v>
      </c>
      <c r="H1851" s="4" t="s">
        <v>41</v>
      </c>
      <c r="I1851" s="4" t="s">
        <v>2150</v>
      </c>
      <c r="J1851" s="4" t="s">
        <v>2151</v>
      </c>
      <c r="K1851" s="4" t="s">
        <v>20</v>
      </c>
      <c r="L1851" s="4" t="s">
        <v>3743</v>
      </c>
      <c r="M1851" s="4" t="s">
        <v>3746</v>
      </c>
      <c r="N1851" s="4" t="s">
        <v>3747</v>
      </c>
      <c r="O1851" s="17">
        <f>INDEX('список ID из СУЭ с должностями'!$A:$F,MATCH(E1851,'список ID из СУЭ с должностями'!$B:$B,0),5)</f>
        <v>0</v>
      </c>
    </row>
    <row r="1852" spans="1:15" ht="75">
      <c r="A1852" s="3" t="s">
        <v>10</v>
      </c>
      <c r="B1852" s="3" t="s">
        <v>11</v>
      </c>
      <c r="C1852" s="4">
        <v>2026</v>
      </c>
      <c r="D1852" s="5" t="s">
        <v>12</v>
      </c>
      <c r="E1852" s="4">
        <v>259</v>
      </c>
      <c r="F1852" s="4" t="s">
        <v>247</v>
      </c>
      <c r="G1852" s="4" t="s">
        <v>158</v>
      </c>
      <c r="H1852" s="4" t="s">
        <v>15</v>
      </c>
      <c r="I1852" s="4" t="s">
        <v>2152</v>
      </c>
      <c r="J1852" s="4" t="s">
        <v>2153</v>
      </c>
      <c r="K1852" s="4" t="s">
        <v>20</v>
      </c>
      <c r="L1852" s="4" t="s">
        <v>3743</v>
      </c>
      <c r="M1852" s="4" t="s">
        <v>3746</v>
      </c>
      <c r="N1852" s="4" t="s">
        <v>3747</v>
      </c>
      <c r="O1852" s="17">
        <f>INDEX('список ID из СУЭ с должностями'!$A:$F,MATCH(E1852,'список ID из СУЭ с должностями'!$B:$B,0),5)</f>
        <v>0</v>
      </c>
    </row>
    <row r="1853" spans="1:15" ht="60">
      <c r="A1853" s="3" t="s">
        <v>10</v>
      </c>
      <c r="B1853" s="3" t="s">
        <v>11</v>
      </c>
      <c r="C1853" s="4">
        <v>2026</v>
      </c>
      <c r="D1853" s="5" t="s">
        <v>12</v>
      </c>
      <c r="E1853" s="4">
        <v>259</v>
      </c>
      <c r="F1853" s="4" t="s">
        <v>247</v>
      </c>
      <c r="G1853" s="4" t="s">
        <v>158</v>
      </c>
      <c r="H1853" s="4" t="s">
        <v>15</v>
      </c>
      <c r="I1853" s="4" t="s">
        <v>2154</v>
      </c>
      <c r="J1853" s="4" t="s">
        <v>2155</v>
      </c>
      <c r="K1853" s="4" t="s">
        <v>151</v>
      </c>
      <c r="L1853" s="4" t="s">
        <v>3743</v>
      </c>
      <c r="M1853" s="4" t="s">
        <v>3746</v>
      </c>
      <c r="N1853" s="4" t="s">
        <v>3747</v>
      </c>
      <c r="O1853" s="17">
        <f>INDEX('список ID из СУЭ с должностями'!$A:$F,MATCH(E1853,'список ID из СУЭ с должностями'!$B:$B,0),5)</f>
        <v>0</v>
      </c>
    </row>
    <row r="1854" spans="1:15" ht="60">
      <c r="A1854" s="3" t="s">
        <v>10</v>
      </c>
      <c r="B1854" s="3" t="s">
        <v>11</v>
      </c>
      <c r="C1854" s="4">
        <v>2026</v>
      </c>
      <c r="D1854" s="5" t="s">
        <v>12</v>
      </c>
      <c r="E1854" s="4">
        <v>259</v>
      </c>
      <c r="F1854" s="4" t="s">
        <v>247</v>
      </c>
      <c r="G1854" s="4" t="s">
        <v>158</v>
      </c>
      <c r="H1854" s="4" t="s">
        <v>15</v>
      </c>
      <c r="I1854" s="4" t="s">
        <v>171</v>
      </c>
      <c r="J1854" s="4" t="s">
        <v>2156</v>
      </c>
      <c r="K1854" s="4" t="s">
        <v>25</v>
      </c>
      <c r="L1854" s="4" t="s">
        <v>3743</v>
      </c>
      <c r="M1854" s="4" t="s">
        <v>3746</v>
      </c>
      <c r="N1854" s="4" t="s">
        <v>3747</v>
      </c>
      <c r="O1854" s="17">
        <f>INDEX('список ID из СУЭ с должностями'!$A:$F,MATCH(E1854,'список ID из СУЭ с должностями'!$B:$B,0),5)</f>
        <v>0</v>
      </c>
    </row>
    <row r="1855" spans="1:15" ht="120">
      <c r="A1855" s="3" t="s">
        <v>10</v>
      </c>
      <c r="B1855" s="3" t="s">
        <v>11</v>
      </c>
      <c r="C1855" s="4">
        <v>2026</v>
      </c>
      <c r="D1855" s="5" t="s">
        <v>12</v>
      </c>
      <c r="E1855" s="4">
        <v>259</v>
      </c>
      <c r="F1855" s="4" t="s">
        <v>247</v>
      </c>
      <c r="G1855" s="4" t="s">
        <v>158</v>
      </c>
      <c r="H1855" s="4" t="s">
        <v>15</v>
      </c>
      <c r="I1855" s="4" t="s">
        <v>532</v>
      </c>
      <c r="J1855" s="4" t="s">
        <v>2157</v>
      </c>
      <c r="K1855" s="4" t="s">
        <v>52</v>
      </c>
      <c r="L1855" s="4" t="s">
        <v>3743</v>
      </c>
      <c r="M1855" s="4" t="s">
        <v>3746</v>
      </c>
      <c r="N1855" s="4" t="s">
        <v>3747</v>
      </c>
      <c r="O1855" s="17">
        <f>INDEX('список ID из СУЭ с должностями'!$A:$F,MATCH(E1855,'список ID из СУЭ с должностями'!$B:$B,0),5)</f>
        <v>0</v>
      </c>
    </row>
    <row r="1856" spans="1:15" ht="60">
      <c r="A1856" s="3" t="s">
        <v>10</v>
      </c>
      <c r="B1856" s="3" t="s">
        <v>11</v>
      </c>
      <c r="C1856" s="4">
        <v>2026</v>
      </c>
      <c r="D1856" s="5" t="s">
        <v>12</v>
      </c>
      <c r="E1856" s="4">
        <v>259</v>
      </c>
      <c r="F1856" s="4" t="s">
        <v>247</v>
      </c>
      <c r="G1856" s="4" t="s">
        <v>158</v>
      </c>
      <c r="H1856" s="4" t="s">
        <v>15</v>
      </c>
      <c r="I1856" s="4" t="s">
        <v>2158</v>
      </c>
      <c r="J1856" s="4" t="s">
        <v>2159</v>
      </c>
      <c r="K1856" s="4" t="s">
        <v>151</v>
      </c>
      <c r="L1856" s="4" t="s">
        <v>3743</v>
      </c>
      <c r="M1856" s="4" t="s">
        <v>3746</v>
      </c>
      <c r="N1856" s="4" t="s">
        <v>3747</v>
      </c>
      <c r="O1856" s="17">
        <f>INDEX('список ID из СУЭ с должностями'!$A:$F,MATCH(E1856,'список ID из СУЭ с должностями'!$B:$B,0),5)</f>
        <v>0</v>
      </c>
    </row>
    <row r="1857" spans="1:15" ht="60">
      <c r="A1857" s="3" t="s">
        <v>10</v>
      </c>
      <c r="B1857" s="3" t="s">
        <v>11</v>
      </c>
      <c r="C1857" s="4">
        <v>2026</v>
      </c>
      <c r="D1857" s="5" t="s">
        <v>12</v>
      </c>
      <c r="E1857" s="4">
        <v>259</v>
      </c>
      <c r="F1857" s="4" t="s">
        <v>247</v>
      </c>
      <c r="G1857" s="4" t="s">
        <v>158</v>
      </c>
      <c r="H1857" s="4" t="s">
        <v>15</v>
      </c>
      <c r="I1857" s="4" t="s">
        <v>163</v>
      </c>
      <c r="J1857" s="4" t="s">
        <v>206</v>
      </c>
      <c r="K1857" s="4" t="s">
        <v>151</v>
      </c>
      <c r="L1857" s="4" t="s">
        <v>3742</v>
      </c>
      <c r="M1857" s="4" t="s">
        <v>3746</v>
      </c>
      <c r="N1857" s="4" t="s">
        <v>3747</v>
      </c>
      <c r="O1857" s="17">
        <f>INDEX('список ID из СУЭ с должностями'!$A:$F,MATCH(E1857,'список ID из СУЭ с должностями'!$B:$B,0),5)</f>
        <v>0</v>
      </c>
    </row>
    <row r="1858" spans="1:15" ht="105">
      <c r="A1858" s="3" t="s">
        <v>10</v>
      </c>
      <c r="B1858" s="3" t="s">
        <v>11</v>
      </c>
      <c r="C1858" s="4">
        <v>2026</v>
      </c>
      <c r="D1858" s="5" t="s">
        <v>12</v>
      </c>
      <c r="E1858" s="4">
        <v>259</v>
      </c>
      <c r="F1858" s="4" t="s">
        <v>247</v>
      </c>
      <c r="G1858" s="4" t="s">
        <v>158</v>
      </c>
      <c r="H1858" s="4" t="s">
        <v>15</v>
      </c>
      <c r="I1858" s="4" t="s">
        <v>262</v>
      </c>
      <c r="J1858" s="4" t="s">
        <v>2160</v>
      </c>
      <c r="K1858" s="4" t="s">
        <v>35</v>
      </c>
      <c r="L1858" s="4" t="s">
        <v>3743</v>
      </c>
      <c r="M1858" s="4" t="s">
        <v>3746</v>
      </c>
      <c r="N1858" s="4" t="s">
        <v>3747</v>
      </c>
      <c r="O1858" s="17">
        <f>INDEX('список ID из СУЭ с должностями'!$A:$F,MATCH(E1858,'список ID из СУЭ с должностями'!$B:$B,0),5)</f>
        <v>0</v>
      </c>
    </row>
    <row r="1859" spans="1:15" ht="60">
      <c r="A1859" s="3" t="s">
        <v>10</v>
      </c>
      <c r="B1859" s="3" t="s">
        <v>11</v>
      </c>
      <c r="C1859" s="4">
        <v>2026</v>
      </c>
      <c r="D1859" s="5" t="s">
        <v>12</v>
      </c>
      <c r="E1859" s="4">
        <v>260</v>
      </c>
      <c r="F1859" s="4" t="s">
        <v>2161</v>
      </c>
      <c r="G1859" s="4" t="s">
        <v>417</v>
      </c>
      <c r="H1859" s="4" t="s">
        <v>21</v>
      </c>
      <c r="I1859" s="4" t="s">
        <v>410</v>
      </c>
      <c r="J1859" s="4" t="s">
        <v>2162</v>
      </c>
      <c r="K1859" s="4" t="s">
        <v>23</v>
      </c>
      <c r="L1859" s="4" t="s">
        <v>3743</v>
      </c>
      <c r="M1859" s="4" t="s">
        <v>3748</v>
      </c>
      <c r="N1859" s="4" t="s">
        <v>3752</v>
      </c>
      <c r="O1859" s="17">
        <f>INDEX('список ID из СУЭ с должностями'!$A:$F,MATCH(E1859,'список ID из СУЭ с должностями'!$B:$B,0),5)</f>
        <v>0</v>
      </c>
    </row>
    <row r="1860" spans="1:15" ht="90">
      <c r="A1860" s="3" t="s">
        <v>10</v>
      </c>
      <c r="B1860" s="3" t="s">
        <v>11</v>
      </c>
      <c r="C1860" s="4">
        <v>2026</v>
      </c>
      <c r="D1860" s="5" t="s">
        <v>12</v>
      </c>
      <c r="E1860" s="4">
        <v>260</v>
      </c>
      <c r="F1860" s="4" t="s">
        <v>2161</v>
      </c>
      <c r="G1860" s="4" t="s">
        <v>417</v>
      </c>
      <c r="H1860" s="4" t="s">
        <v>21</v>
      </c>
      <c r="I1860" s="4" t="s">
        <v>2163</v>
      </c>
      <c r="J1860" s="4" t="s">
        <v>2164</v>
      </c>
      <c r="K1860" s="4" t="s">
        <v>66</v>
      </c>
      <c r="L1860" s="4" t="s">
        <v>3743</v>
      </c>
      <c r="M1860" s="4" t="s">
        <v>3746</v>
      </c>
      <c r="N1860" s="4" t="s">
        <v>3747</v>
      </c>
      <c r="O1860" s="17">
        <f>INDEX('список ID из СУЭ с должностями'!$A:$F,MATCH(E1860,'список ID из СУЭ с должностями'!$B:$B,0),5)</f>
        <v>0</v>
      </c>
    </row>
    <row r="1861" spans="1:15" ht="75">
      <c r="A1861" s="3" t="s">
        <v>10</v>
      </c>
      <c r="B1861" s="3" t="s">
        <v>11</v>
      </c>
      <c r="C1861" s="4">
        <v>2026</v>
      </c>
      <c r="D1861" s="5" t="s">
        <v>12</v>
      </c>
      <c r="E1861" s="4">
        <v>260</v>
      </c>
      <c r="F1861" s="4" t="s">
        <v>2161</v>
      </c>
      <c r="G1861" s="4" t="s">
        <v>417</v>
      </c>
      <c r="H1861" s="4" t="s">
        <v>21</v>
      </c>
      <c r="I1861" s="4" t="s">
        <v>2165</v>
      </c>
      <c r="J1861" s="4" t="s">
        <v>2166</v>
      </c>
      <c r="K1861" s="4" t="s">
        <v>55</v>
      </c>
      <c r="L1861" s="4" t="s">
        <v>3743</v>
      </c>
      <c r="M1861" s="4" t="s">
        <v>3746</v>
      </c>
      <c r="N1861" s="4" t="s">
        <v>3747</v>
      </c>
      <c r="O1861" s="17">
        <f>INDEX('список ID из СУЭ с должностями'!$A:$F,MATCH(E1861,'список ID из СУЭ с должностями'!$B:$B,0),5)</f>
        <v>0</v>
      </c>
    </row>
    <row r="1862" spans="1:15" ht="165">
      <c r="A1862" s="3" t="s">
        <v>10</v>
      </c>
      <c r="B1862" s="3" t="s">
        <v>11</v>
      </c>
      <c r="C1862" s="4">
        <v>2026</v>
      </c>
      <c r="D1862" s="5" t="s">
        <v>12</v>
      </c>
      <c r="E1862" s="4">
        <v>260</v>
      </c>
      <c r="F1862" s="4" t="s">
        <v>2161</v>
      </c>
      <c r="G1862" s="4" t="s">
        <v>417</v>
      </c>
      <c r="H1862" s="4" t="s">
        <v>21</v>
      </c>
      <c r="I1862" s="4" t="s">
        <v>2167</v>
      </c>
      <c r="J1862" s="4" t="s">
        <v>2168</v>
      </c>
      <c r="K1862" s="4" t="s">
        <v>66</v>
      </c>
      <c r="L1862" s="4" t="s">
        <v>3743</v>
      </c>
      <c r="M1862" s="4" t="s">
        <v>3746</v>
      </c>
      <c r="N1862" s="4" t="s">
        <v>3747</v>
      </c>
      <c r="O1862" s="17">
        <f>INDEX('список ID из СУЭ с должностями'!$A:$F,MATCH(E1862,'список ID из СУЭ с должностями'!$B:$B,0),5)</f>
        <v>0</v>
      </c>
    </row>
    <row r="1863" spans="1:15" ht="120">
      <c r="A1863" s="3" t="s">
        <v>10</v>
      </c>
      <c r="B1863" s="3" t="s">
        <v>11</v>
      </c>
      <c r="C1863" s="4">
        <v>2026</v>
      </c>
      <c r="D1863" s="5" t="s">
        <v>12</v>
      </c>
      <c r="E1863" s="4">
        <v>260</v>
      </c>
      <c r="F1863" s="4" t="s">
        <v>2161</v>
      </c>
      <c r="G1863" s="4" t="s">
        <v>417</v>
      </c>
      <c r="H1863" s="4" t="s">
        <v>21</v>
      </c>
      <c r="I1863" s="4" t="s">
        <v>2169</v>
      </c>
      <c r="J1863" s="4" t="s">
        <v>2170</v>
      </c>
      <c r="K1863" s="4" t="s">
        <v>66</v>
      </c>
      <c r="L1863" s="4" t="s">
        <v>3743</v>
      </c>
      <c r="M1863" s="4" t="s">
        <v>3746</v>
      </c>
      <c r="N1863" s="4" t="s">
        <v>3747</v>
      </c>
      <c r="O1863" s="17">
        <f>INDEX('список ID из СУЭ с должностями'!$A:$F,MATCH(E1863,'список ID из СУЭ с должностями'!$B:$B,0),5)</f>
        <v>0</v>
      </c>
    </row>
    <row r="1864" spans="1:15" ht="105">
      <c r="A1864" s="3" t="s">
        <v>10</v>
      </c>
      <c r="B1864" s="3" t="s">
        <v>11</v>
      </c>
      <c r="C1864" s="4">
        <v>2026</v>
      </c>
      <c r="D1864" s="5" t="s">
        <v>12</v>
      </c>
      <c r="E1864" s="4">
        <v>260</v>
      </c>
      <c r="F1864" s="4" t="s">
        <v>2161</v>
      </c>
      <c r="G1864" s="4" t="s">
        <v>417</v>
      </c>
      <c r="H1864" s="4" t="s">
        <v>15</v>
      </c>
      <c r="I1864" s="4" t="s">
        <v>423</v>
      </c>
      <c r="J1864" s="4" t="s">
        <v>2171</v>
      </c>
      <c r="K1864" s="4" t="s">
        <v>35</v>
      </c>
      <c r="L1864" s="4" t="s">
        <v>3743</v>
      </c>
      <c r="M1864" s="4" t="s">
        <v>3746</v>
      </c>
      <c r="N1864" s="4" t="s">
        <v>3747</v>
      </c>
      <c r="O1864" s="17">
        <f>INDEX('список ID из СУЭ с должностями'!$A:$F,MATCH(E1864,'список ID из СУЭ с должностями'!$B:$B,0),5)</f>
        <v>0</v>
      </c>
    </row>
    <row r="1865" spans="1:15" ht="375">
      <c r="A1865" s="3" t="s">
        <v>10</v>
      </c>
      <c r="B1865" s="3" t="s">
        <v>11</v>
      </c>
      <c r="C1865" s="4">
        <v>2026</v>
      </c>
      <c r="D1865" s="5" t="s">
        <v>12</v>
      </c>
      <c r="E1865" s="4">
        <v>260</v>
      </c>
      <c r="F1865" s="4" t="s">
        <v>2161</v>
      </c>
      <c r="G1865" s="4" t="s">
        <v>417</v>
      </c>
      <c r="H1865" s="4" t="s">
        <v>21</v>
      </c>
      <c r="I1865" s="4" t="s">
        <v>2172</v>
      </c>
      <c r="J1865" s="4" t="s">
        <v>2173</v>
      </c>
      <c r="K1865" s="4" t="s">
        <v>151</v>
      </c>
      <c r="L1865" s="4" t="s">
        <v>3743</v>
      </c>
      <c r="M1865" s="4" t="s">
        <v>3746</v>
      </c>
      <c r="N1865" s="4" t="s">
        <v>3747</v>
      </c>
      <c r="O1865" s="17">
        <f>INDEX('список ID из СУЭ с должностями'!$A:$F,MATCH(E1865,'список ID из СУЭ с должностями'!$B:$B,0),5)</f>
        <v>0</v>
      </c>
    </row>
    <row r="1866" spans="1:15" ht="225">
      <c r="A1866" s="3" t="s">
        <v>10</v>
      </c>
      <c r="B1866" s="3" t="s">
        <v>11</v>
      </c>
      <c r="C1866" s="4">
        <v>2026</v>
      </c>
      <c r="D1866" s="5" t="s">
        <v>12</v>
      </c>
      <c r="E1866" s="4">
        <v>260</v>
      </c>
      <c r="F1866" s="4" t="s">
        <v>2161</v>
      </c>
      <c r="G1866" s="4" t="s">
        <v>417</v>
      </c>
      <c r="H1866" s="4" t="s">
        <v>15</v>
      </c>
      <c r="I1866" s="4" t="s">
        <v>2174</v>
      </c>
      <c r="J1866" s="4" t="s">
        <v>2175</v>
      </c>
      <c r="K1866" s="4" t="s">
        <v>55</v>
      </c>
      <c r="L1866" s="4" t="s">
        <v>3743</v>
      </c>
      <c r="M1866" s="4" t="s">
        <v>3746</v>
      </c>
      <c r="N1866" s="4" t="s">
        <v>3747</v>
      </c>
      <c r="O1866" s="17">
        <f>INDEX('список ID из СУЭ с должностями'!$A:$F,MATCH(E1866,'список ID из СУЭ с должностями'!$B:$B,0),5)</f>
        <v>0</v>
      </c>
    </row>
    <row r="1867" spans="1:15" ht="60">
      <c r="A1867" s="3" t="s">
        <v>10</v>
      </c>
      <c r="B1867" s="3" t="s">
        <v>11</v>
      </c>
      <c r="C1867" s="4">
        <v>2026</v>
      </c>
      <c r="D1867" s="5" t="s">
        <v>12</v>
      </c>
      <c r="E1867" s="4">
        <v>261</v>
      </c>
      <c r="F1867" s="4" t="s">
        <v>153</v>
      </c>
      <c r="G1867" s="4" t="s">
        <v>435</v>
      </c>
      <c r="H1867" s="4" t="s">
        <v>15</v>
      </c>
      <c r="I1867" s="4" t="s">
        <v>175</v>
      </c>
      <c r="J1867" s="4" t="s">
        <v>207</v>
      </c>
      <c r="K1867" s="4" t="s">
        <v>38</v>
      </c>
      <c r="L1867" s="4" t="s">
        <v>3743</v>
      </c>
      <c r="M1867" s="4" t="s">
        <v>3746</v>
      </c>
      <c r="N1867" s="4" t="s">
        <v>3747</v>
      </c>
      <c r="O1867" s="17">
        <f>INDEX('список ID из СУЭ с должностями'!$A:$F,MATCH(E1867,'список ID из СУЭ с должностями'!$B:$B,0),5)</f>
        <v>0</v>
      </c>
    </row>
    <row r="1868" spans="1:15" ht="90">
      <c r="A1868" s="3" t="s">
        <v>10</v>
      </c>
      <c r="B1868" s="3" t="s">
        <v>11</v>
      </c>
      <c r="C1868" s="4">
        <v>2026</v>
      </c>
      <c r="D1868" s="5" t="s">
        <v>12</v>
      </c>
      <c r="E1868" s="4">
        <v>261</v>
      </c>
      <c r="F1868" s="4" t="s">
        <v>153</v>
      </c>
      <c r="G1868" s="4" t="s">
        <v>435</v>
      </c>
      <c r="H1868" s="4" t="s">
        <v>21</v>
      </c>
      <c r="I1868" s="4" t="s">
        <v>155</v>
      </c>
      <c r="J1868" s="4" t="s">
        <v>156</v>
      </c>
      <c r="K1868" s="4" t="s">
        <v>30</v>
      </c>
      <c r="L1868" s="4" t="s">
        <v>3743</v>
      </c>
      <c r="M1868" s="4" t="s">
        <v>3746</v>
      </c>
      <c r="N1868" s="4" t="s">
        <v>3747</v>
      </c>
      <c r="O1868" s="17">
        <f>INDEX('список ID из СУЭ с должностями'!$A:$F,MATCH(E1868,'список ID из СУЭ с должностями'!$B:$B,0),5)</f>
        <v>0</v>
      </c>
    </row>
    <row r="1869" spans="1:15" ht="90">
      <c r="A1869" s="3" t="s">
        <v>10</v>
      </c>
      <c r="B1869" s="3" t="s">
        <v>11</v>
      </c>
      <c r="C1869" s="4">
        <v>2026</v>
      </c>
      <c r="D1869" s="5" t="s">
        <v>12</v>
      </c>
      <c r="E1869" s="4">
        <v>261</v>
      </c>
      <c r="F1869" s="4" t="s">
        <v>153</v>
      </c>
      <c r="G1869" s="4" t="s">
        <v>435</v>
      </c>
      <c r="H1869" s="4" t="s">
        <v>15</v>
      </c>
      <c r="I1869" s="4" t="s">
        <v>159</v>
      </c>
      <c r="J1869" s="4" t="s">
        <v>213</v>
      </c>
      <c r="K1869" s="4" t="s">
        <v>20</v>
      </c>
      <c r="L1869" s="4" t="s">
        <v>3743</v>
      </c>
      <c r="M1869" s="4" t="s">
        <v>3746</v>
      </c>
      <c r="N1869" s="4" t="s">
        <v>3747</v>
      </c>
      <c r="O1869" s="17">
        <f>INDEX('список ID из СУЭ с должностями'!$A:$F,MATCH(E1869,'список ID из СУЭ с должностями'!$B:$B,0),5)</f>
        <v>0</v>
      </c>
    </row>
    <row r="1870" spans="1:15" ht="60">
      <c r="A1870" s="3" t="s">
        <v>10</v>
      </c>
      <c r="B1870" s="3" t="s">
        <v>11</v>
      </c>
      <c r="C1870" s="4">
        <v>2026</v>
      </c>
      <c r="D1870" s="5" t="s">
        <v>12</v>
      </c>
      <c r="E1870" s="4">
        <v>261</v>
      </c>
      <c r="F1870" s="4" t="s">
        <v>153</v>
      </c>
      <c r="G1870" s="4" t="s">
        <v>435</v>
      </c>
      <c r="H1870" s="4" t="s">
        <v>15</v>
      </c>
      <c r="I1870" s="4" t="s">
        <v>161</v>
      </c>
      <c r="J1870" s="4" t="s">
        <v>162</v>
      </c>
      <c r="K1870" s="4" t="s">
        <v>151</v>
      </c>
      <c r="L1870" s="4" t="s">
        <v>3743</v>
      </c>
      <c r="M1870" s="4" t="s">
        <v>3746</v>
      </c>
      <c r="N1870" s="4" t="s">
        <v>3747</v>
      </c>
      <c r="O1870" s="17">
        <f>INDEX('список ID из СУЭ с должностями'!$A:$F,MATCH(E1870,'список ID из СУЭ с должностями'!$B:$B,0),5)</f>
        <v>0</v>
      </c>
    </row>
    <row r="1871" spans="1:15" ht="60">
      <c r="A1871" s="3" t="s">
        <v>10</v>
      </c>
      <c r="B1871" s="3" t="s">
        <v>11</v>
      </c>
      <c r="C1871" s="4">
        <v>2026</v>
      </c>
      <c r="D1871" s="5" t="s">
        <v>12</v>
      </c>
      <c r="E1871" s="4">
        <v>261</v>
      </c>
      <c r="F1871" s="4" t="s">
        <v>153</v>
      </c>
      <c r="G1871" s="4" t="s">
        <v>435</v>
      </c>
      <c r="H1871" s="4" t="s">
        <v>41</v>
      </c>
      <c r="I1871" s="4" t="s">
        <v>165</v>
      </c>
      <c r="J1871" s="4" t="s">
        <v>166</v>
      </c>
      <c r="K1871" s="4" t="s">
        <v>151</v>
      </c>
      <c r="L1871" s="4" t="s">
        <v>3743</v>
      </c>
      <c r="M1871" s="4" t="s">
        <v>3746</v>
      </c>
      <c r="N1871" s="4" t="s">
        <v>3747</v>
      </c>
      <c r="O1871" s="17">
        <f>INDEX('список ID из СУЭ с должностями'!$A:$F,MATCH(E1871,'список ID из СУЭ с должностями'!$B:$B,0),5)</f>
        <v>0</v>
      </c>
    </row>
    <row r="1872" spans="1:15" ht="90">
      <c r="A1872" s="3" t="s">
        <v>10</v>
      </c>
      <c r="B1872" s="3" t="s">
        <v>11</v>
      </c>
      <c r="C1872" s="4">
        <v>2026</v>
      </c>
      <c r="D1872" s="5" t="s">
        <v>12</v>
      </c>
      <c r="E1872" s="4">
        <v>261</v>
      </c>
      <c r="F1872" s="4" t="s">
        <v>153</v>
      </c>
      <c r="G1872" s="4" t="s">
        <v>435</v>
      </c>
      <c r="H1872" s="4" t="s">
        <v>15</v>
      </c>
      <c r="I1872" s="4" t="s">
        <v>171</v>
      </c>
      <c r="J1872" s="4" t="s">
        <v>172</v>
      </c>
      <c r="K1872" s="4" t="s">
        <v>151</v>
      </c>
      <c r="L1872" s="4" t="s">
        <v>3743</v>
      </c>
      <c r="M1872" s="4" t="s">
        <v>3746</v>
      </c>
      <c r="N1872" s="4" t="s">
        <v>3747</v>
      </c>
      <c r="O1872" s="17">
        <f>INDEX('список ID из СУЭ с должностями'!$A:$F,MATCH(E1872,'список ID из СУЭ с должностями'!$B:$B,0),5)</f>
        <v>0</v>
      </c>
    </row>
    <row r="1873" spans="1:15" ht="135">
      <c r="A1873" s="3" t="s">
        <v>10</v>
      </c>
      <c r="B1873" s="3" t="s">
        <v>11</v>
      </c>
      <c r="C1873" s="4">
        <v>2026</v>
      </c>
      <c r="D1873" s="5" t="s">
        <v>12</v>
      </c>
      <c r="E1873" s="4">
        <v>261</v>
      </c>
      <c r="F1873" s="4" t="s">
        <v>153</v>
      </c>
      <c r="G1873" s="4" t="s">
        <v>435</v>
      </c>
      <c r="H1873" s="4" t="s">
        <v>15</v>
      </c>
      <c r="I1873" s="4" t="s">
        <v>167</v>
      </c>
      <c r="J1873" s="4" t="s">
        <v>214</v>
      </c>
      <c r="K1873" s="4" t="s">
        <v>20</v>
      </c>
      <c r="L1873" s="4" t="s">
        <v>3743</v>
      </c>
      <c r="M1873" s="4" t="s">
        <v>3746</v>
      </c>
      <c r="N1873" s="4" t="s">
        <v>3747</v>
      </c>
      <c r="O1873" s="17">
        <f>INDEX('список ID из СУЭ с должностями'!$A:$F,MATCH(E1873,'список ID из СУЭ с должностями'!$B:$B,0),5)</f>
        <v>0</v>
      </c>
    </row>
    <row r="1874" spans="1:15" ht="60">
      <c r="A1874" s="3" t="s">
        <v>10</v>
      </c>
      <c r="B1874" s="3" t="s">
        <v>11</v>
      </c>
      <c r="C1874" s="4">
        <v>2026</v>
      </c>
      <c r="D1874" s="5" t="s">
        <v>12</v>
      </c>
      <c r="E1874" s="4">
        <v>261</v>
      </c>
      <c r="F1874" s="4" t="s">
        <v>153</v>
      </c>
      <c r="G1874" s="4" t="s">
        <v>435</v>
      </c>
      <c r="H1874" s="4" t="s">
        <v>15</v>
      </c>
      <c r="I1874" s="4" t="s">
        <v>163</v>
      </c>
      <c r="J1874" s="4" t="s">
        <v>206</v>
      </c>
      <c r="K1874" s="4" t="s">
        <v>38</v>
      </c>
      <c r="L1874" s="4" t="s">
        <v>3742</v>
      </c>
      <c r="M1874" s="4" t="s">
        <v>3746</v>
      </c>
      <c r="N1874" s="4" t="s">
        <v>3747</v>
      </c>
      <c r="O1874" s="17">
        <f>INDEX('список ID из СУЭ с должностями'!$A:$F,MATCH(E1874,'список ID из СУЭ с должностями'!$B:$B,0),5)</f>
        <v>0</v>
      </c>
    </row>
    <row r="1875" spans="1:15" ht="60">
      <c r="A1875" s="3" t="s">
        <v>10</v>
      </c>
      <c r="B1875" s="3" t="s">
        <v>11</v>
      </c>
      <c r="C1875" s="4">
        <v>2026</v>
      </c>
      <c r="D1875" s="5" t="s">
        <v>12</v>
      </c>
      <c r="E1875" s="4">
        <v>261</v>
      </c>
      <c r="F1875" s="4" t="s">
        <v>153</v>
      </c>
      <c r="G1875" s="4" t="s">
        <v>435</v>
      </c>
      <c r="H1875" s="4" t="s">
        <v>15</v>
      </c>
      <c r="I1875" s="4" t="s">
        <v>215</v>
      </c>
      <c r="J1875" s="4" t="s">
        <v>211</v>
      </c>
      <c r="K1875" s="4" t="s">
        <v>151</v>
      </c>
      <c r="L1875" s="4" t="s">
        <v>3743</v>
      </c>
      <c r="M1875" s="4" t="s">
        <v>3746</v>
      </c>
      <c r="N1875" s="4" t="s">
        <v>3747</v>
      </c>
      <c r="O1875" s="17">
        <f>INDEX('список ID из СУЭ с должностями'!$A:$F,MATCH(E1875,'список ID из СУЭ с должностями'!$B:$B,0),5)</f>
        <v>0</v>
      </c>
    </row>
    <row r="1876" spans="1:15" ht="60">
      <c r="A1876" s="3" t="s">
        <v>10</v>
      </c>
      <c r="B1876" s="3" t="s">
        <v>11</v>
      </c>
      <c r="C1876" s="4">
        <v>2026</v>
      </c>
      <c r="D1876" s="5" t="s">
        <v>12</v>
      </c>
      <c r="E1876" s="4">
        <v>261</v>
      </c>
      <c r="F1876" s="4" t="s">
        <v>153</v>
      </c>
      <c r="G1876" s="4" t="s">
        <v>435</v>
      </c>
      <c r="H1876" s="4" t="s">
        <v>15</v>
      </c>
      <c r="I1876" s="4" t="s">
        <v>216</v>
      </c>
      <c r="J1876" s="4" t="s">
        <v>170</v>
      </c>
      <c r="K1876" s="4" t="s">
        <v>55</v>
      </c>
      <c r="L1876" s="4" t="s">
        <v>3743</v>
      </c>
      <c r="M1876" s="4" t="s">
        <v>3746</v>
      </c>
      <c r="N1876" s="4" t="s">
        <v>3747</v>
      </c>
      <c r="O1876" s="17">
        <f>INDEX('список ID из СУЭ с должностями'!$A:$F,MATCH(E1876,'список ID из СУЭ с должностями'!$B:$B,0),5)</f>
        <v>0</v>
      </c>
    </row>
    <row r="1877" spans="1:15" ht="120">
      <c r="A1877" s="3" t="s">
        <v>10</v>
      </c>
      <c r="B1877" s="3" t="s">
        <v>11</v>
      </c>
      <c r="C1877" s="4">
        <v>2026</v>
      </c>
      <c r="D1877" s="5" t="s">
        <v>12</v>
      </c>
      <c r="E1877" s="4">
        <v>262</v>
      </c>
      <c r="F1877" s="4" t="s">
        <v>454</v>
      </c>
      <c r="G1877" s="4" t="s">
        <v>455</v>
      </c>
      <c r="H1877" s="4" t="s">
        <v>15</v>
      </c>
      <c r="I1877" s="4" t="s">
        <v>456</v>
      </c>
      <c r="J1877" s="4" t="s">
        <v>457</v>
      </c>
      <c r="K1877" s="4" t="s">
        <v>23</v>
      </c>
      <c r="L1877" s="4" t="s">
        <v>3743</v>
      </c>
      <c r="M1877" s="4" t="s">
        <v>3748</v>
      </c>
      <c r="N1877" s="4" t="s">
        <v>3752</v>
      </c>
      <c r="O1877" s="17">
        <f>INDEX('список ID из СУЭ с должностями'!$A:$F,MATCH(E1877,'список ID из СУЭ с должностями'!$B:$B,0),5)</f>
        <v>0</v>
      </c>
    </row>
    <row r="1878" spans="1:15" ht="375">
      <c r="A1878" s="3" t="s">
        <v>10</v>
      </c>
      <c r="B1878" s="3" t="s">
        <v>11</v>
      </c>
      <c r="C1878" s="4">
        <v>2026</v>
      </c>
      <c r="D1878" s="5" t="s">
        <v>12</v>
      </c>
      <c r="E1878" s="4">
        <v>262</v>
      </c>
      <c r="F1878" s="4" t="s">
        <v>454</v>
      </c>
      <c r="G1878" s="4" t="s">
        <v>455</v>
      </c>
      <c r="H1878" s="4" t="s">
        <v>15</v>
      </c>
      <c r="I1878" s="4" t="s">
        <v>460</v>
      </c>
      <c r="J1878" s="4" t="s">
        <v>461</v>
      </c>
      <c r="K1878" s="4" t="s">
        <v>38</v>
      </c>
      <c r="L1878" s="4" t="s">
        <v>3743</v>
      </c>
      <c r="M1878" s="4" t="s">
        <v>3746</v>
      </c>
      <c r="N1878" s="4" t="s">
        <v>3747</v>
      </c>
      <c r="O1878" s="17">
        <f>INDEX('список ID из СУЭ с должностями'!$A:$F,MATCH(E1878,'список ID из СУЭ с должностями'!$B:$B,0),5)</f>
        <v>0</v>
      </c>
    </row>
    <row r="1879" spans="1:15" ht="120">
      <c r="A1879" s="3" t="s">
        <v>10</v>
      </c>
      <c r="B1879" s="3" t="s">
        <v>11</v>
      </c>
      <c r="C1879" s="4">
        <v>2026</v>
      </c>
      <c r="D1879" s="5" t="s">
        <v>12</v>
      </c>
      <c r="E1879" s="4">
        <v>262</v>
      </c>
      <c r="F1879" s="4" t="s">
        <v>454</v>
      </c>
      <c r="G1879" s="4" t="s">
        <v>455</v>
      </c>
      <c r="H1879" s="4" t="s">
        <v>15</v>
      </c>
      <c r="I1879" s="4" t="s">
        <v>462</v>
      </c>
      <c r="J1879" s="4" t="s">
        <v>463</v>
      </c>
      <c r="K1879" s="4" t="s">
        <v>35</v>
      </c>
      <c r="L1879" s="4" t="s">
        <v>3742</v>
      </c>
      <c r="M1879" s="4" t="s">
        <v>3746</v>
      </c>
      <c r="N1879" s="4" t="s">
        <v>3747</v>
      </c>
      <c r="O1879" s="17">
        <f>INDEX('список ID из СУЭ с должностями'!$A:$F,MATCH(E1879,'список ID из СУЭ с должностями'!$B:$B,0),5)</f>
        <v>0</v>
      </c>
    </row>
    <row r="1880" spans="1:15" ht="409.5">
      <c r="A1880" s="3" t="s">
        <v>10</v>
      </c>
      <c r="B1880" s="3" t="s">
        <v>11</v>
      </c>
      <c r="C1880" s="4">
        <v>2026</v>
      </c>
      <c r="D1880" s="5" t="s">
        <v>12</v>
      </c>
      <c r="E1880" s="4">
        <v>262</v>
      </c>
      <c r="F1880" s="4" t="s">
        <v>454</v>
      </c>
      <c r="G1880" s="4" t="s">
        <v>455</v>
      </c>
      <c r="H1880" s="4" t="s">
        <v>15</v>
      </c>
      <c r="I1880" s="4" t="s">
        <v>464</v>
      </c>
      <c r="J1880" s="4" t="s">
        <v>465</v>
      </c>
      <c r="K1880" s="4" t="s">
        <v>66</v>
      </c>
      <c r="L1880" s="4" t="s">
        <v>3743</v>
      </c>
      <c r="M1880" s="4" t="s">
        <v>3746</v>
      </c>
      <c r="N1880" s="4" t="s">
        <v>3747</v>
      </c>
      <c r="O1880" s="17">
        <f>INDEX('список ID из СУЭ с должностями'!$A:$F,MATCH(E1880,'список ID из СУЭ с должностями'!$B:$B,0),5)</f>
        <v>0</v>
      </c>
    </row>
    <row r="1881" spans="1:15" ht="120">
      <c r="A1881" s="3" t="s">
        <v>10</v>
      </c>
      <c r="B1881" s="3" t="s">
        <v>11</v>
      </c>
      <c r="C1881" s="4">
        <v>2026</v>
      </c>
      <c r="D1881" s="5" t="s">
        <v>12</v>
      </c>
      <c r="E1881" s="4">
        <v>262</v>
      </c>
      <c r="F1881" s="4" t="s">
        <v>454</v>
      </c>
      <c r="G1881" s="4" t="s">
        <v>455</v>
      </c>
      <c r="H1881" s="4" t="s">
        <v>15</v>
      </c>
      <c r="I1881" s="4" t="s">
        <v>466</v>
      </c>
      <c r="J1881" s="4" t="s">
        <v>467</v>
      </c>
      <c r="K1881" s="4" t="s">
        <v>30</v>
      </c>
      <c r="L1881" s="4" t="s">
        <v>3742</v>
      </c>
      <c r="M1881" s="4" t="s">
        <v>3746</v>
      </c>
      <c r="N1881" s="4" t="s">
        <v>3747</v>
      </c>
      <c r="O1881" s="17">
        <f>INDEX('список ID из СУЭ с должностями'!$A:$F,MATCH(E1881,'список ID из СУЭ с должностями'!$B:$B,0),5)</f>
        <v>0</v>
      </c>
    </row>
    <row r="1882" spans="1:15" ht="120">
      <c r="A1882" s="3" t="s">
        <v>10</v>
      </c>
      <c r="B1882" s="3" t="s">
        <v>11</v>
      </c>
      <c r="C1882" s="4">
        <v>2026</v>
      </c>
      <c r="D1882" s="5" t="s">
        <v>12</v>
      </c>
      <c r="E1882" s="4">
        <v>262</v>
      </c>
      <c r="F1882" s="4" t="s">
        <v>454</v>
      </c>
      <c r="G1882" s="4" t="s">
        <v>455</v>
      </c>
      <c r="H1882" s="4" t="s">
        <v>15</v>
      </c>
      <c r="I1882" s="4" t="s">
        <v>468</v>
      </c>
      <c r="J1882" s="4" t="s">
        <v>79</v>
      </c>
      <c r="K1882" s="4" t="s">
        <v>30</v>
      </c>
      <c r="L1882" s="4" t="s">
        <v>3742</v>
      </c>
      <c r="M1882" s="4" t="s">
        <v>3746</v>
      </c>
      <c r="N1882" s="4" t="s">
        <v>3747</v>
      </c>
      <c r="O1882" s="17">
        <f>INDEX('список ID из СУЭ с должностями'!$A:$F,MATCH(E1882,'список ID из СУЭ с должностями'!$B:$B,0),5)</f>
        <v>0</v>
      </c>
    </row>
    <row r="1883" spans="1:15" ht="210">
      <c r="A1883" s="3" t="s">
        <v>10</v>
      </c>
      <c r="B1883" s="3" t="s">
        <v>11</v>
      </c>
      <c r="C1883" s="4">
        <v>2026</v>
      </c>
      <c r="D1883" s="5" t="s">
        <v>12</v>
      </c>
      <c r="E1883" s="4">
        <v>262</v>
      </c>
      <c r="F1883" s="4" t="s">
        <v>454</v>
      </c>
      <c r="G1883" s="4" t="s">
        <v>455</v>
      </c>
      <c r="H1883" s="4" t="s">
        <v>15</v>
      </c>
      <c r="I1883" s="4" t="s">
        <v>469</v>
      </c>
      <c r="J1883" s="4" t="s">
        <v>470</v>
      </c>
      <c r="K1883" s="4" t="s">
        <v>30</v>
      </c>
      <c r="L1883" s="4" t="s">
        <v>3743</v>
      </c>
      <c r="M1883" s="4" t="s">
        <v>3746</v>
      </c>
      <c r="N1883" s="4" t="s">
        <v>3747</v>
      </c>
      <c r="O1883" s="17">
        <f>INDEX('список ID из СУЭ с должностями'!$A:$F,MATCH(E1883,'список ID из СУЭ с должностями'!$B:$B,0),5)</f>
        <v>0</v>
      </c>
    </row>
    <row r="1884" spans="1:15" ht="120">
      <c r="A1884" s="3" t="s">
        <v>10</v>
      </c>
      <c r="B1884" s="3" t="s">
        <v>11</v>
      </c>
      <c r="C1884" s="4">
        <v>2026</v>
      </c>
      <c r="D1884" s="5" t="s">
        <v>12</v>
      </c>
      <c r="E1884" s="4">
        <v>262</v>
      </c>
      <c r="F1884" s="4" t="s">
        <v>454</v>
      </c>
      <c r="G1884" s="4" t="s">
        <v>455</v>
      </c>
      <c r="H1884" s="4" t="s">
        <v>15</v>
      </c>
      <c r="I1884" s="4" t="s">
        <v>471</v>
      </c>
      <c r="J1884" s="4" t="s">
        <v>463</v>
      </c>
      <c r="K1884" s="4" t="s">
        <v>188</v>
      </c>
      <c r="L1884" s="4" t="s">
        <v>3742</v>
      </c>
      <c r="M1884" s="4" t="s">
        <v>3746</v>
      </c>
      <c r="N1884" s="4" t="s">
        <v>3747</v>
      </c>
      <c r="O1884" s="17">
        <f>INDEX('список ID из СУЭ с должностями'!$A:$F,MATCH(E1884,'список ID из СУЭ с должностями'!$B:$B,0),5)</f>
        <v>0</v>
      </c>
    </row>
    <row r="1885" spans="1:15" ht="409.5">
      <c r="A1885" s="3" t="s">
        <v>10</v>
      </c>
      <c r="B1885" s="3" t="s">
        <v>11</v>
      </c>
      <c r="C1885" s="4">
        <v>2026</v>
      </c>
      <c r="D1885" s="5" t="s">
        <v>12</v>
      </c>
      <c r="E1885" s="4">
        <v>262</v>
      </c>
      <c r="F1885" s="4" t="s">
        <v>454</v>
      </c>
      <c r="G1885" s="4" t="s">
        <v>455</v>
      </c>
      <c r="H1885" s="4" t="s">
        <v>15</v>
      </c>
      <c r="I1885" s="4" t="s">
        <v>472</v>
      </c>
      <c r="J1885" s="4" t="s">
        <v>473</v>
      </c>
      <c r="K1885" s="4" t="s">
        <v>25</v>
      </c>
      <c r="L1885" s="4" t="s">
        <v>3743</v>
      </c>
      <c r="M1885" s="4" t="s">
        <v>3746</v>
      </c>
      <c r="N1885" s="4" t="s">
        <v>3747</v>
      </c>
      <c r="O1885" s="17">
        <f>INDEX('список ID из СУЭ с должностями'!$A:$F,MATCH(E1885,'список ID из СУЭ с должностями'!$B:$B,0),5)</f>
        <v>0</v>
      </c>
    </row>
    <row r="1886" spans="1:15" ht="60">
      <c r="A1886" s="3" t="s">
        <v>10</v>
      </c>
      <c r="B1886" s="3" t="s">
        <v>11</v>
      </c>
      <c r="C1886" s="4">
        <v>2026</v>
      </c>
      <c r="D1886" s="5" t="s">
        <v>12</v>
      </c>
      <c r="E1886" s="4">
        <v>263</v>
      </c>
      <c r="F1886" s="4" t="s">
        <v>39</v>
      </c>
      <c r="G1886" s="4" t="s">
        <v>2176</v>
      </c>
      <c r="H1886" s="4" t="s">
        <v>15</v>
      </c>
      <c r="I1886" s="4" t="s">
        <v>1284</v>
      </c>
      <c r="J1886" s="4" t="s">
        <v>957</v>
      </c>
      <c r="K1886" s="4" t="s">
        <v>188</v>
      </c>
      <c r="L1886" s="4" t="s">
        <v>3742</v>
      </c>
      <c r="M1886" s="4" t="s">
        <v>3746</v>
      </c>
      <c r="N1886" s="4" t="s">
        <v>3747</v>
      </c>
      <c r="O1886" s="17" t="str">
        <f>INDEX('список ID из СУЭ с должностями'!$A:$F,MATCH(E1886,'список ID из СУЭ с должностями'!$B:$B,0),5)</f>
        <v>НС</v>
      </c>
    </row>
    <row r="1887" spans="1:15" ht="45">
      <c r="A1887" s="3" t="s">
        <v>10</v>
      </c>
      <c r="B1887" s="3" t="s">
        <v>11</v>
      </c>
      <c r="C1887" s="4">
        <v>2026</v>
      </c>
      <c r="D1887" s="5" t="s">
        <v>12</v>
      </c>
      <c r="E1887" s="4">
        <v>263</v>
      </c>
      <c r="F1887" s="4" t="s">
        <v>39</v>
      </c>
      <c r="G1887" s="4" t="s">
        <v>2176</v>
      </c>
      <c r="H1887" s="4" t="s">
        <v>15</v>
      </c>
      <c r="I1887" s="4" t="s">
        <v>203</v>
      </c>
      <c r="J1887" s="4" t="s">
        <v>957</v>
      </c>
      <c r="K1887" s="4" t="s">
        <v>35</v>
      </c>
      <c r="L1887" s="4" t="s">
        <v>3742</v>
      </c>
      <c r="M1887" s="4" t="s">
        <v>3746</v>
      </c>
      <c r="N1887" s="4" t="s">
        <v>3747</v>
      </c>
      <c r="O1887" s="17" t="str">
        <f>INDEX('список ID из СУЭ с должностями'!$A:$F,MATCH(E1887,'список ID из СУЭ с должностями'!$B:$B,0),5)</f>
        <v>НС</v>
      </c>
    </row>
    <row r="1888" spans="1:15" ht="360">
      <c r="A1888" s="3" t="s">
        <v>10</v>
      </c>
      <c r="B1888" s="3" t="s">
        <v>11</v>
      </c>
      <c r="C1888" s="4">
        <v>2026</v>
      </c>
      <c r="D1888" s="5" t="s">
        <v>12</v>
      </c>
      <c r="E1888" s="4">
        <v>263</v>
      </c>
      <c r="F1888" s="4" t="s">
        <v>39</v>
      </c>
      <c r="G1888" s="4" t="s">
        <v>2176</v>
      </c>
      <c r="H1888" s="4" t="s">
        <v>15</v>
      </c>
      <c r="I1888" s="4" t="s">
        <v>189</v>
      </c>
      <c r="J1888" s="4" t="s">
        <v>1286</v>
      </c>
      <c r="K1888" s="4" t="s">
        <v>30</v>
      </c>
      <c r="L1888" s="4" t="s">
        <v>3743</v>
      </c>
      <c r="M1888" s="4" t="s">
        <v>3746</v>
      </c>
      <c r="N1888" s="4" t="s">
        <v>3747</v>
      </c>
      <c r="O1888" s="17" t="str">
        <f>INDEX('список ID из СУЭ с должностями'!$A:$F,MATCH(E1888,'список ID из СУЭ с должностями'!$B:$B,0),5)</f>
        <v>НС</v>
      </c>
    </row>
    <row r="1889" spans="1:15" ht="60">
      <c r="A1889" s="3" t="s">
        <v>10</v>
      </c>
      <c r="B1889" s="3" t="s">
        <v>11</v>
      </c>
      <c r="C1889" s="4">
        <v>2026</v>
      </c>
      <c r="D1889" s="5" t="s">
        <v>12</v>
      </c>
      <c r="E1889" s="4">
        <v>263</v>
      </c>
      <c r="F1889" s="4" t="s">
        <v>39</v>
      </c>
      <c r="G1889" s="4" t="s">
        <v>2176</v>
      </c>
      <c r="H1889" s="4" t="s">
        <v>15</v>
      </c>
      <c r="I1889" s="4" t="s">
        <v>288</v>
      </c>
      <c r="J1889" s="4" t="s">
        <v>1276</v>
      </c>
      <c r="K1889" s="4" t="s">
        <v>188</v>
      </c>
      <c r="L1889" s="4" t="s">
        <v>3742</v>
      </c>
      <c r="M1889" s="4" t="s">
        <v>3746</v>
      </c>
      <c r="N1889" s="4" t="s">
        <v>3747</v>
      </c>
      <c r="O1889" s="17" t="str">
        <f>INDEX('список ID из СУЭ с должностями'!$A:$F,MATCH(E1889,'список ID из СУЭ с должностями'!$B:$B,0),5)</f>
        <v>НС</v>
      </c>
    </row>
    <row r="1890" spans="1:15" ht="60">
      <c r="A1890" s="3" t="s">
        <v>10</v>
      </c>
      <c r="B1890" s="3" t="s">
        <v>11</v>
      </c>
      <c r="C1890" s="4">
        <v>2026</v>
      </c>
      <c r="D1890" s="5" t="s">
        <v>12</v>
      </c>
      <c r="E1890" s="4">
        <v>263</v>
      </c>
      <c r="F1890" s="4" t="s">
        <v>39</v>
      </c>
      <c r="G1890" s="4" t="s">
        <v>2176</v>
      </c>
      <c r="H1890" s="4" t="s">
        <v>15</v>
      </c>
      <c r="I1890" s="4" t="s">
        <v>292</v>
      </c>
      <c r="J1890" s="4" t="s">
        <v>2177</v>
      </c>
      <c r="K1890" s="4" t="s">
        <v>30</v>
      </c>
      <c r="L1890" s="4" t="s">
        <v>3742</v>
      </c>
      <c r="M1890" s="4" t="s">
        <v>3746</v>
      </c>
      <c r="N1890" s="4" t="s">
        <v>3747</v>
      </c>
      <c r="O1890" s="17" t="str">
        <f>INDEX('список ID из СУЭ с должностями'!$A:$F,MATCH(E1890,'список ID из СУЭ с должностями'!$B:$B,0),5)</f>
        <v>НС</v>
      </c>
    </row>
    <row r="1891" spans="1:15" ht="60">
      <c r="A1891" s="3" t="s">
        <v>10</v>
      </c>
      <c r="B1891" s="3" t="s">
        <v>11</v>
      </c>
      <c r="C1891" s="4">
        <v>2026</v>
      </c>
      <c r="D1891" s="5" t="s">
        <v>12</v>
      </c>
      <c r="E1891" s="4">
        <v>263</v>
      </c>
      <c r="F1891" s="4" t="s">
        <v>39</v>
      </c>
      <c r="G1891" s="4" t="s">
        <v>2176</v>
      </c>
      <c r="H1891" s="4" t="s">
        <v>15</v>
      </c>
      <c r="I1891" s="4" t="s">
        <v>290</v>
      </c>
      <c r="J1891" s="4" t="s">
        <v>1277</v>
      </c>
      <c r="K1891" s="4" t="s">
        <v>151</v>
      </c>
      <c r="L1891" s="4" t="s">
        <v>3742</v>
      </c>
      <c r="M1891" s="4" t="s">
        <v>3746</v>
      </c>
      <c r="N1891" s="4" t="s">
        <v>3747</v>
      </c>
      <c r="O1891" s="17" t="str">
        <f>INDEX('список ID из СУЭ с должностями'!$A:$F,MATCH(E1891,'список ID из СУЭ с должностями'!$B:$B,0),5)</f>
        <v>НС</v>
      </c>
    </row>
    <row r="1892" spans="1:15" ht="45">
      <c r="A1892" s="3" t="s">
        <v>10</v>
      </c>
      <c r="B1892" s="3" t="s">
        <v>11</v>
      </c>
      <c r="C1892" s="4">
        <v>2026</v>
      </c>
      <c r="D1892" s="5" t="s">
        <v>12</v>
      </c>
      <c r="E1892" s="4">
        <v>263</v>
      </c>
      <c r="F1892" s="4" t="s">
        <v>39</v>
      </c>
      <c r="G1892" s="4" t="s">
        <v>2176</v>
      </c>
      <c r="H1892" s="4" t="s">
        <v>15</v>
      </c>
      <c r="I1892" s="4" t="s">
        <v>1280</v>
      </c>
      <c r="J1892" s="4" t="s">
        <v>1281</v>
      </c>
      <c r="K1892" s="4" t="s">
        <v>66</v>
      </c>
      <c r="L1892" s="4" t="s">
        <v>3742</v>
      </c>
      <c r="M1892" s="4" t="s">
        <v>3746</v>
      </c>
      <c r="N1892" s="4" t="s">
        <v>3747</v>
      </c>
      <c r="O1892" s="17" t="str">
        <f>INDEX('список ID из СУЭ с должностями'!$A:$F,MATCH(E1892,'список ID из СУЭ с должностями'!$B:$B,0),5)</f>
        <v>НС</v>
      </c>
    </row>
    <row r="1893" spans="1:15" ht="45">
      <c r="A1893" s="3" t="s">
        <v>10</v>
      </c>
      <c r="B1893" s="3" t="s">
        <v>11</v>
      </c>
      <c r="C1893" s="4">
        <v>2026</v>
      </c>
      <c r="D1893" s="5" t="s">
        <v>12</v>
      </c>
      <c r="E1893" s="4">
        <v>263</v>
      </c>
      <c r="F1893" s="4" t="s">
        <v>39</v>
      </c>
      <c r="G1893" s="4" t="s">
        <v>2176</v>
      </c>
      <c r="H1893" s="4" t="s">
        <v>15</v>
      </c>
      <c r="I1893" s="4" t="s">
        <v>1278</v>
      </c>
      <c r="J1893" s="4" t="s">
        <v>2178</v>
      </c>
      <c r="K1893" s="4" t="s">
        <v>55</v>
      </c>
      <c r="L1893" s="4" t="s">
        <v>3742</v>
      </c>
      <c r="M1893" s="4" t="s">
        <v>3746</v>
      </c>
      <c r="N1893" s="4" t="s">
        <v>3747</v>
      </c>
      <c r="O1893" s="17" t="str">
        <f>INDEX('список ID из СУЭ с должностями'!$A:$F,MATCH(E1893,'список ID из СУЭ с должностями'!$B:$B,0),5)</f>
        <v>НС</v>
      </c>
    </row>
    <row r="1894" spans="1:15" ht="135">
      <c r="A1894" s="3" t="s">
        <v>10</v>
      </c>
      <c r="B1894" s="3" t="s">
        <v>11</v>
      </c>
      <c r="C1894" s="4">
        <v>2026</v>
      </c>
      <c r="D1894" s="5" t="s">
        <v>12</v>
      </c>
      <c r="E1894" s="4">
        <v>263</v>
      </c>
      <c r="F1894" s="4" t="s">
        <v>39</v>
      </c>
      <c r="G1894" s="4" t="s">
        <v>2176</v>
      </c>
      <c r="H1894" s="4" t="s">
        <v>15</v>
      </c>
      <c r="I1894" s="4" t="s">
        <v>1282</v>
      </c>
      <c r="J1894" s="4" t="s">
        <v>2179</v>
      </c>
      <c r="K1894" s="4" t="s">
        <v>20</v>
      </c>
      <c r="L1894" s="4" t="s">
        <v>3743</v>
      </c>
      <c r="M1894" s="4" t="s">
        <v>3746</v>
      </c>
      <c r="N1894" s="4" t="s">
        <v>3747</v>
      </c>
      <c r="O1894" s="17" t="str">
        <f>INDEX('список ID из СУЭ с должностями'!$A:$F,MATCH(E1894,'список ID из СУЭ с должностями'!$B:$B,0),5)</f>
        <v>НС</v>
      </c>
    </row>
    <row r="1895" spans="1:15" ht="60">
      <c r="A1895" s="3" t="s">
        <v>10</v>
      </c>
      <c r="B1895" s="3" t="s">
        <v>11</v>
      </c>
      <c r="C1895" s="4">
        <v>2026</v>
      </c>
      <c r="D1895" s="5" t="s">
        <v>12</v>
      </c>
      <c r="E1895" s="4">
        <v>264</v>
      </c>
      <c r="F1895" s="4" t="s">
        <v>613</v>
      </c>
      <c r="G1895" s="4" t="s">
        <v>614</v>
      </c>
      <c r="H1895" s="4" t="s">
        <v>15</v>
      </c>
      <c r="I1895" s="4" t="s">
        <v>622</v>
      </c>
      <c r="J1895" s="4" t="s">
        <v>623</v>
      </c>
      <c r="K1895" s="4" t="s">
        <v>52</v>
      </c>
      <c r="L1895" s="4" t="s">
        <v>3743</v>
      </c>
      <c r="M1895" s="4" t="s">
        <v>3746</v>
      </c>
      <c r="N1895" s="4" t="s">
        <v>3747</v>
      </c>
      <c r="O1895" s="17">
        <f>INDEX('список ID из СУЭ с должностями'!$A:$F,MATCH(E1895,'список ID из СУЭ с должностями'!$B:$B,0),5)</f>
        <v>0</v>
      </c>
    </row>
    <row r="1896" spans="1:15" ht="60">
      <c r="A1896" s="3" t="s">
        <v>10</v>
      </c>
      <c r="B1896" s="3" t="s">
        <v>11</v>
      </c>
      <c r="C1896" s="4">
        <v>2026</v>
      </c>
      <c r="D1896" s="5" t="s">
        <v>12</v>
      </c>
      <c r="E1896" s="4">
        <v>264</v>
      </c>
      <c r="F1896" s="4" t="s">
        <v>613</v>
      </c>
      <c r="G1896" s="4" t="s">
        <v>614</v>
      </c>
      <c r="H1896" s="4" t="s">
        <v>41</v>
      </c>
      <c r="I1896" s="4" t="s">
        <v>615</v>
      </c>
      <c r="J1896" s="4" t="s">
        <v>616</v>
      </c>
      <c r="K1896" s="4" t="s">
        <v>151</v>
      </c>
      <c r="L1896" s="4" t="s">
        <v>3743</v>
      </c>
      <c r="M1896" s="4" t="s">
        <v>3746</v>
      </c>
      <c r="N1896" s="4" t="s">
        <v>3747</v>
      </c>
      <c r="O1896" s="17">
        <f>INDEX('список ID из СУЭ с должностями'!$A:$F,MATCH(E1896,'список ID из СУЭ с должностями'!$B:$B,0),5)</f>
        <v>0</v>
      </c>
    </row>
    <row r="1897" spans="1:15" ht="135">
      <c r="A1897" s="3" t="s">
        <v>10</v>
      </c>
      <c r="B1897" s="3" t="s">
        <v>11</v>
      </c>
      <c r="C1897" s="4">
        <v>2026</v>
      </c>
      <c r="D1897" s="5" t="s">
        <v>12</v>
      </c>
      <c r="E1897" s="4">
        <v>264</v>
      </c>
      <c r="F1897" s="4" t="s">
        <v>613</v>
      </c>
      <c r="G1897" s="4" t="s">
        <v>614</v>
      </c>
      <c r="H1897" s="4" t="s">
        <v>15</v>
      </c>
      <c r="I1897" s="4" t="s">
        <v>617</v>
      </c>
      <c r="J1897" s="4" t="s">
        <v>618</v>
      </c>
      <c r="K1897" s="4" t="s">
        <v>619</v>
      </c>
      <c r="L1897" s="4" t="s">
        <v>3743</v>
      </c>
      <c r="M1897" s="4" t="s">
        <v>3746</v>
      </c>
      <c r="N1897" s="4" t="s">
        <v>3758</v>
      </c>
      <c r="O1897" s="17">
        <f>INDEX('список ID из СУЭ с должностями'!$A:$F,MATCH(E1897,'список ID из СУЭ с должностями'!$B:$B,0),5)</f>
        <v>0</v>
      </c>
    </row>
    <row r="1898" spans="1:15" ht="45">
      <c r="A1898" s="3" t="s">
        <v>10</v>
      </c>
      <c r="B1898" s="3" t="s">
        <v>11</v>
      </c>
      <c r="C1898" s="4">
        <v>2026</v>
      </c>
      <c r="D1898" s="5" t="s">
        <v>12</v>
      </c>
      <c r="E1898" s="4">
        <v>264</v>
      </c>
      <c r="F1898" s="4" t="s">
        <v>613</v>
      </c>
      <c r="G1898" s="4" t="s">
        <v>614</v>
      </c>
      <c r="H1898" s="4" t="s">
        <v>15</v>
      </c>
      <c r="I1898" s="4" t="s">
        <v>620</v>
      </c>
      <c r="J1898" s="4" t="s">
        <v>621</v>
      </c>
      <c r="K1898" s="4" t="s">
        <v>35</v>
      </c>
      <c r="L1898" s="4" t="s">
        <v>3743</v>
      </c>
      <c r="M1898" s="4" t="s">
        <v>3746</v>
      </c>
      <c r="N1898" s="4" t="s">
        <v>3747</v>
      </c>
      <c r="O1898" s="17">
        <f>INDEX('список ID из СУЭ с должностями'!$A:$F,MATCH(E1898,'список ID из СУЭ с должностями'!$B:$B,0),5)</f>
        <v>0</v>
      </c>
    </row>
    <row r="1899" spans="1:15" ht="60">
      <c r="A1899" s="3" t="s">
        <v>10</v>
      </c>
      <c r="B1899" s="3" t="s">
        <v>11</v>
      </c>
      <c r="C1899" s="4">
        <v>2026</v>
      </c>
      <c r="D1899" s="5" t="s">
        <v>12</v>
      </c>
      <c r="E1899" s="4">
        <v>264</v>
      </c>
      <c r="F1899" s="4" t="s">
        <v>613</v>
      </c>
      <c r="G1899" s="4" t="s">
        <v>614</v>
      </c>
      <c r="H1899" s="4" t="s">
        <v>15</v>
      </c>
      <c r="I1899" s="4" t="s">
        <v>624</v>
      </c>
      <c r="J1899" s="4" t="s">
        <v>625</v>
      </c>
      <c r="K1899" s="4" t="s">
        <v>151</v>
      </c>
      <c r="L1899" s="4" t="s">
        <v>3743</v>
      </c>
      <c r="M1899" s="4" t="s">
        <v>3746</v>
      </c>
      <c r="N1899" s="4" t="s">
        <v>3747</v>
      </c>
      <c r="O1899" s="17">
        <f>INDEX('список ID из СУЭ с должностями'!$A:$F,MATCH(E1899,'список ID из СУЭ с должностями'!$B:$B,0),5)</f>
        <v>0</v>
      </c>
    </row>
    <row r="1900" spans="1:15" ht="300">
      <c r="A1900" s="3" t="s">
        <v>10</v>
      </c>
      <c r="B1900" s="3" t="s">
        <v>11</v>
      </c>
      <c r="C1900" s="4">
        <v>2026</v>
      </c>
      <c r="D1900" s="5" t="s">
        <v>12</v>
      </c>
      <c r="E1900" s="4">
        <v>265</v>
      </c>
      <c r="F1900" s="4" t="s">
        <v>88</v>
      </c>
      <c r="G1900" s="4" t="s">
        <v>2180</v>
      </c>
      <c r="H1900" s="4" t="s">
        <v>1308</v>
      </c>
      <c r="I1900" s="4" t="s">
        <v>2181</v>
      </c>
      <c r="J1900" s="4" t="s">
        <v>2182</v>
      </c>
      <c r="K1900" s="4"/>
      <c r="L1900" s="4" t="s">
        <v>3743</v>
      </c>
      <c r="M1900" s="4"/>
      <c r="N1900" s="4"/>
      <c r="O1900" s="17">
        <f>INDEX('список ID из СУЭ с должностями'!$A:$F,MATCH(E1900,'список ID из СУЭ с должностями'!$B:$B,0),5)</f>
        <v>0</v>
      </c>
    </row>
    <row r="1901" spans="1:15" ht="255">
      <c r="A1901" s="3" t="s">
        <v>10</v>
      </c>
      <c r="B1901" s="3" t="s">
        <v>11</v>
      </c>
      <c r="C1901" s="4">
        <v>2026</v>
      </c>
      <c r="D1901" s="5" t="s">
        <v>12</v>
      </c>
      <c r="E1901" s="4">
        <v>265</v>
      </c>
      <c r="F1901" s="4" t="s">
        <v>88</v>
      </c>
      <c r="G1901" s="4" t="s">
        <v>2180</v>
      </c>
      <c r="H1901" s="4" t="s">
        <v>21</v>
      </c>
      <c r="I1901" s="4" t="s">
        <v>999</v>
      </c>
      <c r="J1901" s="4" t="s">
        <v>1000</v>
      </c>
      <c r="K1901" s="4" t="s">
        <v>23</v>
      </c>
      <c r="L1901" s="4" t="s">
        <v>3743</v>
      </c>
      <c r="M1901" s="4" t="s">
        <v>3748</v>
      </c>
      <c r="N1901" s="4" t="s">
        <v>3752</v>
      </c>
      <c r="O1901" s="17">
        <f>INDEX('список ID из СУЭ с должностями'!$A:$F,MATCH(E1901,'список ID из СУЭ с должностями'!$B:$B,0),5)</f>
        <v>0</v>
      </c>
    </row>
    <row r="1902" spans="1:15" ht="105">
      <c r="A1902" s="3" t="s">
        <v>10</v>
      </c>
      <c r="B1902" s="3" t="s">
        <v>11</v>
      </c>
      <c r="C1902" s="4">
        <v>2026</v>
      </c>
      <c r="D1902" s="5" t="s">
        <v>12</v>
      </c>
      <c r="E1902" s="4">
        <v>265</v>
      </c>
      <c r="F1902" s="4" t="s">
        <v>88</v>
      </c>
      <c r="G1902" s="4" t="s">
        <v>2180</v>
      </c>
      <c r="H1902" s="4" t="s">
        <v>15</v>
      </c>
      <c r="I1902" s="4" t="s">
        <v>2183</v>
      </c>
      <c r="J1902" s="4" t="s">
        <v>2184</v>
      </c>
      <c r="K1902" s="4" t="s">
        <v>2185</v>
      </c>
      <c r="L1902" s="4" t="s">
        <v>3743</v>
      </c>
      <c r="M1902" s="4" t="s">
        <v>3746</v>
      </c>
      <c r="N1902" s="4" t="s">
        <v>3773</v>
      </c>
      <c r="O1902" s="17">
        <f>INDEX('список ID из СУЭ с должностями'!$A:$F,MATCH(E1902,'список ID из СУЭ с должностями'!$B:$B,0),5)</f>
        <v>0</v>
      </c>
    </row>
    <row r="1903" spans="1:15" ht="195">
      <c r="A1903" s="3" t="s">
        <v>10</v>
      </c>
      <c r="B1903" s="3" t="s">
        <v>11</v>
      </c>
      <c r="C1903" s="4">
        <v>2026</v>
      </c>
      <c r="D1903" s="5" t="s">
        <v>12</v>
      </c>
      <c r="E1903" s="4">
        <v>265</v>
      </c>
      <c r="F1903" s="4" t="s">
        <v>88</v>
      </c>
      <c r="G1903" s="4" t="s">
        <v>2180</v>
      </c>
      <c r="H1903" s="4" t="s">
        <v>21</v>
      </c>
      <c r="I1903" s="4" t="s">
        <v>2186</v>
      </c>
      <c r="J1903" s="4" t="s">
        <v>2187</v>
      </c>
      <c r="K1903" s="4" t="s">
        <v>2188</v>
      </c>
      <c r="L1903" s="4" t="s">
        <v>3743</v>
      </c>
      <c r="M1903" s="4" t="s">
        <v>3746</v>
      </c>
      <c r="N1903" s="4" t="s">
        <v>3773</v>
      </c>
      <c r="O1903" s="17">
        <f>INDEX('список ID из СУЭ с должностями'!$A:$F,MATCH(E1903,'список ID из СУЭ с должностями'!$B:$B,0),5)</f>
        <v>0</v>
      </c>
    </row>
    <row r="1904" spans="1:15" ht="165">
      <c r="A1904" s="3" t="s">
        <v>10</v>
      </c>
      <c r="B1904" s="3" t="s">
        <v>11</v>
      </c>
      <c r="C1904" s="4">
        <v>2026</v>
      </c>
      <c r="D1904" s="5" t="s">
        <v>12</v>
      </c>
      <c r="E1904" s="4">
        <v>265</v>
      </c>
      <c r="F1904" s="4" t="s">
        <v>88</v>
      </c>
      <c r="G1904" s="4" t="s">
        <v>2180</v>
      </c>
      <c r="H1904" s="4" t="s">
        <v>15</v>
      </c>
      <c r="I1904" s="4" t="s">
        <v>2189</v>
      </c>
      <c r="J1904" s="4" t="s">
        <v>2190</v>
      </c>
      <c r="K1904" s="4" t="s">
        <v>2189</v>
      </c>
      <c r="L1904" s="4" t="s">
        <v>3743</v>
      </c>
      <c r="M1904" s="4" t="s">
        <v>3746</v>
      </c>
      <c r="N1904" s="4" t="s">
        <v>3774</v>
      </c>
      <c r="O1904" s="17">
        <f>INDEX('список ID из СУЭ с должностями'!$A:$F,MATCH(E1904,'список ID из СУЭ с должностями'!$B:$B,0),5)</f>
        <v>0</v>
      </c>
    </row>
    <row r="1905" spans="1:15" ht="270">
      <c r="A1905" s="3" t="s">
        <v>10</v>
      </c>
      <c r="B1905" s="3" t="s">
        <v>11</v>
      </c>
      <c r="C1905" s="4">
        <v>2026</v>
      </c>
      <c r="D1905" s="5" t="s">
        <v>12</v>
      </c>
      <c r="E1905" s="4">
        <v>265</v>
      </c>
      <c r="F1905" s="4" t="s">
        <v>88</v>
      </c>
      <c r="G1905" s="4" t="s">
        <v>2180</v>
      </c>
      <c r="H1905" s="4" t="s">
        <v>15</v>
      </c>
      <c r="I1905" s="4" t="s">
        <v>2191</v>
      </c>
      <c r="J1905" s="4" t="s">
        <v>2192</v>
      </c>
      <c r="K1905" s="4" t="s">
        <v>2193</v>
      </c>
      <c r="L1905" s="4" t="s">
        <v>3743</v>
      </c>
      <c r="M1905" s="4" t="s">
        <v>3746</v>
      </c>
      <c r="N1905" s="4" t="s">
        <v>3774</v>
      </c>
      <c r="O1905" s="17">
        <f>INDEX('список ID из СУЭ с должностями'!$A:$F,MATCH(E1905,'список ID из СУЭ с должностями'!$B:$B,0),5)</f>
        <v>0</v>
      </c>
    </row>
    <row r="1906" spans="1:15" ht="255">
      <c r="A1906" s="3" t="s">
        <v>10</v>
      </c>
      <c r="B1906" s="3" t="s">
        <v>11</v>
      </c>
      <c r="C1906" s="4">
        <v>2026</v>
      </c>
      <c r="D1906" s="5" t="s">
        <v>12</v>
      </c>
      <c r="E1906" s="4">
        <v>265</v>
      </c>
      <c r="F1906" s="4" t="s">
        <v>88</v>
      </c>
      <c r="G1906" s="4" t="s">
        <v>2180</v>
      </c>
      <c r="H1906" s="4" t="s">
        <v>21</v>
      </c>
      <c r="I1906" s="4" t="s">
        <v>999</v>
      </c>
      <c r="J1906" s="4" t="s">
        <v>1000</v>
      </c>
      <c r="K1906" s="4" t="s">
        <v>23</v>
      </c>
      <c r="L1906" s="4" t="s">
        <v>3743</v>
      </c>
      <c r="M1906" s="4" t="s">
        <v>3748</v>
      </c>
      <c r="N1906" s="4" t="s">
        <v>3752</v>
      </c>
      <c r="O1906" s="17">
        <f>INDEX('список ID из СУЭ с должностями'!$A:$F,MATCH(E1906,'список ID из СУЭ с должностями'!$B:$B,0),5)</f>
        <v>0</v>
      </c>
    </row>
    <row r="1907" spans="1:15" ht="105">
      <c r="A1907" s="3" t="s">
        <v>10</v>
      </c>
      <c r="B1907" s="3" t="s">
        <v>11</v>
      </c>
      <c r="C1907" s="4">
        <v>2026</v>
      </c>
      <c r="D1907" s="5" t="s">
        <v>12</v>
      </c>
      <c r="E1907" s="4">
        <v>266</v>
      </c>
      <c r="F1907" s="4" t="s">
        <v>348</v>
      </c>
      <c r="G1907" s="4" t="s">
        <v>1203</v>
      </c>
      <c r="H1907" s="4" t="s">
        <v>15</v>
      </c>
      <c r="I1907" s="4" t="s">
        <v>2194</v>
      </c>
      <c r="J1907" s="4" t="s">
        <v>2195</v>
      </c>
      <c r="K1907" s="4" t="s">
        <v>35</v>
      </c>
      <c r="L1907" s="4" t="s">
        <v>3743</v>
      </c>
      <c r="M1907" s="4" t="s">
        <v>3746</v>
      </c>
      <c r="N1907" s="4" t="s">
        <v>3747</v>
      </c>
      <c r="O1907" s="17">
        <f>INDEX('список ID из СУЭ с должностями'!$A:$F,MATCH(E1907,'список ID из СУЭ с должностями'!$B:$B,0),5)</f>
        <v>0</v>
      </c>
    </row>
    <row r="1908" spans="1:15" ht="105">
      <c r="A1908" s="3" t="s">
        <v>10</v>
      </c>
      <c r="B1908" s="3" t="s">
        <v>11</v>
      </c>
      <c r="C1908" s="4">
        <v>2026</v>
      </c>
      <c r="D1908" s="5" t="s">
        <v>12</v>
      </c>
      <c r="E1908" s="4">
        <v>266</v>
      </c>
      <c r="F1908" s="4" t="s">
        <v>348</v>
      </c>
      <c r="G1908" s="4" t="s">
        <v>1203</v>
      </c>
      <c r="H1908" s="4" t="s">
        <v>15</v>
      </c>
      <c r="I1908" s="4" t="s">
        <v>358</v>
      </c>
      <c r="J1908" s="4" t="s">
        <v>825</v>
      </c>
      <c r="K1908" s="4" t="s">
        <v>66</v>
      </c>
      <c r="L1908" s="4" t="s">
        <v>3743</v>
      </c>
      <c r="M1908" s="4" t="s">
        <v>3746</v>
      </c>
      <c r="N1908" s="4" t="s">
        <v>3747</v>
      </c>
      <c r="O1908" s="17">
        <f>INDEX('список ID из СУЭ с должностями'!$A:$F,MATCH(E1908,'список ID из СУЭ с должностями'!$B:$B,0),5)</f>
        <v>0</v>
      </c>
    </row>
    <row r="1909" spans="1:15" ht="120">
      <c r="A1909" s="3" t="s">
        <v>10</v>
      </c>
      <c r="B1909" s="3" t="s">
        <v>11</v>
      </c>
      <c r="C1909" s="4">
        <v>2026</v>
      </c>
      <c r="D1909" s="5" t="s">
        <v>12</v>
      </c>
      <c r="E1909" s="4">
        <v>266</v>
      </c>
      <c r="F1909" s="4" t="s">
        <v>348</v>
      </c>
      <c r="G1909" s="4" t="s">
        <v>1203</v>
      </c>
      <c r="H1909" s="4" t="s">
        <v>15</v>
      </c>
      <c r="I1909" s="4" t="s">
        <v>356</v>
      </c>
      <c r="J1909" s="4" t="s">
        <v>821</v>
      </c>
      <c r="K1909" s="4" t="s">
        <v>25</v>
      </c>
      <c r="L1909" s="4" t="s">
        <v>3743</v>
      </c>
      <c r="M1909" s="4" t="s">
        <v>3746</v>
      </c>
      <c r="N1909" s="4" t="s">
        <v>3747</v>
      </c>
      <c r="O1909" s="17">
        <f>INDEX('список ID из СУЭ с должностями'!$A:$F,MATCH(E1909,'список ID из СУЭ с должностями'!$B:$B,0),5)</f>
        <v>0</v>
      </c>
    </row>
    <row r="1910" spans="1:15" ht="315">
      <c r="A1910" s="3" t="s">
        <v>10</v>
      </c>
      <c r="B1910" s="3" t="s">
        <v>11</v>
      </c>
      <c r="C1910" s="4">
        <v>2026</v>
      </c>
      <c r="D1910" s="5" t="s">
        <v>12</v>
      </c>
      <c r="E1910" s="4">
        <v>266</v>
      </c>
      <c r="F1910" s="4" t="s">
        <v>348</v>
      </c>
      <c r="G1910" s="4" t="s">
        <v>1203</v>
      </c>
      <c r="H1910" s="4" t="s">
        <v>41</v>
      </c>
      <c r="I1910" s="4" t="s">
        <v>352</v>
      </c>
      <c r="J1910" s="4" t="s">
        <v>1294</v>
      </c>
      <c r="K1910" s="4" t="s">
        <v>25</v>
      </c>
      <c r="L1910" s="4" t="s">
        <v>3743</v>
      </c>
      <c r="M1910" s="4" t="s">
        <v>3746</v>
      </c>
      <c r="N1910" s="4" t="s">
        <v>3747</v>
      </c>
      <c r="O1910" s="17">
        <f>INDEX('список ID из СУЭ с должностями'!$A:$F,MATCH(E1910,'список ID из СУЭ с должностями'!$B:$B,0),5)</f>
        <v>0</v>
      </c>
    </row>
    <row r="1911" spans="1:15" ht="225">
      <c r="A1911" s="3" t="s">
        <v>10</v>
      </c>
      <c r="B1911" s="3" t="s">
        <v>11</v>
      </c>
      <c r="C1911" s="4">
        <v>2026</v>
      </c>
      <c r="D1911" s="5" t="s">
        <v>12</v>
      </c>
      <c r="E1911" s="4">
        <v>266</v>
      </c>
      <c r="F1911" s="4" t="s">
        <v>348</v>
      </c>
      <c r="G1911" s="4" t="s">
        <v>1203</v>
      </c>
      <c r="H1911" s="4" t="s">
        <v>15</v>
      </c>
      <c r="I1911" s="4" t="s">
        <v>323</v>
      </c>
      <c r="J1911" s="4" t="s">
        <v>1295</v>
      </c>
      <c r="K1911" s="4" t="s">
        <v>66</v>
      </c>
      <c r="L1911" s="4" t="s">
        <v>3743</v>
      </c>
      <c r="M1911" s="4" t="s">
        <v>3746</v>
      </c>
      <c r="N1911" s="4" t="s">
        <v>3747</v>
      </c>
      <c r="O1911" s="17">
        <f>INDEX('список ID из СУЭ с должностями'!$A:$F,MATCH(E1911,'список ID из СУЭ с должностями'!$B:$B,0),5)</f>
        <v>0</v>
      </c>
    </row>
    <row r="1912" spans="1:15" ht="285">
      <c r="A1912" s="3" t="s">
        <v>10</v>
      </c>
      <c r="B1912" s="3" t="s">
        <v>11</v>
      </c>
      <c r="C1912" s="4">
        <v>2026</v>
      </c>
      <c r="D1912" s="5" t="s">
        <v>12</v>
      </c>
      <c r="E1912" s="4">
        <v>266</v>
      </c>
      <c r="F1912" s="4" t="s">
        <v>348</v>
      </c>
      <c r="G1912" s="4" t="s">
        <v>1203</v>
      </c>
      <c r="H1912" s="4" t="s">
        <v>15</v>
      </c>
      <c r="I1912" s="4" t="s">
        <v>325</v>
      </c>
      <c r="J1912" s="4" t="s">
        <v>1296</v>
      </c>
      <c r="K1912" s="4" t="s">
        <v>35</v>
      </c>
      <c r="L1912" s="4" t="s">
        <v>3743</v>
      </c>
      <c r="M1912" s="4" t="s">
        <v>3746</v>
      </c>
      <c r="N1912" s="4" t="s">
        <v>3747</v>
      </c>
      <c r="O1912" s="17">
        <f>INDEX('список ID из СУЭ с должностями'!$A:$F,MATCH(E1912,'список ID из СУЭ с должностями'!$B:$B,0),5)</f>
        <v>0</v>
      </c>
    </row>
    <row r="1913" spans="1:15" ht="409.5">
      <c r="A1913" s="3" t="s">
        <v>10</v>
      </c>
      <c r="B1913" s="3" t="s">
        <v>11</v>
      </c>
      <c r="C1913" s="4">
        <v>2026</v>
      </c>
      <c r="D1913" s="5" t="s">
        <v>12</v>
      </c>
      <c r="E1913" s="4">
        <v>266</v>
      </c>
      <c r="F1913" s="4" t="s">
        <v>348</v>
      </c>
      <c r="G1913" s="4" t="s">
        <v>1203</v>
      </c>
      <c r="H1913" s="4" t="s">
        <v>15</v>
      </c>
      <c r="I1913" s="4" t="s">
        <v>354</v>
      </c>
      <c r="J1913" s="4" t="s">
        <v>1059</v>
      </c>
      <c r="K1913" s="4" t="s">
        <v>25</v>
      </c>
      <c r="L1913" s="4" t="s">
        <v>3743</v>
      </c>
      <c r="M1913" s="4" t="s">
        <v>3746</v>
      </c>
      <c r="N1913" s="4" t="s">
        <v>3747</v>
      </c>
      <c r="O1913" s="17">
        <f>INDEX('список ID из СУЭ с должностями'!$A:$F,MATCH(E1913,'список ID из СУЭ с должностями'!$B:$B,0),5)</f>
        <v>0</v>
      </c>
    </row>
    <row r="1914" spans="1:15" ht="315">
      <c r="A1914" s="3" t="s">
        <v>10</v>
      </c>
      <c r="B1914" s="3" t="s">
        <v>11</v>
      </c>
      <c r="C1914" s="4">
        <v>2026</v>
      </c>
      <c r="D1914" s="5" t="s">
        <v>12</v>
      </c>
      <c r="E1914" s="4">
        <v>267</v>
      </c>
      <c r="F1914" s="4" t="s">
        <v>348</v>
      </c>
      <c r="G1914" s="4" t="s">
        <v>820</v>
      </c>
      <c r="H1914" s="4" t="s">
        <v>15</v>
      </c>
      <c r="I1914" s="4" t="s">
        <v>28</v>
      </c>
      <c r="J1914" s="4" t="s">
        <v>2196</v>
      </c>
      <c r="K1914" s="4" t="s">
        <v>38</v>
      </c>
      <c r="L1914" s="4" t="s">
        <v>3743</v>
      </c>
      <c r="M1914" s="4" t="s">
        <v>3746</v>
      </c>
      <c r="N1914" s="4" t="s">
        <v>3747</v>
      </c>
      <c r="O1914" s="17">
        <f>INDEX('список ID из СУЭ с должностями'!$A:$F,MATCH(E1914,'список ID из СУЭ с должностями'!$B:$B,0),5)</f>
        <v>0</v>
      </c>
    </row>
    <row r="1915" spans="1:15" ht="105">
      <c r="A1915" s="3" t="s">
        <v>10</v>
      </c>
      <c r="B1915" s="3" t="s">
        <v>11</v>
      </c>
      <c r="C1915" s="4">
        <v>2026</v>
      </c>
      <c r="D1915" s="5" t="s">
        <v>12</v>
      </c>
      <c r="E1915" s="4">
        <v>267</v>
      </c>
      <c r="F1915" s="4" t="s">
        <v>348</v>
      </c>
      <c r="G1915" s="4" t="s">
        <v>820</v>
      </c>
      <c r="H1915" s="4" t="s">
        <v>15</v>
      </c>
      <c r="I1915" s="4" t="s">
        <v>2197</v>
      </c>
      <c r="J1915" s="4" t="s">
        <v>2198</v>
      </c>
      <c r="K1915" s="4" t="s">
        <v>66</v>
      </c>
      <c r="L1915" s="4" t="s">
        <v>3743</v>
      </c>
      <c r="M1915" s="4" t="s">
        <v>3746</v>
      </c>
      <c r="N1915" s="4" t="s">
        <v>3747</v>
      </c>
      <c r="O1915" s="17">
        <f>INDEX('список ID из СУЭ с должностями'!$A:$F,MATCH(E1915,'список ID из СУЭ с должностями'!$B:$B,0),5)</f>
        <v>0</v>
      </c>
    </row>
    <row r="1916" spans="1:15" ht="165">
      <c r="A1916" s="3" t="s">
        <v>10</v>
      </c>
      <c r="B1916" s="3" t="s">
        <v>11</v>
      </c>
      <c r="C1916" s="4">
        <v>2026</v>
      </c>
      <c r="D1916" s="5" t="s">
        <v>12</v>
      </c>
      <c r="E1916" s="4">
        <v>267</v>
      </c>
      <c r="F1916" s="4" t="s">
        <v>348</v>
      </c>
      <c r="G1916" s="4" t="s">
        <v>820</v>
      </c>
      <c r="H1916" s="4" t="s">
        <v>15</v>
      </c>
      <c r="I1916" s="4" t="s">
        <v>325</v>
      </c>
      <c r="J1916" s="4" t="s">
        <v>827</v>
      </c>
      <c r="K1916" s="4" t="s">
        <v>35</v>
      </c>
      <c r="L1916" s="4" t="s">
        <v>3743</v>
      </c>
      <c r="M1916" s="4" t="s">
        <v>3746</v>
      </c>
      <c r="N1916" s="4" t="s">
        <v>3747</v>
      </c>
      <c r="O1916" s="17">
        <f>INDEX('список ID из СУЭ с должностями'!$A:$F,MATCH(E1916,'список ID из СУЭ с должностями'!$B:$B,0),5)</f>
        <v>0</v>
      </c>
    </row>
    <row r="1917" spans="1:15" ht="105">
      <c r="A1917" s="3" t="s">
        <v>10</v>
      </c>
      <c r="B1917" s="3" t="s">
        <v>11</v>
      </c>
      <c r="C1917" s="4">
        <v>2026</v>
      </c>
      <c r="D1917" s="5" t="s">
        <v>12</v>
      </c>
      <c r="E1917" s="4">
        <v>267</v>
      </c>
      <c r="F1917" s="4" t="s">
        <v>348</v>
      </c>
      <c r="G1917" s="4" t="s">
        <v>820</v>
      </c>
      <c r="H1917" s="4" t="s">
        <v>15</v>
      </c>
      <c r="I1917" s="4" t="s">
        <v>358</v>
      </c>
      <c r="J1917" s="4" t="s">
        <v>825</v>
      </c>
      <c r="K1917" s="4" t="s">
        <v>66</v>
      </c>
      <c r="L1917" s="4" t="s">
        <v>3743</v>
      </c>
      <c r="M1917" s="4" t="s">
        <v>3746</v>
      </c>
      <c r="N1917" s="4" t="s">
        <v>3747</v>
      </c>
      <c r="O1917" s="17">
        <f>INDEX('список ID из СУЭ с должностями'!$A:$F,MATCH(E1917,'список ID из СУЭ с должностями'!$B:$B,0),5)</f>
        <v>0</v>
      </c>
    </row>
    <row r="1918" spans="1:15" ht="315">
      <c r="A1918" s="3" t="s">
        <v>10</v>
      </c>
      <c r="B1918" s="3" t="s">
        <v>11</v>
      </c>
      <c r="C1918" s="4">
        <v>2026</v>
      </c>
      <c r="D1918" s="5" t="s">
        <v>12</v>
      </c>
      <c r="E1918" s="4">
        <v>267</v>
      </c>
      <c r="F1918" s="4" t="s">
        <v>348</v>
      </c>
      <c r="G1918" s="4" t="s">
        <v>820</v>
      </c>
      <c r="H1918" s="4" t="s">
        <v>15</v>
      </c>
      <c r="I1918" s="4" t="s">
        <v>352</v>
      </c>
      <c r="J1918" s="4" t="s">
        <v>2199</v>
      </c>
      <c r="K1918" s="4" t="s">
        <v>25</v>
      </c>
      <c r="L1918" s="4" t="s">
        <v>3743</v>
      </c>
      <c r="M1918" s="4" t="s">
        <v>3746</v>
      </c>
      <c r="N1918" s="4" t="s">
        <v>3747</v>
      </c>
      <c r="O1918" s="17">
        <f>INDEX('список ID из СУЭ с должностями'!$A:$F,MATCH(E1918,'список ID из СУЭ с должностями'!$B:$B,0),5)</f>
        <v>0</v>
      </c>
    </row>
    <row r="1919" spans="1:15" ht="120">
      <c r="A1919" s="3" t="s">
        <v>10</v>
      </c>
      <c r="B1919" s="3" t="s">
        <v>11</v>
      </c>
      <c r="C1919" s="4">
        <v>2026</v>
      </c>
      <c r="D1919" s="5" t="s">
        <v>12</v>
      </c>
      <c r="E1919" s="4">
        <v>267</v>
      </c>
      <c r="F1919" s="4" t="s">
        <v>348</v>
      </c>
      <c r="G1919" s="4" t="s">
        <v>820</v>
      </c>
      <c r="H1919" s="4" t="s">
        <v>15</v>
      </c>
      <c r="I1919" s="4" t="s">
        <v>356</v>
      </c>
      <c r="J1919" s="4" t="s">
        <v>2200</v>
      </c>
      <c r="K1919" s="4" t="s">
        <v>25</v>
      </c>
      <c r="L1919" s="4" t="s">
        <v>3743</v>
      </c>
      <c r="M1919" s="4" t="s">
        <v>3746</v>
      </c>
      <c r="N1919" s="4" t="s">
        <v>3747</v>
      </c>
      <c r="O1919" s="17">
        <f>INDEX('список ID из СУЭ с должностями'!$A:$F,MATCH(E1919,'список ID из СУЭ с должностями'!$B:$B,0),5)</f>
        <v>0</v>
      </c>
    </row>
    <row r="1920" spans="1:15" ht="330">
      <c r="A1920" s="3" t="s">
        <v>10</v>
      </c>
      <c r="B1920" s="3" t="s">
        <v>11</v>
      </c>
      <c r="C1920" s="4">
        <v>2026</v>
      </c>
      <c r="D1920" s="5" t="s">
        <v>12</v>
      </c>
      <c r="E1920" s="4">
        <v>267</v>
      </c>
      <c r="F1920" s="4" t="s">
        <v>348</v>
      </c>
      <c r="G1920" s="4" t="s">
        <v>820</v>
      </c>
      <c r="H1920" s="4" t="s">
        <v>15</v>
      </c>
      <c r="I1920" s="4" t="s">
        <v>323</v>
      </c>
      <c r="J1920" s="4" t="s">
        <v>826</v>
      </c>
      <c r="K1920" s="4" t="s">
        <v>151</v>
      </c>
      <c r="L1920" s="4" t="s">
        <v>3743</v>
      </c>
      <c r="M1920" s="4" t="s">
        <v>3746</v>
      </c>
      <c r="N1920" s="4" t="s">
        <v>3747</v>
      </c>
      <c r="O1920" s="17">
        <f>INDEX('список ID из СУЭ с должностями'!$A:$F,MATCH(E1920,'список ID из СУЭ с должностями'!$B:$B,0),5)</f>
        <v>0</v>
      </c>
    </row>
    <row r="1921" spans="1:15" ht="409.5">
      <c r="A1921" s="3" t="s">
        <v>10</v>
      </c>
      <c r="B1921" s="3" t="s">
        <v>11</v>
      </c>
      <c r="C1921" s="4">
        <v>2026</v>
      </c>
      <c r="D1921" s="5" t="s">
        <v>12</v>
      </c>
      <c r="E1921" s="4">
        <v>267</v>
      </c>
      <c r="F1921" s="4" t="s">
        <v>348</v>
      </c>
      <c r="G1921" s="4" t="s">
        <v>820</v>
      </c>
      <c r="H1921" s="4" t="s">
        <v>15</v>
      </c>
      <c r="I1921" s="4" t="s">
        <v>354</v>
      </c>
      <c r="J1921" s="4" t="s">
        <v>2201</v>
      </c>
      <c r="K1921" s="4" t="s">
        <v>25</v>
      </c>
      <c r="L1921" s="4" t="s">
        <v>3743</v>
      </c>
      <c r="M1921" s="4" t="s">
        <v>3746</v>
      </c>
      <c r="N1921" s="4" t="s">
        <v>3747</v>
      </c>
      <c r="O1921" s="17">
        <f>INDEX('список ID из СУЭ с должностями'!$A:$F,MATCH(E1921,'список ID из СУЭ с должностями'!$B:$B,0),5)</f>
        <v>0</v>
      </c>
    </row>
    <row r="1922" spans="1:15" ht="105">
      <c r="A1922" s="3" t="s">
        <v>10</v>
      </c>
      <c r="B1922" s="3" t="s">
        <v>11</v>
      </c>
      <c r="C1922" s="4">
        <v>2026</v>
      </c>
      <c r="D1922" s="5" t="s">
        <v>12</v>
      </c>
      <c r="E1922" s="4">
        <v>268</v>
      </c>
      <c r="F1922" s="4" t="s">
        <v>385</v>
      </c>
      <c r="G1922" s="4" t="s">
        <v>99</v>
      </c>
      <c r="H1922" s="4" t="s">
        <v>15</v>
      </c>
      <c r="I1922" s="4" t="s">
        <v>110</v>
      </c>
      <c r="J1922" s="4" t="s">
        <v>1225</v>
      </c>
      <c r="K1922" s="4" t="s">
        <v>30</v>
      </c>
      <c r="L1922" s="4" t="s">
        <v>3743</v>
      </c>
      <c r="M1922" s="4" t="s">
        <v>3746</v>
      </c>
      <c r="N1922" s="4" t="s">
        <v>3747</v>
      </c>
      <c r="O1922" s="17">
        <f>INDEX('список ID из СУЭ с должностями'!$A:$F,MATCH(E1922,'список ID из СУЭ с должностями'!$B:$B,0),5)</f>
        <v>0</v>
      </c>
    </row>
    <row r="1923" spans="1:15" ht="105">
      <c r="A1923" s="3" t="s">
        <v>10</v>
      </c>
      <c r="B1923" s="3" t="s">
        <v>11</v>
      </c>
      <c r="C1923" s="4">
        <v>2026</v>
      </c>
      <c r="D1923" s="5" t="s">
        <v>12</v>
      </c>
      <c r="E1923" s="4">
        <v>268</v>
      </c>
      <c r="F1923" s="4" t="s">
        <v>385</v>
      </c>
      <c r="G1923" s="4" t="s">
        <v>99</v>
      </c>
      <c r="H1923" s="4" t="s">
        <v>15</v>
      </c>
      <c r="I1923" s="4" t="s">
        <v>110</v>
      </c>
      <c r="J1923" s="4" t="s">
        <v>111</v>
      </c>
      <c r="K1923" s="4" t="s">
        <v>66</v>
      </c>
      <c r="L1923" s="4" t="s">
        <v>3742</v>
      </c>
      <c r="M1923" s="4" t="s">
        <v>3746</v>
      </c>
      <c r="N1923" s="4" t="s">
        <v>3747</v>
      </c>
      <c r="O1923" s="17">
        <f>INDEX('список ID из СУЭ с должностями'!$A:$F,MATCH(E1923,'список ID из СУЭ с должностями'!$B:$B,0),5)</f>
        <v>0</v>
      </c>
    </row>
    <row r="1924" spans="1:15" ht="195">
      <c r="A1924" s="3" t="s">
        <v>10</v>
      </c>
      <c r="B1924" s="3" t="s">
        <v>11</v>
      </c>
      <c r="C1924" s="4">
        <v>2026</v>
      </c>
      <c r="D1924" s="5" t="s">
        <v>12</v>
      </c>
      <c r="E1924" s="4">
        <v>268</v>
      </c>
      <c r="F1924" s="4" t="s">
        <v>385</v>
      </c>
      <c r="G1924" s="4" t="s">
        <v>99</v>
      </c>
      <c r="H1924" s="4" t="s">
        <v>15</v>
      </c>
      <c r="I1924" s="4" t="s">
        <v>112</v>
      </c>
      <c r="J1924" s="4" t="s">
        <v>113</v>
      </c>
      <c r="K1924" s="4" t="s">
        <v>30</v>
      </c>
      <c r="L1924" s="4" t="s">
        <v>3743</v>
      </c>
      <c r="M1924" s="4" t="s">
        <v>3746</v>
      </c>
      <c r="N1924" s="4" t="s">
        <v>3747</v>
      </c>
      <c r="O1924" s="17">
        <f>INDEX('список ID из СУЭ с должностями'!$A:$F,MATCH(E1924,'список ID из СУЭ с должностями'!$B:$B,0),5)</f>
        <v>0</v>
      </c>
    </row>
    <row r="1925" spans="1:15" ht="105">
      <c r="A1925" s="3" t="s">
        <v>10</v>
      </c>
      <c r="B1925" s="3" t="s">
        <v>11</v>
      </c>
      <c r="C1925" s="4">
        <v>2026</v>
      </c>
      <c r="D1925" s="5" t="s">
        <v>12</v>
      </c>
      <c r="E1925" s="4">
        <v>268</v>
      </c>
      <c r="F1925" s="4" t="s">
        <v>385</v>
      </c>
      <c r="G1925" s="4" t="s">
        <v>99</v>
      </c>
      <c r="H1925" s="4" t="s">
        <v>15</v>
      </c>
      <c r="I1925" s="4" t="s">
        <v>104</v>
      </c>
      <c r="J1925" s="4" t="s">
        <v>105</v>
      </c>
      <c r="K1925" s="4" t="s">
        <v>30</v>
      </c>
      <c r="L1925" s="4" t="s">
        <v>3743</v>
      </c>
      <c r="M1925" s="4" t="s">
        <v>3746</v>
      </c>
      <c r="N1925" s="4" t="s">
        <v>3747</v>
      </c>
      <c r="O1925" s="17">
        <f>INDEX('список ID из СУЭ с должностями'!$A:$F,MATCH(E1925,'список ID из СУЭ с должностями'!$B:$B,0),5)</f>
        <v>0</v>
      </c>
    </row>
    <row r="1926" spans="1:15" ht="105">
      <c r="A1926" s="3" t="s">
        <v>10</v>
      </c>
      <c r="B1926" s="3" t="s">
        <v>11</v>
      </c>
      <c r="C1926" s="4">
        <v>2026</v>
      </c>
      <c r="D1926" s="5" t="s">
        <v>12</v>
      </c>
      <c r="E1926" s="4">
        <v>268</v>
      </c>
      <c r="F1926" s="4" t="s">
        <v>385</v>
      </c>
      <c r="G1926" s="4" t="s">
        <v>99</v>
      </c>
      <c r="H1926" s="4" t="s">
        <v>15</v>
      </c>
      <c r="I1926" s="4" t="s">
        <v>1949</v>
      </c>
      <c r="J1926" s="4" t="s">
        <v>115</v>
      </c>
      <c r="K1926" s="4" t="s">
        <v>30</v>
      </c>
      <c r="L1926" s="4" t="s">
        <v>3742</v>
      </c>
      <c r="M1926" s="4" t="s">
        <v>3746</v>
      </c>
      <c r="N1926" s="4" t="s">
        <v>3747</v>
      </c>
      <c r="O1926" s="17">
        <f>INDEX('список ID из СУЭ с должностями'!$A:$F,MATCH(E1926,'список ID из СУЭ с должностями'!$B:$B,0),5)</f>
        <v>0</v>
      </c>
    </row>
    <row r="1927" spans="1:15" ht="105">
      <c r="A1927" s="3" t="s">
        <v>10</v>
      </c>
      <c r="B1927" s="3" t="s">
        <v>11</v>
      </c>
      <c r="C1927" s="4">
        <v>2026</v>
      </c>
      <c r="D1927" s="5" t="s">
        <v>12</v>
      </c>
      <c r="E1927" s="4">
        <v>268</v>
      </c>
      <c r="F1927" s="4" t="s">
        <v>385</v>
      </c>
      <c r="G1927" s="4" t="s">
        <v>99</v>
      </c>
      <c r="H1927" s="4" t="s">
        <v>15</v>
      </c>
      <c r="I1927" s="4" t="s">
        <v>309</v>
      </c>
      <c r="J1927" s="4" t="s">
        <v>115</v>
      </c>
      <c r="K1927" s="4" t="s">
        <v>30</v>
      </c>
      <c r="L1927" s="4" t="s">
        <v>3742</v>
      </c>
      <c r="M1927" s="4" t="s">
        <v>3746</v>
      </c>
      <c r="N1927" s="4" t="s">
        <v>3747</v>
      </c>
      <c r="O1927" s="17">
        <f>INDEX('список ID из СУЭ с должностями'!$A:$F,MATCH(E1927,'список ID из СУЭ с должностями'!$B:$B,0),5)</f>
        <v>0</v>
      </c>
    </row>
    <row r="1928" spans="1:15" ht="105">
      <c r="A1928" s="3" t="s">
        <v>10</v>
      </c>
      <c r="B1928" s="3" t="s">
        <v>11</v>
      </c>
      <c r="C1928" s="4">
        <v>2026</v>
      </c>
      <c r="D1928" s="5" t="s">
        <v>12</v>
      </c>
      <c r="E1928" s="4">
        <v>268</v>
      </c>
      <c r="F1928" s="4" t="s">
        <v>385</v>
      </c>
      <c r="G1928" s="4" t="s">
        <v>99</v>
      </c>
      <c r="H1928" s="4" t="s">
        <v>15</v>
      </c>
      <c r="I1928" s="4" t="s">
        <v>1137</v>
      </c>
      <c r="J1928" s="4" t="s">
        <v>109</v>
      </c>
      <c r="K1928" s="4" t="s">
        <v>30</v>
      </c>
      <c r="L1928" s="4" t="s">
        <v>3742</v>
      </c>
      <c r="M1928" s="4" t="s">
        <v>3746</v>
      </c>
      <c r="N1928" s="4" t="s">
        <v>3747</v>
      </c>
      <c r="O1928" s="17">
        <f>INDEX('список ID из СУЭ с должностями'!$A:$F,MATCH(E1928,'список ID из СУЭ с должностями'!$B:$B,0),5)</f>
        <v>0</v>
      </c>
    </row>
    <row r="1929" spans="1:15" ht="105">
      <c r="A1929" s="3" t="s">
        <v>10</v>
      </c>
      <c r="B1929" s="3" t="s">
        <v>11</v>
      </c>
      <c r="C1929" s="4">
        <v>2026</v>
      </c>
      <c r="D1929" s="5" t="s">
        <v>12</v>
      </c>
      <c r="E1929" s="4">
        <v>268</v>
      </c>
      <c r="F1929" s="4" t="s">
        <v>385</v>
      </c>
      <c r="G1929" s="4" t="s">
        <v>99</v>
      </c>
      <c r="H1929" s="4" t="s">
        <v>15</v>
      </c>
      <c r="I1929" s="4" t="s">
        <v>108</v>
      </c>
      <c r="J1929" s="4" t="s">
        <v>109</v>
      </c>
      <c r="K1929" s="4" t="s">
        <v>30</v>
      </c>
      <c r="L1929" s="4" t="s">
        <v>3742</v>
      </c>
      <c r="M1929" s="4" t="s">
        <v>3746</v>
      </c>
      <c r="N1929" s="4" t="s">
        <v>3747</v>
      </c>
      <c r="O1929" s="17">
        <f>INDEX('список ID из СУЭ с должностями'!$A:$F,MATCH(E1929,'список ID из СУЭ с должностями'!$B:$B,0),5)</f>
        <v>0</v>
      </c>
    </row>
    <row r="1930" spans="1:15" ht="105">
      <c r="A1930" s="3" t="s">
        <v>10</v>
      </c>
      <c r="B1930" s="3" t="s">
        <v>11</v>
      </c>
      <c r="C1930" s="4">
        <v>2026</v>
      </c>
      <c r="D1930" s="5" t="s">
        <v>12</v>
      </c>
      <c r="E1930" s="4">
        <v>268</v>
      </c>
      <c r="F1930" s="4" t="s">
        <v>385</v>
      </c>
      <c r="G1930" s="4" t="s">
        <v>99</v>
      </c>
      <c r="H1930" s="4" t="s">
        <v>15</v>
      </c>
      <c r="I1930" s="4" t="s">
        <v>26</v>
      </c>
      <c r="J1930" s="4" t="s">
        <v>27</v>
      </c>
      <c r="K1930" s="4" t="s">
        <v>25</v>
      </c>
      <c r="L1930" s="4" t="s">
        <v>3743</v>
      </c>
      <c r="M1930" s="4" t="s">
        <v>3746</v>
      </c>
      <c r="N1930" s="4" t="s">
        <v>3747</v>
      </c>
      <c r="O1930" s="17">
        <f>INDEX('список ID из СУЭ с должностями'!$A:$F,MATCH(E1930,'список ID из СУЭ с должностями'!$B:$B,0),5)</f>
        <v>0</v>
      </c>
    </row>
    <row r="1931" spans="1:15" ht="60">
      <c r="A1931" s="3" t="s">
        <v>10</v>
      </c>
      <c r="B1931" s="3" t="s">
        <v>11</v>
      </c>
      <c r="C1931" s="4">
        <v>2026</v>
      </c>
      <c r="D1931" s="5" t="s">
        <v>12</v>
      </c>
      <c r="E1931" s="4">
        <v>269</v>
      </c>
      <c r="F1931" s="4" t="s">
        <v>403</v>
      </c>
      <c r="G1931" s="4" t="s">
        <v>404</v>
      </c>
      <c r="H1931" s="4" t="s">
        <v>15</v>
      </c>
      <c r="I1931" s="4" t="s">
        <v>410</v>
      </c>
      <c r="J1931" s="4" t="s">
        <v>2202</v>
      </c>
      <c r="K1931" s="4" t="s">
        <v>220</v>
      </c>
      <c r="L1931" s="4" t="s">
        <v>3743</v>
      </c>
      <c r="M1931" s="4" t="s">
        <v>3753</v>
      </c>
      <c r="N1931" s="4" t="s">
        <v>3747</v>
      </c>
      <c r="O1931" s="17">
        <f>INDEX('список ID из СУЭ с должностями'!$A:$F,MATCH(E1931,'список ID из СУЭ с должностями'!$B:$B,0),5)</f>
        <v>0</v>
      </c>
    </row>
    <row r="1932" spans="1:15" ht="165">
      <c r="A1932" s="3" t="s">
        <v>10</v>
      </c>
      <c r="B1932" s="3" t="s">
        <v>11</v>
      </c>
      <c r="C1932" s="4">
        <v>2026</v>
      </c>
      <c r="D1932" s="5" t="s">
        <v>12</v>
      </c>
      <c r="E1932" s="4">
        <v>269</v>
      </c>
      <c r="F1932" s="4" t="s">
        <v>403</v>
      </c>
      <c r="G1932" s="4" t="s">
        <v>404</v>
      </c>
      <c r="H1932" s="4" t="s">
        <v>15</v>
      </c>
      <c r="I1932" s="4" t="s">
        <v>408</v>
      </c>
      <c r="J1932" s="4" t="s">
        <v>2203</v>
      </c>
      <c r="K1932" s="4" t="s">
        <v>35</v>
      </c>
      <c r="L1932" s="4" t="s">
        <v>3743</v>
      </c>
      <c r="M1932" s="4" t="s">
        <v>3746</v>
      </c>
      <c r="N1932" s="4" t="s">
        <v>3747</v>
      </c>
      <c r="O1932" s="17">
        <f>INDEX('список ID из СУЭ с должностями'!$A:$F,MATCH(E1932,'список ID из СУЭ с должностями'!$B:$B,0),5)</f>
        <v>0</v>
      </c>
    </row>
    <row r="1933" spans="1:15" ht="120">
      <c r="A1933" s="3" t="s">
        <v>10</v>
      </c>
      <c r="B1933" s="3" t="s">
        <v>11</v>
      </c>
      <c r="C1933" s="4">
        <v>2026</v>
      </c>
      <c r="D1933" s="5" t="s">
        <v>12</v>
      </c>
      <c r="E1933" s="4">
        <v>269</v>
      </c>
      <c r="F1933" s="4" t="s">
        <v>403</v>
      </c>
      <c r="G1933" s="4" t="s">
        <v>404</v>
      </c>
      <c r="H1933" s="4" t="s">
        <v>15</v>
      </c>
      <c r="I1933" s="4" t="s">
        <v>2204</v>
      </c>
      <c r="J1933" s="4" t="s">
        <v>2205</v>
      </c>
      <c r="K1933" s="4" t="s">
        <v>52</v>
      </c>
      <c r="L1933" s="4" t="s">
        <v>3743</v>
      </c>
      <c r="M1933" s="4" t="s">
        <v>3746</v>
      </c>
      <c r="N1933" s="4" t="s">
        <v>3747</v>
      </c>
      <c r="O1933" s="17">
        <f>INDEX('список ID из СУЭ с должностями'!$A:$F,MATCH(E1933,'список ID из СУЭ с должностями'!$B:$B,0),5)</f>
        <v>0</v>
      </c>
    </row>
    <row r="1934" spans="1:15" ht="409.5">
      <c r="A1934" s="3" t="s">
        <v>10</v>
      </c>
      <c r="B1934" s="3" t="s">
        <v>11</v>
      </c>
      <c r="C1934" s="4">
        <v>2026</v>
      </c>
      <c r="D1934" s="5" t="s">
        <v>12</v>
      </c>
      <c r="E1934" s="4">
        <v>269</v>
      </c>
      <c r="F1934" s="4" t="s">
        <v>403</v>
      </c>
      <c r="G1934" s="4" t="s">
        <v>404</v>
      </c>
      <c r="H1934" s="4" t="s">
        <v>21</v>
      </c>
      <c r="I1934" s="4" t="s">
        <v>2206</v>
      </c>
      <c r="J1934" s="4" t="s">
        <v>2207</v>
      </c>
      <c r="K1934" s="4" t="s">
        <v>52</v>
      </c>
      <c r="L1934" s="4" t="s">
        <v>3743</v>
      </c>
      <c r="M1934" s="4" t="s">
        <v>3746</v>
      </c>
      <c r="N1934" s="4" t="s">
        <v>3747</v>
      </c>
      <c r="O1934" s="17">
        <f>INDEX('список ID из СУЭ с должностями'!$A:$F,MATCH(E1934,'список ID из СУЭ с должностями'!$B:$B,0),5)</f>
        <v>0</v>
      </c>
    </row>
    <row r="1935" spans="1:15" ht="409.5">
      <c r="A1935" s="3" t="s">
        <v>10</v>
      </c>
      <c r="B1935" s="3" t="s">
        <v>11</v>
      </c>
      <c r="C1935" s="4">
        <v>2026</v>
      </c>
      <c r="D1935" s="5" t="s">
        <v>12</v>
      </c>
      <c r="E1935" s="4">
        <v>269</v>
      </c>
      <c r="F1935" s="4" t="s">
        <v>403</v>
      </c>
      <c r="G1935" s="4" t="s">
        <v>404</v>
      </c>
      <c r="H1935" s="4" t="s">
        <v>21</v>
      </c>
      <c r="I1935" s="4" t="s">
        <v>55</v>
      </c>
      <c r="J1935" s="4" t="s">
        <v>2208</v>
      </c>
      <c r="K1935" s="4" t="s">
        <v>52</v>
      </c>
      <c r="L1935" s="4" t="s">
        <v>3743</v>
      </c>
      <c r="M1935" s="4" t="s">
        <v>3746</v>
      </c>
      <c r="N1935" s="4" t="s">
        <v>3747</v>
      </c>
      <c r="O1935" s="17">
        <f>INDEX('список ID из СУЭ с должностями'!$A:$F,MATCH(E1935,'список ID из СУЭ с должностями'!$B:$B,0),5)</f>
        <v>0</v>
      </c>
    </row>
    <row r="1936" spans="1:15" ht="180">
      <c r="A1936" s="3" t="s">
        <v>10</v>
      </c>
      <c r="B1936" s="3" t="s">
        <v>11</v>
      </c>
      <c r="C1936" s="4">
        <v>2026</v>
      </c>
      <c r="D1936" s="5" t="s">
        <v>12</v>
      </c>
      <c r="E1936" s="4">
        <v>269</v>
      </c>
      <c r="F1936" s="4" t="s">
        <v>403</v>
      </c>
      <c r="G1936" s="4" t="s">
        <v>404</v>
      </c>
      <c r="H1936" s="4" t="s">
        <v>15</v>
      </c>
      <c r="I1936" s="4" t="s">
        <v>904</v>
      </c>
      <c r="J1936" s="4" t="s">
        <v>2209</v>
      </c>
      <c r="K1936" s="4" t="s">
        <v>52</v>
      </c>
      <c r="L1936" s="4" t="s">
        <v>3743</v>
      </c>
      <c r="M1936" s="4" t="s">
        <v>3746</v>
      </c>
      <c r="N1936" s="4" t="s">
        <v>3747</v>
      </c>
      <c r="O1936" s="17">
        <f>INDEX('список ID из СУЭ с должностями'!$A:$F,MATCH(E1936,'список ID из СУЭ с должностями'!$B:$B,0),5)</f>
        <v>0</v>
      </c>
    </row>
    <row r="1937" spans="1:15" ht="105">
      <c r="A1937" s="3" t="s">
        <v>10</v>
      </c>
      <c r="B1937" s="3" t="s">
        <v>11</v>
      </c>
      <c r="C1937" s="4">
        <v>2026</v>
      </c>
      <c r="D1937" s="5" t="s">
        <v>12</v>
      </c>
      <c r="E1937" s="4">
        <v>270</v>
      </c>
      <c r="F1937" s="4" t="s">
        <v>193</v>
      </c>
      <c r="G1937" s="4" t="s">
        <v>808</v>
      </c>
      <c r="H1937" s="4" t="s">
        <v>21</v>
      </c>
      <c r="I1937" s="4" t="s">
        <v>2210</v>
      </c>
      <c r="J1937" s="4" t="s">
        <v>2211</v>
      </c>
      <c r="K1937" s="4" t="s">
        <v>52</v>
      </c>
      <c r="L1937" s="4" t="s">
        <v>3743</v>
      </c>
      <c r="M1937" s="4" t="s">
        <v>3746</v>
      </c>
      <c r="N1937" s="4" t="s">
        <v>3747</v>
      </c>
      <c r="O1937" s="17">
        <f>INDEX('список ID из СУЭ с должностями'!$A:$F,MATCH(E1937,'список ID из СУЭ с должностями'!$B:$B,0),5)</f>
        <v>0</v>
      </c>
    </row>
    <row r="1938" spans="1:15" ht="105">
      <c r="A1938" s="3" t="s">
        <v>10</v>
      </c>
      <c r="B1938" s="3" t="s">
        <v>11</v>
      </c>
      <c r="C1938" s="4">
        <v>2026</v>
      </c>
      <c r="D1938" s="5" t="s">
        <v>12</v>
      </c>
      <c r="E1938" s="4">
        <v>270</v>
      </c>
      <c r="F1938" s="4" t="s">
        <v>193</v>
      </c>
      <c r="G1938" s="4" t="s">
        <v>808</v>
      </c>
      <c r="H1938" s="4" t="s">
        <v>21</v>
      </c>
      <c r="I1938" s="4" t="s">
        <v>1567</v>
      </c>
      <c r="J1938" s="4" t="s">
        <v>1567</v>
      </c>
      <c r="K1938" s="4" t="s">
        <v>35</v>
      </c>
      <c r="L1938" s="4" t="s">
        <v>3743</v>
      </c>
      <c r="M1938" s="4" t="s">
        <v>3746</v>
      </c>
      <c r="N1938" s="4" t="s">
        <v>3747</v>
      </c>
      <c r="O1938" s="17">
        <f>INDEX('список ID из СУЭ с должностями'!$A:$F,MATCH(E1938,'список ID из СУЭ с должностями'!$B:$B,0),5)</f>
        <v>0</v>
      </c>
    </row>
    <row r="1939" spans="1:15" ht="105">
      <c r="A1939" s="3" t="s">
        <v>10</v>
      </c>
      <c r="B1939" s="3" t="s">
        <v>11</v>
      </c>
      <c r="C1939" s="4">
        <v>2026</v>
      </c>
      <c r="D1939" s="5" t="s">
        <v>12</v>
      </c>
      <c r="E1939" s="4">
        <v>270</v>
      </c>
      <c r="F1939" s="4" t="s">
        <v>193</v>
      </c>
      <c r="G1939" s="4" t="s">
        <v>808</v>
      </c>
      <c r="H1939" s="4" t="s">
        <v>21</v>
      </c>
      <c r="I1939" s="4" t="s">
        <v>793</v>
      </c>
      <c r="J1939" s="4" t="s">
        <v>794</v>
      </c>
      <c r="K1939" s="4" t="s">
        <v>30</v>
      </c>
      <c r="L1939" s="4" t="s">
        <v>3743</v>
      </c>
      <c r="M1939" s="4" t="s">
        <v>3746</v>
      </c>
      <c r="N1939" s="4" t="s">
        <v>3747</v>
      </c>
      <c r="O1939" s="17">
        <f>INDEX('список ID из СУЭ с должностями'!$A:$F,MATCH(E1939,'список ID из СУЭ с должностями'!$B:$B,0),5)</f>
        <v>0</v>
      </c>
    </row>
    <row r="1940" spans="1:15" ht="105">
      <c r="A1940" s="3" t="s">
        <v>10</v>
      </c>
      <c r="B1940" s="3" t="s">
        <v>11</v>
      </c>
      <c r="C1940" s="4">
        <v>2026</v>
      </c>
      <c r="D1940" s="5" t="s">
        <v>12</v>
      </c>
      <c r="E1940" s="4">
        <v>270</v>
      </c>
      <c r="F1940" s="4" t="s">
        <v>193</v>
      </c>
      <c r="G1940" s="4" t="s">
        <v>808</v>
      </c>
      <c r="H1940" s="4" t="s">
        <v>21</v>
      </c>
      <c r="I1940" s="4" t="s">
        <v>2212</v>
      </c>
      <c r="J1940" s="4" t="s">
        <v>2212</v>
      </c>
      <c r="K1940" s="4" t="s">
        <v>35</v>
      </c>
      <c r="L1940" s="4" t="s">
        <v>3743</v>
      </c>
      <c r="M1940" s="4" t="s">
        <v>3746</v>
      </c>
      <c r="N1940" s="4" t="s">
        <v>3747</v>
      </c>
      <c r="O1940" s="17">
        <f>INDEX('список ID из СУЭ с должностями'!$A:$F,MATCH(E1940,'список ID из СУЭ с должностями'!$B:$B,0),5)</f>
        <v>0</v>
      </c>
    </row>
    <row r="1941" spans="1:15" ht="105">
      <c r="A1941" s="3" t="s">
        <v>10</v>
      </c>
      <c r="B1941" s="3" t="s">
        <v>11</v>
      </c>
      <c r="C1941" s="4">
        <v>2026</v>
      </c>
      <c r="D1941" s="5" t="s">
        <v>12</v>
      </c>
      <c r="E1941" s="4">
        <v>270</v>
      </c>
      <c r="F1941" s="4" t="s">
        <v>193</v>
      </c>
      <c r="G1941" s="4" t="s">
        <v>808</v>
      </c>
      <c r="H1941" s="4" t="s">
        <v>21</v>
      </c>
      <c r="I1941" s="4" t="s">
        <v>2213</v>
      </c>
      <c r="J1941" s="4" t="s">
        <v>2214</v>
      </c>
      <c r="K1941" s="4" t="s">
        <v>35</v>
      </c>
      <c r="L1941" s="4" t="s">
        <v>3743</v>
      </c>
      <c r="M1941" s="4" t="s">
        <v>3746</v>
      </c>
      <c r="N1941" s="4" t="s">
        <v>3747</v>
      </c>
      <c r="O1941" s="17">
        <f>INDEX('список ID из СУЭ с должностями'!$A:$F,MATCH(E1941,'список ID из СУЭ с должностями'!$B:$B,0),5)</f>
        <v>0</v>
      </c>
    </row>
    <row r="1942" spans="1:15" ht="105">
      <c r="A1942" s="3" t="s">
        <v>10</v>
      </c>
      <c r="B1942" s="3" t="s">
        <v>11</v>
      </c>
      <c r="C1942" s="4">
        <v>2026</v>
      </c>
      <c r="D1942" s="5" t="s">
        <v>12</v>
      </c>
      <c r="E1942" s="4">
        <v>270</v>
      </c>
      <c r="F1942" s="4" t="s">
        <v>193</v>
      </c>
      <c r="G1942" s="4" t="s">
        <v>808</v>
      </c>
      <c r="H1942" s="4" t="s">
        <v>21</v>
      </c>
      <c r="I1942" s="4" t="s">
        <v>2215</v>
      </c>
      <c r="J1942" s="4" t="s">
        <v>797</v>
      </c>
      <c r="K1942" s="4" t="s">
        <v>38</v>
      </c>
      <c r="L1942" s="4" t="s">
        <v>3743</v>
      </c>
      <c r="M1942" s="4" t="s">
        <v>3746</v>
      </c>
      <c r="N1942" s="4" t="s">
        <v>3747</v>
      </c>
      <c r="O1942" s="17">
        <f>INDEX('список ID из СУЭ с должностями'!$A:$F,MATCH(E1942,'список ID из СУЭ с должностями'!$B:$B,0),5)</f>
        <v>0</v>
      </c>
    </row>
    <row r="1943" spans="1:15" ht="105">
      <c r="A1943" s="3" t="s">
        <v>10</v>
      </c>
      <c r="B1943" s="3" t="s">
        <v>11</v>
      </c>
      <c r="C1943" s="4">
        <v>2026</v>
      </c>
      <c r="D1943" s="5" t="s">
        <v>12</v>
      </c>
      <c r="E1943" s="4">
        <v>270</v>
      </c>
      <c r="F1943" s="4" t="s">
        <v>193</v>
      </c>
      <c r="G1943" s="4" t="s">
        <v>808</v>
      </c>
      <c r="H1943" s="4" t="s">
        <v>15</v>
      </c>
      <c r="I1943" s="4" t="s">
        <v>857</v>
      </c>
      <c r="J1943" s="4" t="s">
        <v>2216</v>
      </c>
      <c r="K1943" s="4" t="s">
        <v>38</v>
      </c>
      <c r="L1943" s="4" t="s">
        <v>3742</v>
      </c>
      <c r="M1943" s="4" t="s">
        <v>3746</v>
      </c>
      <c r="N1943" s="4" t="s">
        <v>3747</v>
      </c>
      <c r="O1943" s="17">
        <f>INDEX('список ID из СУЭ с должностями'!$A:$F,MATCH(E1943,'список ID из СУЭ с должностями'!$B:$B,0),5)</f>
        <v>0</v>
      </c>
    </row>
    <row r="1944" spans="1:15" ht="105">
      <c r="A1944" s="3" t="s">
        <v>10</v>
      </c>
      <c r="B1944" s="3" t="s">
        <v>11</v>
      </c>
      <c r="C1944" s="4">
        <v>2026</v>
      </c>
      <c r="D1944" s="5" t="s">
        <v>12</v>
      </c>
      <c r="E1944" s="4">
        <v>270</v>
      </c>
      <c r="F1944" s="4" t="s">
        <v>193</v>
      </c>
      <c r="G1944" s="4" t="s">
        <v>808</v>
      </c>
      <c r="H1944" s="4" t="s">
        <v>41</v>
      </c>
      <c r="I1944" s="4" t="s">
        <v>798</v>
      </c>
      <c r="J1944" s="4" t="s">
        <v>799</v>
      </c>
      <c r="K1944" s="4" t="s">
        <v>38</v>
      </c>
      <c r="L1944" s="4" t="s">
        <v>3743</v>
      </c>
      <c r="M1944" s="4" t="s">
        <v>3746</v>
      </c>
      <c r="N1944" s="4" t="s">
        <v>3747</v>
      </c>
      <c r="O1944" s="17">
        <f>INDEX('список ID из СУЭ с должностями'!$A:$F,MATCH(E1944,'список ID из СУЭ с должностями'!$B:$B,0),5)</f>
        <v>0</v>
      </c>
    </row>
    <row r="1945" spans="1:15" ht="240">
      <c r="A1945" s="3" t="s">
        <v>10</v>
      </c>
      <c r="B1945" s="3" t="s">
        <v>11</v>
      </c>
      <c r="C1945" s="4">
        <v>2026</v>
      </c>
      <c r="D1945" s="5" t="s">
        <v>12</v>
      </c>
      <c r="E1945" s="4">
        <v>270</v>
      </c>
      <c r="F1945" s="4" t="s">
        <v>193</v>
      </c>
      <c r="G1945" s="4" t="s">
        <v>808</v>
      </c>
      <c r="H1945" s="4" t="s">
        <v>15</v>
      </c>
      <c r="I1945" s="4" t="s">
        <v>800</v>
      </c>
      <c r="J1945" s="4" t="s">
        <v>1568</v>
      </c>
      <c r="K1945" s="4" t="s">
        <v>38</v>
      </c>
      <c r="L1945" s="4" t="s">
        <v>3743</v>
      </c>
      <c r="M1945" s="4" t="s">
        <v>3746</v>
      </c>
      <c r="N1945" s="4" t="s">
        <v>3747</v>
      </c>
      <c r="O1945" s="17">
        <f>INDEX('список ID из СУЭ с должностями'!$A:$F,MATCH(E1945,'список ID из СУЭ с должностями'!$B:$B,0),5)</f>
        <v>0</v>
      </c>
    </row>
    <row r="1946" spans="1:15" ht="315">
      <c r="A1946" s="3" t="s">
        <v>10</v>
      </c>
      <c r="B1946" s="3" t="s">
        <v>11</v>
      </c>
      <c r="C1946" s="4">
        <v>2026</v>
      </c>
      <c r="D1946" s="5" t="s">
        <v>12</v>
      </c>
      <c r="E1946" s="4">
        <v>270</v>
      </c>
      <c r="F1946" s="4" t="s">
        <v>193</v>
      </c>
      <c r="G1946" s="4" t="s">
        <v>808</v>
      </c>
      <c r="H1946" s="4" t="s">
        <v>15</v>
      </c>
      <c r="I1946" s="4" t="s">
        <v>802</v>
      </c>
      <c r="J1946" s="4" t="s">
        <v>2217</v>
      </c>
      <c r="K1946" s="4" t="s">
        <v>38</v>
      </c>
      <c r="L1946" s="4" t="s">
        <v>3743</v>
      </c>
      <c r="M1946" s="4" t="s">
        <v>3746</v>
      </c>
      <c r="N1946" s="4" t="s">
        <v>3747</v>
      </c>
      <c r="O1946" s="17">
        <f>INDEX('список ID из СУЭ с должностями'!$A:$F,MATCH(E1946,'список ID из СУЭ с должностями'!$B:$B,0),5)</f>
        <v>0</v>
      </c>
    </row>
    <row r="1947" spans="1:15" ht="60">
      <c r="A1947" s="3" t="s">
        <v>10</v>
      </c>
      <c r="B1947" s="3" t="s">
        <v>11</v>
      </c>
      <c r="C1947" s="4">
        <v>2026</v>
      </c>
      <c r="D1947" s="5" t="s">
        <v>12</v>
      </c>
      <c r="E1947" s="4">
        <v>271</v>
      </c>
      <c r="F1947" s="4" t="s">
        <v>2161</v>
      </c>
      <c r="G1947" s="4" t="s">
        <v>417</v>
      </c>
      <c r="H1947" s="4" t="s">
        <v>21</v>
      </c>
      <c r="I1947" s="4" t="s">
        <v>410</v>
      </c>
      <c r="J1947" s="4" t="s">
        <v>2162</v>
      </c>
      <c r="K1947" s="4" t="s">
        <v>23</v>
      </c>
      <c r="L1947" s="4" t="s">
        <v>3743</v>
      </c>
      <c r="M1947" s="4" t="s">
        <v>3748</v>
      </c>
      <c r="N1947" s="4" t="s">
        <v>3752</v>
      </c>
      <c r="O1947" s="17">
        <f>INDEX('список ID из СУЭ с должностями'!$A:$F,MATCH(E1947,'список ID из СУЭ с должностями'!$B:$B,0),5)</f>
        <v>0</v>
      </c>
    </row>
    <row r="1948" spans="1:15" ht="60">
      <c r="A1948" s="3" t="s">
        <v>10</v>
      </c>
      <c r="B1948" s="3" t="s">
        <v>11</v>
      </c>
      <c r="C1948" s="4">
        <v>2026</v>
      </c>
      <c r="D1948" s="5" t="s">
        <v>12</v>
      </c>
      <c r="E1948" s="4">
        <v>271</v>
      </c>
      <c r="F1948" s="4" t="s">
        <v>2161</v>
      </c>
      <c r="G1948" s="4" t="s">
        <v>417</v>
      </c>
      <c r="H1948" s="4" t="s">
        <v>21</v>
      </c>
      <c r="I1948" s="4" t="s">
        <v>2218</v>
      </c>
      <c r="J1948" s="4" t="s">
        <v>2219</v>
      </c>
      <c r="K1948" s="4" t="s">
        <v>55</v>
      </c>
      <c r="L1948" s="4" t="s">
        <v>3743</v>
      </c>
      <c r="M1948" s="4" t="s">
        <v>3746</v>
      </c>
      <c r="N1948" s="4" t="s">
        <v>3747</v>
      </c>
      <c r="O1948" s="17">
        <f>INDEX('список ID из СУЭ с должностями'!$A:$F,MATCH(E1948,'список ID из СУЭ с должностями'!$B:$B,0),5)</f>
        <v>0</v>
      </c>
    </row>
    <row r="1949" spans="1:15" ht="60">
      <c r="A1949" s="3" t="s">
        <v>10</v>
      </c>
      <c r="B1949" s="3" t="s">
        <v>11</v>
      </c>
      <c r="C1949" s="4">
        <v>2026</v>
      </c>
      <c r="D1949" s="5" t="s">
        <v>12</v>
      </c>
      <c r="E1949" s="4">
        <v>271</v>
      </c>
      <c r="F1949" s="4" t="s">
        <v>2161</v>
      </c>
      <c r="G1949" s="4" t="s">
        <v>417</v>
      </c>
      <c r="H1949" s="4" t="s">
        <v>21</v>
      </c>
      <c r="I1949" s="4" t="s">
        <v>2218</v>
      </c>
      <c r="J1949" s="4" t="s">
        <v>2220</v>
      </c>
      <c r="K1949" s="4" t="s">
        <v>55</v>
      </c>
      <c r="L1949" s="4" t="s">
        <v>3743</v>
      </c>
      <c r="M1949" s="4" t="s">
        <v>3746</v>
      </c>
      <c r="N1949" s="4" t="s">
        <v>3747</v>
      </c>
      <c r="O1949" s="17">
        <f>INDEX('список ID из СУЭ с должностями'!$A:$F,MATCH(E1949,'список ID из СУЭ с должностями'!$B:$B,0),5)</f>
        <v>0</v>
      </c>
    </row>
    <row r="1950" spans="1:15" ht="270">
      <c r="A1950" s="3" t="s">
        <v>10</v>
      </c>
      <c r="B1950" s="3" t="s">
        <v>11</v>
      </c>
      <c r="C1950" s="4">
        <v>2026</v>
      </c>
      <c r="D1950" s="5" t="s">
        <v>12</v>
      </c>
      <c r="E1950" s="4">
        <v>271</v>
      </c>
      <c r="F1950" s="4" t="s">
        <v>2161</v>
      </c>
      <c r="G1950" s="4" t="s">
        <v>417</v>
      </c>
      <c r="H1950" s="4" t="s">
        <v>21</v>
      </c>
      <c r="I1950" s="4" t="s">
        <v>2221</v>
      </c>
      <c r="J1950" s="4" t="s">
        <v>2222</v>
      </c>
      <c r="K1950" s="4" t="s">
        <v>55</v>
      </c>
      <c r="L1950" s="4" t="s">
        <v>3743</v>
      </c>
      <c r="M1950" s="4" t="s">
        <v>3746</v>
      </c>
      <c r="N1950" s="4" t="s">
        <v>3747</v>
      </c>
      <c r="O1950" s="17">
        <f>INDEX('список ID из СУЭ с должностями'!$A:$F,MATCH(E1950,'список ID из СУЭ с должностями'!$B:$B,0),5)</f>
        <v>0</v>
      </c>
    </row>
    <row r="1951" spans="1:15" ht="75">
      <c r="A1951" s="3" t="s">
        <v>10</v>
      </c>
      <c r="B1951" s="3" t="s">
        <v>11</v>
      </c>
      <c r="C1951" s="4">
        <v>2026</v>
      </c>
      <c r="D1951" s="5" t="s">
        <v>12</v>
      </c>
      <c r="E1951" s="4">
        <v>271</v>
      </c>
      <c r="F1951" s="4" t="s">
        <v>2161</v>
      </c>
      <c r="G1951" s="4" t="s">
        <v>417</v>
      </c>
      <c r="H1951" s="4" t="s">
        <v>15</v>
      </c>
      <c r="I1951" s="4" t="s">
        <v>2223</v>
      </c>
      <c r="J1951" s="4" t="s">
        <v>2224</v>
      </c>
      <c r="K1951" s="4" t="s">
        <v>55</v>
      </c>
      <c r="L1951" s="4" t="s">
        <v>3743</v>
      </c>
      <c r="M1951" s="4" t="s">
        <v>3746</v>
      </c>
      <c r="N1951" s="4" t="s">
        <v>3747</v>
      </c>
      <c r="O1951" s="17">
        <f>INDEX('список ID из СУЭ с должностями'!$A:$F,MATCH(E1951,'список ID из СУЭ с должностями'!$B:$B,0),5)</f>
        <v>0</v>
      </c>
    </row>
    <row r="1952" spans="1:15" ht="60">
      <c r="A1952" s="3" t="s">
        <v>10</v>
      </c>
      <c r="B1952" s="3" t="s">
        <v>11</v>
      </c>
      <c r="C1952" s="4">
        <v>2026</v>
      </c>
      <c r="D1952" s="5" t="s">
        <v>12</v>
      </c>
      <c r="E1952" s="4">
        <v>271</v>
      </c>
      <c r="F1952" s="4" t="s">
        <v>2161</v>
      </c>
      <c r="G1952" s="4" t="s">
        <v>417</v>
      </c>
      <c r="H1952" s="4" t="s">
        <v>15</v>
      </c>
      <c r="I1952" s="4" t="s">
        <v>2223</v>
      </c>
      <c r="J1952" s="4" t="s">
        <v>2225</v>
      </c>
      <c r="K1952" s="4" t="s">
        <v>55</v>
      </c>
      <c r="L1952" s="4" t="s">
        <v>3743</v>
      </c>
      <c r="M1952" s="4" t="s">
        <v>3746</v>
      </c>
      <c r="N1952" s="4" t="s">
        <v>3747</v>
      </c>
      <c r="O1952" s="17">
        <f>INDEX('список ID из СУЭ с должностями'!$A:$F,MATCH(E1952,'список ID из СУЭ с должностями'!$B:$B,0),5)</f>
        <v>0</v>
      </c>
    </row>
    <row r="1953" spans="1:15" ht="255">
      <c r="A1953" s="3" t="s">
        <v>10</v>
      </c>
      <c r="B1953" s="3" t="s">
        <v>11</v>
      </c>
      <c r="C1953" s="4">
        <v>2026</v>
      </c>
      <c r="D1953" s="5" t="s">
        <v>12</v>
      </c>
      <c r="E1953" s="4">
        <v>271</v>
      </c>
      <c r="F1953" s="4" t="s">
        <v>2161</v>
      </c>
      <c r="G1953" s="4" t="s">
        <v>417</v>
      </c>
      <c r="H1953" s="4" t="s">
        <v>15</v>
      </c>
      <c r="I1953" s="4" t="s">
        <v>2221</v>
      </c>
      <c r="J1953" s="4" t="s">
        <v>2226</v>
      </c>
      <c r="K1953" s="4" t="s">
        <v>55</v>
      </c>
      <c r="L1953" s="4" t="s">
        <v>3743</v>
      </c>
      <c r="M1953" s="4" t="s">
        <v>3746</v>
      </c>
      <c r="N1953" s="4" t="s">
        <v>3747</v>
      </c>
      <c r="O1953" s="17">
        <f>INDEX('список ID из СУЭ с должностями'!$A:$F,MATCH(E1953,'список ID из СУЭ с должностями'!$B:$B,0),5)</f>
        <v>0</v>
      </c>
    </row>
    <row r="1954" spans="1:15" ht="105">
      <c r="A1954" s="3" t="s">
        <v>10</v>
      </c>
      <c r="B1954" s="3" t="s">
        <v>11</v>
      </c>
      <c r="C1954" s="4">
        <v>2026</v>
      </c>
      <c r="D1954" s="5" t="s">
        <v>12</v>
      </c>
      <c r="E1954" s="4">
        <v>271</v>
      </c>
      <c r="F1954" s="4" t="s">
        <v>2161</v>
      </c>
      <c r="G1954" s="4" t="s">
        <v>417</v>
      </c>
      <c r="H1954" s="4" t="s">
        <v>15</v>
      </c>
      <c r="I1954" s="4" t="s">
        <v>423</v>
      </c>
      <c r="J1954" s="4" t="s">
        <v>2227</v>
      </c>
      <c r="K1954" s="4" t="s">
        <v>35</v>
      </c>
      <c r="L1954" s="4" t="s">
        <v>3743</v>
      </c>
      <c r="M1954" s="4" t="s">
        <v>3746</v>
      </c>
      <c r="N1954" s="4" t="s">
        <v>3747</v>
      </c>
      <c r="O1954" s="17">
        <f>INDEX('список ID из СУЭ с должностями'!$A:$F,MATCH(E1954,'список ID из СУЭ с должностями'!$B:$B,0),5)</f>
        <v>0</v>
      </c>
    </row>
    <row r="1955" spans="1:15" ht="60">
      <c r="A1955" s="3" t="s">
        <v>10</v>
      </c>
      <c r="B1955" s="3" t="s">
        <v>11</v>
      </c>
      <c r="C1955" s="4">
        <v>2026</v>
      </c>
      <c r="D1955" s="5" t="s">
        <v>12</v>
      </c>
      <c r="E1955" s="4">
        <v>272</v>
      </c>
      <c r="F1955" s="4" t="s">
        <v>2228</v>
      </c>
      <c r="G1955" s="4" t="s">
        <v>2229</v>
      </c>
      <c r="H1955" s="4" t="s">
        <v>15</v>
      </c>
      <c r="I1955" s="4" t="s">
        <v>2230</v>
      </c>
      <c r="J1955" s="4" t="s">
        <v>2231</v>
      </c>
      <c r="K1955" s="4" t="s">
        <v>2232</v>
      </c>
      <c r="L1955" s="4" t="s">
        <v>3743</v>
      </c>
      <c r="M1955" s="4" t="s">
        <v>3746</v>
      </c>
      <c r="N1955" s="4" t="s">
        <v>3775</v>
      </c>
      <c r="O1955" s="17">
        <f>INDEX('список ID из СУЭ с должностями'!$A:$F,MATCH(E1955,'список ID из СУЭ с должностями'!$B:$B,0),5)</f>
        <v>0</v>
      </c>
    </row>
    <row r="1956" spans="1:15" ht="105">
      <c r="A1956" s="3" t="s">
        <v>10</v>
      </c>
      <c r="B1956" s="3" t="s">
        <v>11</v>
      </c>
      <c r="C1956" s="4">
        <v>2026</v>
      </c>
      <c r="D1956" s="5" t="s">
        <v>12</v>
      </c>
      <c r="E1956" s="4">
        <v>272</v>
      </c>
      <c r="F1956" s="4" t="s">
        <v>2228</v>
      </c>
      <c r="G1956" s="4" t="s">
        <v>2229</v>
      </c>
      <c r="H1956" s="4" t="s">
        <v>15</v>
      </c>
      <c r="I1956" s="4" t="s">
        <v>2233</v>
      </c>
      <c r="J1956" s="4" t="s">
        <v>2234</v>
      </c>
      <c r="K1956" s="4" t="s">
        <v>2235</v>
      </c>
      <c r="L1956" s="4" t="s">
        <v>3743</v>
      </c>
      <c r="M1956" s="4" t="s">
        <v>3746</v>
      </c>
      <c r="N1956" s="4" t="s">
        <v>3775</v>
      </c>
      <c r="O1956" s="17">
        <f>INDEX('список ID из СУЭ с должностями'!$A:$F,MATCH(E1956,'список ID из СУЭ с должностями'!$B:$B,0),5)</f>
        <v>0</v>
      </c>
    </row>
    <row r="1957" spans="1:15" ht="120">
      <c r="A1957" s="3" t="s">
        <v>10</v>
      </c>
      <c r="B1957" s="3" t="s">
        <v>11</v>
      </c>
      <c r="C1957" s="4">
        <v>2026</v>
      </c>
      <c r="D1957" s="5" t="s">
        <v>12</v>
      </c>
      <c r="E1957" s="4">
        <v>272</v>
      </c>
      <c r="F1957" s="4" t="s">
        <v>2228</v>
      </c>
      <c r="G1957" s="4" t="s">
        <v>2229</v>
      </c>
      <c r="H1957" s="4" t="s">
        <v>15</v>
      </c>
      <c r="I1957" s="4" t="s">
        <v>2236</v>
      </c>
      <c r="J1957" s="4" t="s">
        <v>2237</v>
      </c>
      <c r="K1957" s="4" t="s">
        <v>2238</v>
      </c>
      <c r="L1957" s="4" t="s">
        <v>3743</v>
      </c>
      <c r="M1957" s="4" t="s">
        <v>3746</v>
      </c>
      <c r="N1957" s="4" t="s">
        <v>3775</v>
      </c>
      <c r="O1957" s="17">
        <f>INDEX('список ID из СУЭ с должностями'!$A:$F,MATCH(E1957,'список ID из СУЭ с должностями'!$B:$B,0),5)</f>
        <v>0</v>
      </c>
    </row>
    <row r="1958" spans="1:15" ht="195">
      <c r="A1958" s="3" t="s">
        <v>10</v>
      </c>
      <c r="B1958" s="3" t="s">
        <v>11</v>
      </c>
      <c r="C1958" s="4">
        <v>2026</v>
      </c>
      <c r="D1958" s="5" t="s">
        <v>12</v>
      </c>
      <c r="E1958" s="4">
        <v>272</v>
      </c>
      <c r="F1958" s="4" t="s">
        <v>2228</v>
      </c>
      <c r="G1958" s="4" t="s">
        <v>2229</v>
      </c>
      <c r="H1958" s="4" t="s">
        <v>15</v>
      </c>
      <c r="I1958" s="4" t="s">
        <v>2239</v>
      </c>
      <c r="J1958" s="4" t="s">
        <v>2240</v>
      </c>
      <c r="K1958" s="4" t="s">
        <v>35</v>
      </c>
      <c r="L1958" s="4" t="s">
        <v>3743</v>
      </c>
      <c r="M1958" s="4" t="s">
        <v>3746</v>
      </c>
      <c r="N1958" s="4" t="s">
        <v>3747</v>
      </c>
      <c r="O1958" s="17">
        <f>INDEX('список ID из СУЭ с должностями'!$A:$F,MATCH(E1958,'список ID из СУЭ с должностями'!$B:$B,0),5)</f>
        <v>0</v>
      </c>
    </row>
    <row r="1959" spans="1:15" ht="60">
      <c r="A1959" s="3" t="s">
        <v>10</v>
      </c>
      <c r="B1959" s="3" t="s">
        <v>11</v>
      </c>
      <c r="C1959" s="4">
        <v>2026</v>
      </c>
      <c r="D1959" s="5" t="s">
        <v>12</v>
      </c>
      <c r="E1959" s="4">
        <v>272</v>
      </c>
      <c r="F1959" s="4" t="s">
        <v>2228</v>
      </c>
      <c r="G1959" s="4" t="s">
        <v>2229</v>
      </c>
      <c r="H1959" s="4" t="s">
        <v>15</v>
      </c>
      <c r="I1959" s="4" t="s">
        <v>2241</v>
      </c>
      <c r="J1959" s="4" t="s">
        <v>2242</v>
      </c>
      <c r="K1959" s="4" t="s">
        <v>30</v>
      </c>
      <c r="L1959" s="4" t="s">
        <v>3742</v>
      </c>
      <c r="M1959" s="4" t="s">
        <v>3746</v>
      </c>
      <c r="N1959" s="4" t="s">
        <v>3747</v>
      </c>
      <c r="O1959" s="17">
        <f>INDEX('список ID из СУЭ с должностями'!$A:$F,MATCH(E1959,'список ID из СУЭ с должностями'!$B:$B,0),5)</f>
        <v>0</v>
      </c>
    </row>
    <row r="1960" spans="1:15" ht="90">
      <c r="A1960" s="3" t="s">
        <v>10</v>
      </c>
      <c r="B1960" s="3" t="s">
        <v>11</v>
      </c>
      <c r="C1960" s="4">
        <v>2026</v>
      </c>
      <c r="D1960" s="5" t="s">
        <v>12</v>
      </c>
      <c r="E1960" s="4">
        <v>272</v>
      </c>
      <c r="F1960" s="4" t="s">
        <v>2228</v>
      </c>
      <c r="G1960" s="4" t="s">
        <v>2229</v>
      </c>
      <c r="H1960" s="4" t="s">
        <v>21</v>
      </c>
      <c r="I1960" s="4" t="s">
        <v>2243</v>
      </c>
      <c r="J1960" s="4" t="s">
        <v>2244</v>
      </c>
      <c r="K1960" s="4" t="s">
        <v>2245</v>
      </c>
      <c r="L1960" s="4" t="s">
        <v>3743</v>
      </c>
      <c r="M1960" s="4" t="s">
        <v>3746</v>
      </c>
      <c r="N1960" s="4" t="s">
        <v>3775</v>
      </c>
      <c r="O1960" s="17">
        <f>INDEX('список ID из СУЭ с должностями'!$A:$F,MATCH(E1960,'список ID из СУЭ с должностями'!$B:$B,0),5)</f>
        <v>0</v>
      </c>
    </row>
    <row r="1961" spans="1:15" ht="60">
      <c r="A1961" s="3" t="s">
        <v>10</v>
      </c>
      <c r="B1961" s="3" t="s">
        <v>11</v>
      </c>
      <c r="C1961" s="4">
        <v>2026</v>
      </c>
      <c r="D1961" s="5" t="s">
        <v>12</v>
      </c>
      <c r="E1961" s="4">
        <v>272</v>
      </c>
      <c r="F1961" s="4" t="s">
        <v>2228</v>
      </c>
      <c r="G1961" s="4" t="s">
        <v>2229</v>
      </c>
      <c r="H1961" s="4" t="s">
        <v>21</v>
      </c>
      <c r="I1961" s="4" t="s">
        <v>2246</v>
      </c>
      <c r="J1961" s="4" t="s">
        <v>2247</v>
      </c>
      <c r="K1961" s="4" t="s">
        <v>38</v>
      </c>
      <c r="L1961" s="4" t="s">
        <v>3743</v>
      </c>
      <c r="M1961" s="4" t="s">
        <v>3746</v>
      </c>
      <c r="N1961" s="4" t="s">
        <v>3747</v>
      </c>
      <c r="O1961" s="17">
        <f>INDEX('список ID из СУЭ с должностями'!$A:$F,MATCH(E1961,'список ID из СУЭ с должностями'!$B:$B,0),5)</f>
        <v>0</v>
      </c>
    </row>
    <row r="1962" spans="1:15" ht="75">
      <c r="A1962" s="3" t="s">
        <v>10</v>
      </c>
      <c r="B1962" s="3" t="s">
        <v>11</v>
      </c>
      <c r="C1962" s="4">
        <v>2026</v>
      </c>
      <c r="D1962" s="5" t="s">
        <v>12</v>
      </c>
      <c r="E1962" s="4">
        <v>272</v>
      </c>
      <c r="F1962" s="4" t="s">
        <v>2228</v>
      </c>
      <c r="G1962" s="4" t="s">
        <v>2229</v>
      </c>
      <c r="H1962" s="4" t="s">
        <v>21</v>
      </c>
      <c r="I1962" s="4" t="s">
        <v>2248</v>
      </c>
      <c r="J1962" s="4" t="s">
        <v>2249</v>
      </c>
      <c r="K1962" s="4" t="s">
        <v>52</v>
      </c>
      <c r="L1962" s="4" t="s">
        <v>3743</v>
      </c>
      <c r="M1962" s="4" t="s">
        <v>3746</v>
      </c>
      <c r="N1962" s="4" t="s">
        <v>3747</v>
      </c>
      <c r="O1962" s="17">
        <f>INDEX('список ID из СУЭ с должностями'!$A:$F,MATCH(E1962,'список ID из СУЭ с должностями'!$B:$B,0),5)</f>
        <v>0</v>
      </c>
    </row>
    <row r="1963" spans="1:15" ht="135">
      <c r="A1963" s="3" t="s">
        <v>10</v>
      </c>
      <c r="B1963" s="3" t="s">
        <v>11</v>
      </c>
      <c r="C1963" s="4">
        <v>2026</v>
      </c>
      <c r="D1963" s="5" t="s">
        <v>12</v>
      </c>
      <c r="E1963" s="4">
        <v>272</v>
      </c>
      <c r="F1963" s="4" t="s">
        <v>2228</v>
      </c>
      <c r="G1963" s="4" t="s">
        <v>2229</v>
      </c>
      <c r="H1963" s="4" t="s">
        <v>21</v>
      </c>
      <c r="I1963" s="4" t="s">
        <v>2250</v>
      </c>
      <c r="J1963" s="4" t="s">
        <v>2251</v>
      </c>
      <c r="K1963" s="4" t="s">
        <v>2238</v>
      </c>
      <c r="L1963" s="4" t="s">
        <v>3743</v>
      </c>
      <c r="M1963" s="4" t="s">
        <v>3746</v>
      </c>
      <c r="N1963" s="4" t="s">
        <v>3775</v>
      </c>
      <c r="O1963" s="17">
        <f>INDEX('список ID из СУЭ с должностями'!$A:$F,MATCH(E1963,'список ID из СУЭ с должностями'!$B:$B,0),5)</f>
        <v>0</v>
      </c>
    </row>
    <row r="1964" spans="1:15" ht="195">
      <c r="A1964" s="3" t="s">
        <v>10</v>
      </c>
      <c r="B1964" s="3" t="s">
        <v>11</v>
      </c>
      <c r="C1964" s="4">
        <v>2026</v>
      </c>
      <c r="D1964" s="5" t="s">
        <v>12</v>
      </c>
      <c r="E1964" s="4">
        <v>272</v>
      </c>
      <c r="F1964" s="4" t="s">
        <v>2228</v>
      </c>
      <c r="G1964" s="4" t="s">
        <v>2229</v>
      </c>
      <c r="H1964" s="4" t="s">
        <v>21</v>
      </c>
      <c r="I1964" s="4" t="s">
        <v>2252</v>
      </c>
      <c r="J1964" s="4" t="s">
        <v>2253</v>
      </c>
      <c r="K1964" s="4" t="s">
        <v>2232</v>
      </c>
      <c r="L1964" s="4" t="s">
        <v>3743</v>
      </c>
      <c r="M1964" s="4" t="s">
        <v>3746</v>
      </c>
      <c r="N1964" s="4" t="s">
        <v>3775</v>
      </c>
      <c r="O1964" s="17">
        <f>INDEX('список ID из СУЭ с должностями'!$A:$F,MATCH(E1964,'список ID из СУЭ с должностями'!$B:$B,0),5)</f>
        <v>0</v>
      </c>
    </row>
    <row r="1965" spans="1:15" ht="120">
      <c r="A1965" s="3" t="s">
        <v>10</v>
      </c>
      <c r="B1965" s="3" t="s">
        <v>11</v>
      </c>
      <c r="C1965" s="4">
        <v>2026</v>
      </c>
      <c r="D1965" s="5" t="s">
        <v>12</v>
      </c>
      <c r="E1965" s="4">
        <v>273</v>
      </c>
      <c r="F1965" s="4" t="s">
        <v>280</v>
      </c>
      <c r="G1965" s="4" t="s">
        <v>2254</v>
      </c>
      <c r="H1965" s="4" t="s">
        <v>21</v>
      </c>
      <c r="I1965" s="4" t="s">
        <v>1674</v>
      </c>
      <c r="J1965" s="4" t="s">
        <v>1675</v>
      </c>
      <c r="K1965" s="4" t="s">
        <v>52</v>
      </c>
      <c r="L1965" s="4" t="s">
        <v>3743</v>
      </c>
      <c r="M1965" s="4" t="s">
        <v>3746</v>
      </c>
      <c r="N1965" s="4" t="s">
        <v>3747</v>
      </c>
      <c r="O1965" s="17" t="str">
        <f>INDEX('список ID из СУЭ с должностями'!$A:$F,MATCH(E1965,'список ID из СУЭ с должностями'!$B:$B,0),5)</f>
        <v>ВИП</v>
      </c>
    </row>
    <row r="1966" spans="1:15" ht="75">
      <c r="A1966" s="3" t="s">
        <v>10</v>
      </c>
      <c r="B1966" s="3" t="s">
        <v>11</v>
      </c>
      <c r="C1966" s="4">
        <v>2026</v>
      </c>
      <c r="D1966" s="5" t="s">
        <v>12</v>
      </c>
      <c r="E1966" s="4">
        <v>273</v>
      </c>
      <c r="F1966" s="4" t="s">
        <v>280</v>
      </c>
      <c r="G1966" s="4" t="s">
        <v>2254</v>
      </c>
      <c r="H1966" s="4" t="s">
        <v>15</v>
      </c>
      <c r="I1966" s="4" t="s">
        <v>2052</v>
      </c>
      <c r="J1966" s="4" t="s">
        <v>79</v>
      </c>
      <c r="K1966" s="4" t="s">
        <v>38</v>
      </c>
      <c r="L1966" s="4" t="s">
        <v>3742</v>
      </c>
      <c r="M1966" s="4" t="s">
        <v>3746</v>
      </c>
      <c r="N1966" s="4" t="s">
        <v>3747</v>
      </c>
      <c r="O1966" s="17" t="str">
        <f>INDEX('список ID из СУЭ с должностями'!$A:$F,MATCH(E1966,'список ID из СУЭ с должностями'!$B:$B,0),5)</f>
        <v>ВИП</v>
      </c>
    </row>
    <row r="1967" spans="1:15" ht="75">
      <c r="A1967" s="3" t="s">
        <v>10</v>
      </c>
      <c r="B1967" s="3" t="s">
        <v>11</v>
      </c>
      <c r="C1967" s="4">
        <v>2026</v>
      </c>
      <c r="D1967" s="5" t="s">
        <v>12</v>
      </c>
      <c r="E1967" s="4">
        <v>273</v>
      </c>
      <c r="F1967" s="4" t="s">
        <v>280</v>
      </c>
      <c r="G1967" s="4" t="s">
        <v>2254</v>
      </c>
      <c r="H1967" s="4" t="s">
        <v>41</v>
      </c>
      <c r="I1967" s="4" t="s">
        <v>62</v>
      </c>
      <c r="J1967" s="4" t="s">
        <v>2068</v>
      </c>
      <c r="K1967" s="4" t="s">
        <v>55</v>
      </c>
      <c r="L1967" s="4" t="s">
        <v>3743</v>
      </c>
      <c r="M1967" s="4" t="s">
        <v>3746</v>
      </c>
      <c r="N1967" s="4" t="s">
        <v>3747</v>
      </c>
      <c r="O1967" s="17" t="str">
        <f>INDEX('список ID из СУЭ с должностями'!$A:$F,MATCH(E1967,'список ID из СУЭ с должностями'!$B:$B,0),5)</f>
        <v>ВИП</v>
      </c>
    </row>
    <row r="1968" spans="1:15" ht="75">
      <c r="A1968" s="3" t="s">
        <v>10</v>
      </c>
      <c r="B1968" s="3" t="s">
        <v>11</v>
      </c>
      <c r="C1968" s="4">
        <v>2026</v>
      </c>
      <c r="D1968" s="5" t="s">
        <v>12</v>
      </c>
      <c r="E1968" s="4">
        <v>273</v>
      </c>
      <c r="F1968" s="4" t="s">
        <v>280</v>
      </c>
      <c r="G1968" s="4" t="s">
        <v>2254</v>
      </c>
      <c r="H1968" s="4" t="s">
        <v>15</v>
      </c>
      <c r="I1968" s="4" t="s">
        <v>189</v>
      </c>
      <c r="J1968" s="4" t="s">
        <v>2255</v>
      </c>
      <c r="K1968" s="4" t="s">
        <v>66</v>
      </c>
      <c r="L1968" s="4" t="s">
        <v>3743</v>
      </c>
      <c r="M1968" s="4" t="s">
        <v>3746</v>
      </c>
      <c r="N1968" s="4" t="s">
        <v>3747</v>
      </c>
      <c r="O1968" s="17" t="str">
        <f>INDEX('список ID из СУЭ с должностями'!$A:$F,MATCH(E1968,'список ID из СУЭ с должностями'!$B:$B,0),5)</f>
        <v>ВИП</v>
      </c>
    </row>
    <row r="1969" spans="1:15" ht="75">
      <c r="A1969" s="3" t="s">
        <v>10</v>
      </c>
      <c r="B1969" s="3" t="s">
        <v>11</v>
      </c>
      <c r="C1969" s="4">
        <v>2026</v>
      </c>
      <c r="D1969" s="5" t="s">
        <v>12</v>
      </c>
      <c r="E1969" s="4">
        <v>273</v>
      </c>
      <c r="F1969" s="4" t="s">
        <v>280</v>
      </c>
      <c r="G1969" s="4" t="s">
        <v>2254</v>
      </c>
      <c r="H1969" s="4" t="s">
        <v>15</v>
      </c>
      <c r="I1969" s="4" t="s">
        <v>2070</v>
      </c>
      <c r="J1969" s="4" t="s">
        <v>2071</v>
      </c>
      <c r="K1969" s="4" t="s">
        <v>52</v>
      </c>
      <c r="L1969" s="4" t="s">
        <v>3743</v>
      </c>
      <c r="M1969" s="4" t="s">
        <v>3746</v>
      </c>
      <c r="N1969" s="4" t="s">
        <v>3747</v>
      </c>
      <c r="O1969" s="17" t="str">
        <f>INDEX('список ID из СУЭ с должностями'!$A:$F,MATCH(E1969,'список ID из СУЭ с должностями'!$B:$B,0),5)</f>
        <v>ВИП</v>
      </c>
    </row>
    <row r="1970" spans="1:15" ht="75">
      <c r="A1970" s="3" t="s">
        <v>10</v>
      </c>
      <c r="B1970" s="3" t="s">
        <v>11</v>
      </c>
      <c r="C1970" s="4">
        <v>2026</v>
      </c>
      <c r="D1970" s="5" t="s">
        <v>12</v>
      </c>
      <c r="E1970" s="4">
        <v>273</v>
      </c>
      <c r="F1970" s="4" t="s">
        <v>280</v>
      </c>
      <c r="G1970" s="4" t="s">
        <v>2254</v>
      </c>
      <c r="H1970" s="4" t="s">
        <v>15</v>
      </c>
      <c r="I1970" s="4" t="s">
        <v>2048</v>
      </c>
      <c r="J1970" s="4" t="s">
        <v>2072</v>
      </c>
      <c r="K1970" s="4" t="s">
        <v>151</v>
      </c>
      <c r="L1970" s="4" t="s">
        <v>3742</v>
      </c>
      <c r="M1970" s="4" t="s">
        <v>3746</v>
      </c>
      <c r="N1970" s="4" t="s">
        <v>3747</v>
      </c>
      <c r="O1970" s="17" t="str">
        <f>INDEX('список ID из СУЭ с должностями'!$A:$F,MATCH(E1970,'список ID из СУЭ с должностями'!$B:$B,0),5)</f>
        <v>ВИП</v>
      </c>
    </row>
    <row r="1971" spans="1:15" ht="75">
      <c r="A1971" s="3" t="s">
        <v>10</v>
      </c>
      <c r="B1971" s="3" t="s">
        <v>11</v>
      </c>
      <c r="C1971" s="4">
        <v>2026</v>
      </c>
      <c r="D1971" s="5" t="s">
        <v>12</v>
      </c>
      <c r="E1971" s="4">
        <v>273</v>
      </c>
      <c r="F1971" s="4" t="s">
        <v>280</v>
      </c>
      <c r="G1971" s="4" t="s">
        <v>2254</v>
      </c>
      <c r="H1971" s="4" t="s">
        <v>15</v>
      </c>
      <c r="I1971" s="4" t="s">
        <v>191</v>
      </c>
      <c r="J1971" s="4" t="s">
        <v>200</v>
      </c>
      <c r="K1971" s="4" t="s">
        <v>66</v>
      </c>
      <c r="L1971" s="4" t="s">
        <v>3742</v>
      </c>
      <c r="M1971" s="4" t="s">
        <v>3746</v>
      </c>
      <c r="N1971" s="4" t="s">
        <v>3747</v>
      </c>
      <c r="O1971" s="17" t="str">
        <f>INDEX('список ID из СУЭ с должностями'!$A:$F,MATCH(E1971,'список ID из СУЭ с должностями'!$B:$B,0),5)</f>
        <v>ВИП</v>
      </c>
    </row>
    <row r="1972" spans="1:15" ht="285">
      <c r="A1972" s="3" t="s">
        <v>10</v>
      </c>
      <c r="B1972" s="3" t="s">
        <v>11</v>
      </c>
      <c r="C1972" s="4">
        <v>2026</v>
      </c>
      <c r="D1972" s="5" t="s">
        <v>12</v>
      </c>
      <c r="E1972" s="4">
        <v>273</v>
      </c>
      <c r="F1972" s="4" t="s">
        <v>280</v>
      </c>
      <c r="G1972" s="4" t="s">
        <v>2254</v>
      </c>
      <c r="H1972" s="4" t="s">
        <v>15</v>
      </c>
      <c r="I1972" s="4" t="s">
        <v>48</v>
      </c>
      <c r="J1972" s="4" t="s">
        <v>2067</v>
      </c>
      <c r="K1972" s="4" t="s">
        <v>35</v>
      </c>
      <c r="L1972" s="4" t="s">
        <v>3743</v>
      </c>
      <c r="M1972" s="4" t="s">
        <v>3746</v>
      </c>
      <c r="N1972" s="4" t="s">
        <v>3747</v>
      </c>
      <c r="O1972" s="17" t="str">
        <f>INDEX('список ID из СУЭ с должностями'!$A:$F,MATCH(E1972,'список ID из СУЭ с должностями'!$B:$B,0),5)</f>
        <v>ВИП</v>
      </c>
    </row>
    <row r="1973" spans="1:15" ht="409.5">
      <c r="A1973" s="3" t="s">
        <v>10</v>
      </c>
      <c r="B1973" s="3" t="s">
        <v>11</v>
      </c>
      <c r="C1973" s="4">
        <v>2026</v>
      </c>
      <c r="D1973" s="5" t="s">
        <v>12</v>
      </c>
      <c r="E1973" s="4">
        <v>273</v>
      </c>
      <c r="F1973" s="4" t="s">
        <v>280</v>
      </c>
      <c r="G1973" s="4" t="s">
        <v>2254</v>
      </c>
      <c r="H1973" s="4" t="s">
        <v>15</v>
      </c>
      <c r="I1973" s="4" t="s">
        <v>25</v>
      </c>
      <c r="J1973" s="4" t="s">
        <v>1673</v>
      </c>
      <c r="K1973" s="4" t="s">
        <v>25</v>
      </c>
      <c r="L1973" s="4" t="s">
        <v>3743</v>
      </c>
      <c r="M1973" s="4" t="s">
        <v>3746</v>
      </c>
      <c r="N1973" s="4" t="s">
        <v>3747</v>
      </c>
      <c r="O1973" s="17" t="str">
        <f>INDEX('список ID из СУЭ с должностями'!$A:$F,MATCH(E1973,'список ID из СУЭ с должностями'!$B:$B,0),5)</f>
        <v>ВИП</v>
      </c>
    </row>
    <row r="1974" spans="1:15" ht="75">
      <c r="A1974" s="3" t="s">
        <v>10</v>
      </c>
      <c r="B1974" s="3" t="s">
        <v>11</v>
      </c>
      <c r="C1974" s="4">
        <v>2026</v>
      </c>
      <c r="D1974" s="5" t="s">
        <v>12</v>
      </c>
      <c r="E1974" s="4">
        <v>273</v>
      </c>
      <c r="F1974" s="4" t="s">
        <v>280</v>
      </c>
      <c r="G1974" s="4" t="s">
        <v>2254</v>
      </c>
      <c r="H1974" s="4" t="s">
        <v>21</v>
      </c>
      <c r="I1974" s="4" t="s">
        <v>2073</v>
      </c>
      <c r="J1974" s="4" t="s">
        <v>2074</v>
      </c>
      <c r="K1974" s="4" t="s">
        <v>55</v>
      </c>
      <c r="L1974" s="4" t="s">
        <v>3742</v>
      </c>
      <c r="M1974" s="4" t="s">
        <v>3746</v>
      </c>
      <c r="N1974" s="4" t="s">
        <v>3747</v>
      </c>
      <c r="O1974" s="17" t="str">
        <f>INDEX('список ID из СУЭ с должностями'!$A:$F,MATCH(E1974,'список ID из СУЭ с должностями'!$B:$B,0),5)</f>
        <v>ВИП</v>
      </c>
    </row>
    <row r="1975" spans="1:15" ht="120">
      <c r="A1975" s="3" t="s">
        <v>10</v>
      </c>
      <c r="B1975" s="3" t="s">
        <v>11</v>
      </c>
      <c r="C1975" s="4">
        <v>2026</v>
      </c>
      <c r="D1975" s="5" t="s">
        <v>12</v>
      </c>
      <c r="E1975" s="4">
        <v>274</v>
      </c>
      <c r="F1975" s="4" t="s">
        <v>454</v>
      </c>
      <c r="G1975" s="4" t="s">
        <v>455</v>
      </c>
      <c r="H1975" s="4" t="s">
        <v>15</v>
      </c>
      <c r="I1975" s="4" t="s">
        <v>456</v>
      </c>
      <c r="J1975" s="4" t="s">
        <v>457</v>
      </c>
      <c r="K1975" s="4" t="s">
        <v>23</v>
      </c>
      <c r="L1975" s="4" t="s">
        <v>3743</v>
      </c>
      <c r="M1975" s="4" t="s">
        <v>3748</v>
      </c>
      <c r="N1975" s="4" t="s">
        <v>3752</v>
      </c>
      <c r="O1975" s="17">
        <f>INDEX('список ID из СУЭ с должностями'!$A:$F,MATCH(E1975,'список ID из СУЭ с должностями'!$B:$B,0),5)</f>
        <v>0</v>
      </c>
    </row>
    <row r="1976" spans="1:15" ht="375">
      <c r="A1976" s="3" t="s">
        <v>10</v>
      </c>
      <c r="B1976" s="3" t="s">
        <v>11</v>
      </c>
      <c r="C1976" s="4">
        <v>2026</v>
      </c>
      <c r="D1976" s="5" t="s">
        <v>12</v>
      </c>
      <c r="E1976" s="4">
        <v>274</v>
      </c>
      <c r="F1976" s="4" t="s">
        <v>454</v>
      </c>
      <c r="G1976" s="4" t="s">
        <v>455</v>
      </c>
      <c r="H1976" s="4" t="s">
        <v>15</v>
      </c>
      <c r="I1976" s="4" t="s">
        <v>460</v>
      </c>
      <c r="J1976" s="4" t="s">
        <v>461</v>
      </c>
      <c r="K1976" s="4" t="s">
        <v>38</v>
      </c>
      <c r="L1976" s="4" t="s">
        <v>3743</v>
      </c>
      <c r="M1976" s="4" t="s">
        <v>3746</v>
      </c>
      <c r="N1976" s="4" t="s">
        <v>3747</v>
      </c>
      <c r="O1976" s="17">
        <f>INDEX('список ID из СУЭ с должностями'!$A:$F,MATCH(E1976,'список ID из СУЭ с должностями'!$B:$B,0),5)</f>
        <v>0</v>
      </c>
    </row>
    <row r="1977" spans="1:15" ht="120">
      <c r="A1977" s="3" t="s">
        <v>10</v>
      </c>
      <c r="B1977" s="3" t="s">
        <v>11</v>
      </c>
      <c r="C1977" s="4">
        <v>2026</v>
      </c>
      <c r="D1977" s="5" t="s">
        <v>12</v>
      </c>
      <c r="E1977" s="4">
        <v>274</v>
      </c>
      <c r="F1977" s="4" t="s">
        <v>454</v>
      </c>
      <c r="G1977" s="4" t="s">
        <v>455</v>
      </c>
      <c r="H1977" s="4" t="s">
        <v>15</v>
      </c>
      <c r="I1977" s="4" t="s">
        <v>462</v>
      </c>
      <c r="J1977" s="4" t="s">
        <v>463</v>
      </c>
      <c r="K1977" s="4" t="s">
        <v>35</v>
      </c>
      <c r="L1977" s="4" t="s">
        <v>3742</v>
      </c>
      <c r="M1977" s="4" t="s">
        <v>3746</v>
      </c>
      <c r="N1977" s="4" t="s">
        <v>3747</v>
      </c>
      <c r="O1977" s="17">
        <f>INDEX('список ID из СУЭ с должностями'!$A:$F,MATCH(E1977,'список ID из СУЭ с должностями'!$B:$B,0),5)</f>
        <v>0</v>
      </c>
    </row>
    <row r="1978" spans="1:15" ht="409.5">
      <c r="A1978" s="3" t="s">
        <v>10</v>
      </c>
      <c r="B1978" s="3" t="s">
        <v>11</v>
      </c>
      <c r="C1978" s="4">
        <v>2026</v>
      </c>
      <c r="D1978" s="5" t="s">
        <v>12</v>
      </c>
      <c r="E1978" s="4">
        <v>274</v>
      </c>
      <c r="F1978" s="4" t="s">
        <v>454</v>
      </c>
      <c r="G1978" s="4" t="s">
        <v>455</v>
      </c>
      <c r="H1978" s="4" t="s">
        <v>15</v>
      </c>
      <c r="I1978" s="4" t="s">
        <v>464</v>
      </c>
      <c r="J1978" s="4" t="s">
        <v>465</v>
      </c>
      <c r="K1978" s="4" t="s">
        <v>66</v>
      </c>
      <c r="L1978" s="4" t="s">
        <v>3743</v>
      </c>
      <c r="M1978" s="4" t="s">
        <v>3746</v>
      </c>
      <c r="N1978" s="4" t="s">
        <v>3747</v>
      </c>
      <c r="O1978" s="17">
        <f>INDEX('список ID из СУЭ с должностями'!$A:$F,MATCH(E1978,'список ID из СУЭ с должностями'!$B:$B,0),5)</f>
        <v>0</v>
      </c>
    </row>
    <row r="1979" spans="1:15" ht="120">
      <c r="A1979" s="3" t="s">
        <v>10</v>
      </c>
      <c r="B1979" s="3" t="s">
        <v>11</v>
      </c>
      <c r="C1979" s="4">
        <v>2026</v>
      </c>
      <c r="D1979" s="5" t="s">
        <v>12</v>
      </c>
      <c r="E1979" s="4">
        <v>274</v>
      </c>
      <c r="F1979" s="4" t="s">
        <v>454</v>
      </c>
      <c r="G1979" s="4" t="s">
        <v>455</v>
      </c>
      <c r="H1979" s="4" t="s">
        <v>15</v>
      </c>
      <c r="I1979" s="4" t="s">
        <v>466</v>
      </c>
      <c r="J1979" s="4" t="s">
        <v>467</v>
      </c>
      <c r="K1979" s="4" t="s">
        <v>30</v>
      </c>
      <c r="L1979" s="4" t="s">
        <v>3742</v>
      </c>
      <c r="M1979" s="4" t="s">
        <v>3746</v>
      </c>
      <c r="N1979" s="4" t="s">
        <v>3747</v>
      </c>
      <c r="O1979" s="17">
        <f>INDEX('список ID из СУЭ с должностями'!$A:$F,MATCH(E1979,'список ID из СУЭ с должностями'!$B:$B,0),5)</f>
        <v>0</v>
      </c>
    </row>
    <row r="1980" spans="1:15" ht="120">
      <c r="A1980" s="3" t="s">
        <v>10</v>
      </c>
      <c r="B1980" s="3" t="s">
        <v>11</v>
      </c>
      <c r="C1980" s="4">
        <v>2026</v>
      </c>
      <c r="D1980" s="5" t="s">
        <v>12</v>
      </c>
      <c r="E1980" s="4">
        <v>274</v>
      </c>
      <c r="F1980" s="4" t="s">
        <v>454</v>
      </c>
      <c r="G1980" s="4" t="s">
        <v>455</v>
      </c>
      <c r="H1980" s="4" t="s">
        <v>15</v>
      </c>
      <c r="I1980" s="4" t="s">
        <v>468</v>
      </c>
      <c r="J1980" s="4" t="s">
        <v>79</v>
      </c>
      <c r="K1980" s="4" t="s">
        <v>30</v>
      </c>
      <c r="L1980" s="4" t="s">
        <v>3742</v>
      </c>
      <c r="M1980" s="4" t="s">
        <v>3746</v>
      </c>
      <c r="N1980" s="4" t="s">
        <v>3747</v>
      </c>
      <c r="O1980" s="17">
        <f>INDEX('список ID из СУЭ с должностями'!$A:$F,MATCH(E1980,'список ID из СУЭ с должностями'!$B:$B,0),5)</f>
        <v>0</v>
      </c>
    </row>
    <row r="1981" spans="1:15" ht="210">
      <c r="A1981" s="3" t="s">
        <v>10</v>
      </c>
      <c r="B1981" s="3" t="s">
        <v>11</v>
      </c>
      <c r="C1981" s="4">
        <v>2026</v>
      </c>
      <c r="D1981" s="5" t="s">
        <v>12</v>
      </c>
      <c r="E1981" s="4">
        <v>274</v>
      </c>
      <c r="F1981" s="4" t="s">
        <v>454</v>
      </c>
      <c r="G1981" s="4" t="s">
        <v>455</v>
      </c>
      <c r="H1981" s="4" t="s">
        <v>15</v>
      </c>
      <c r="I1981" s="4" t="s">
        <v>469</v>
      </c>
      <c r="J1981" s="4" t="s">
        <v>470</v>
      </c>
      <c r="K1981" s="4" t="s">
        <v>30</v>
      </c>
      <c r="L1981" s="4" t="s">
        <v>3743</v>
      </c>
      <c r="M1981" s="4" t="s">
        <v>3746</v>
      </c>
      <c r="N1981" s="4" t="s">
        <v>3747</v>
      </c>
      <c r="O1981" s="17">
        <f>INDEX('список ID из СУЭ с должностями'!$A:$F,MATCH(E1981,'список ID из СУЭ с должностями'!$B:$B,0),5)</f>
        <v>0</v>
      </c>
    </row>
    <row r="1982" spans="1:15" ht="120">
      <c r="A1982" s="3" t="s">
        <v>10</v>
      </c>
      <c r="B1982" s="3" t="s">
        <v>11</v>
      </c>
      <c r="C1982" s="4">
        <v>2026</v>
      </c>
      <c r="D1982" s="5" t="s">
        <v>12</v>
      </c>
      <c r="E1982" s="4">
        <v>274</v>
      </c>
      <c r="F1982" s="4" t="s">
        <v>454</v>
      </c>
      <c r="G1982" s="4" t="s">
        <v>455</v>
      </c>
      <c r="H1982" s="4" t="s">
        <v>15</v>
      </c>
      <c r="I1982" s="4" t="s">
        <v>471</v>
      </c>
      <c r="J1982" s="4" t="s">
        <v>463</v>
      </c>
      <c r="K1982" s="4" t="s">
        <v>188</v>
      </c>
      <c r="L1982" s="4" t="s">
        <v>3742</v>
      </c>
      <c r="M1982" s="4" t="s">
        <v>3746</v>
      </c>
      <c r="N1982" s="4" t="s">
        <v>3747</v>
      </c>
      <c r="O1982" s="17">
        <f>INDEX('список ID из СУЭ с должностями'!$A:$F,MATCH(E1982,'список ID из СУЭ с должностями'!$B:$B,0),5)</f>
        <v>0</v>
      </c>
    </row>
    <row r="1983" spans="1:15" ht="409.5">
      <c r="A1983" s="3" t="s">
        <v>10</v>
      </c>
      <c r="B1983" s="3" t="s">
        <v>11</v>
      </c>
      <c r="C1983" s="4">
        <v>2026</v>
      </c>
      <c r="D1983" s="5" t="s">
        <v>12</v>
      </c>
      <c r="E1983" s="4">
        <v>274</v>
      </c>
      <c r="F1983" s="4" t="s">
        <v>454</v>
      </c>
      <c r="G1983" s="4" t="s">
        <v>455</v>
      </c>
      <c r="H1983" s="4" t="s">
        <v>15</v>
      </c>
      <c r="I1983" s="4" t="s">
        <v>472</v>
      </c>
      <c r="J1983" s="4" t="s">
        <v>473</v>
      </c>
      <c r="K1983" s="4" t="s">
        <v>25</v>
      </c>
      <c r="L1983" s="4" t="s">
        <v>3743</v>
      </c>
      <c r="M1983" s="4" t="s">
        <v>3746</v>
      </c>
      <c r="N1983" s="4" t="s">
        <v>3747</v>
      </c>
      <c r="O1983" s="17">
        <f>INDEX('список ID из СУЭ с должностями'!$A:$F,MATCH(E1983,'список ID из СУЭ с должностями'!$B:$B,0),5)</f>
        <v>0</v>
      </c>
    </row>
    <row r="1984" spans="1:15" ht="150">
      <c r="A1984" s="3" t="s">
        <v>10</v>
      </c>
      <c r="B1984" s="3" t="s">
        <v>11</v>
      </c>
      <c r="C1984" s="4">
        <v>2026</v>
      </c>
      <c r="D1984" s="5" t="s">
        <v>12</v>
      </c>
      <c r="E1984" s="4">
        <v>275</v>
      </c>
      <c r="F1984" s="4" t="s">
        <v>454</v>
      </c>
      <c r="G1984" s="4" t="s">
        <v>2256</v>
      </c>
      <c r="H1984" s="4" t="s">
        <v>15</v>
      </c>
      <c r="I1984" s="4" t="s">
        <v>456</v>
      </c>
      <c r="J1984" s="4" t="s">
        <v>457</v>
      </c>
      <c r="K1984" s="4" t="s">
        <v>23</v>
      </c>
      <c r="L1984" s="4" t="s">
        <v>3743</v>
      </c>
      <c r="M1984" s="4" t="s">
        <v>3748</v>
      </c>
      <c r="N1984" s="4" t="s">
        <v>3752</v>
      </c>
      <c r="O1984" s="17">
        <f>INDEX('список ID из СУЭ с должностями'!$A:$F,MATCH(E1984,'список ID из СУЭ с должностями'!$B:$B,0),5)</f>
        <v>0</v>
      </c>
    </row>
    <row r="1985" spans="1:15" ht="375">
      <c r="A1985" s="3" t="s">
        <v>10</v>
      </c>
      <c r="B1985" s="3" t="s">
        <v>11</v>
      </c>
      <c r="C1985" s="4">
        <v>2026</v>
      </c>
      <c r="D1985" s="5" t="s">
        <v>12</v>
      </c>
      <c r="E1985" s="4">
        <v>275</v>
      </c>
      <c r="F1985" s="4" t="s">
        <v>454</v>
      </c>
      <c r="G1985" s="4" t="s">
        <v>2256</v>
      </c>
      <c r="H1985" s="4" t="s">
        <v>15</v>
      </c>
      <c r="I1985" s="4" t="s">
        <v>460</v>
      </c>
      <c r="J1985" s="4" t="s">
        <v>461</v>
      </c>
      <c r="K1985" s="4" t="s">
        <v>38</v>
      </c>
      <c r="L1985" s="4" t="s">
        <v>3743</v>
      </c>
      <c r="M1985" s="4" t="s">
        <v>3746</v>
      </c>
      <c r="N1985" s="4" t="s">
        <v>3747</v>
      </c>
      <c r="O1985" s="17">
        <f>INDEX('список ID из СУЭ с должностями'!$A:$F,MATCH(E1985,'список ID из СУЭ с должностями'!$B:$B,0),5)</f>
        <v>0</v>
      </c>
    </row>
    <row r="1986" spans="1:15" ht="150">
      <c r="A1986" s="3" t="s">
        <v>10</v>
      </c>
      <c r="B1986" s="3" t="s">
        <v>11</v>
      </c>
      <c r="C1986" s="4">
        <v>2026</v>
      </c>
      <c r="D1986" s="5" t="s">
        <v>12</v>
      </c>
      <c r="E1986" s="4">
        <v>275</v>
      </c>
      <c r="F1986" s="4" t="s">
        <v>454</v>
      </c>
      <c r="G1986" s="4" t="s">
        <v>2256</v>
      </c>
      <c r="H1986" s="4" t="s">
        <v>15</v>
      </c>
      <c r="I1986" s="4" t="s">
        <v>462</v>
      </c>
      <c r="J1986" s="4" t="s">
        <v>463</v>
      </c>
      <c r="K1986" s="4" t="s">
        <v>35</v>
      </c>
      <c r="L1986" s="4" t="s">
        <v>3742</v>
      </c>
      <c r="M1986" s="4" t="s">
        <v>3746</v>
      </c>
      <c r="N1986" s="4" t="s">
        <v>3747</v>
      </c>
      <c r="O1986" s="17">
        <f>INDEX('список ID из СУЭ с должностями'!$A:$F,MATCH(E1986,'список ID из СУЭ с должностями'!$B:$B,0),5)</f>
        <v>0</v>
      </c>
    </row>
    <row r="1987" spans="1:15" ht="409.5">
      <c r="A1987" s="3" t="s">
        <v>10</v>
      </c>
      <c r="B1987" s="3" t="s">
        <v>11</v>
      </c>
      <c r="C1987" s="4">
        <v>2026</v>
      </c>
      <c r="D1987" s="5" t="s">
        <v>12</v>
      </c>
      <c r="E1987" s="4">
        <v>275</v>
      </c>
      <c r="F1987" s="4" t="s">
        <v>454</v>
      </c>
      <c r="G1987" s="4" t="s">
        <v>2256</v>
      </c>
      <c r="H1987" s="4" t="s">
        <v>15</v>
      </c>
      <c r="I1987" s="4" t="s">
        <v>464</v>
      </c>
      <c r="J1987" s="4" t="s">
        <v>1784</v>
      </c>
      <c r="K1987" s="4" t="s">
        <v>66</v>
      </c>
      <c r="L1987" s="4" t="s">
        <v>3743</v>
      </c>
      <c r="M1987" s="4" t="s">
        <v>3746</v>
      </c>
      <c r="N1987" s="4" t="s">
        <v>3747</v>
      </c>
      <c r="O1987" s="17">
        <f>INDEX('список ID из СУЭ с должностями'!$A:$F,MATCH(E1987,'список ID из СУЭ с должностями'!$B:$B,0),5)</f>
        <v>0</v>
      </c>
    </row>
    <row r="1988" spans="1:15" ht="150">
      <c r="A1988" s="3" t="s">
        <v>10</v>
      </c>
      <c r="B1988" s="3" t="s">
        <v>11</v>
      </c>
      <c r="C1988" s="4">
        <v>2026</v>
      </c>
      <c r="D1988" s="5" t="s">
        <v>12</v>
      </c>
      <c r="E1988" s="4">
        <v>275</v>
      </c>
      <c r="F1988" s="4" t="s">
        <v>454</v>
      </c>
      <c r="G1988" s="4" t="s">
        <v>2256</v>
      </c>
      <c r="H1988" s="4" t="s">
        <v>15</v>
      </c>
      <c r="I1988" s="4" t="s">
        <v>466</v>
      </c>
      <c r="J1988" s="4" t="s">
        <v>467</v>
      </c>
      <c r="K1988" s="4" t="s">
        <v>30</v>
      </c>
      <c r="L1988" s="4" t="s">
        <v>3742</v>
      </c>
      <c r="M1988" s="4" t="s">
        <v>3746</v>
      </c>
      <c r="N1988" s="4" t="s">
        <v>3747</v>
      </c>
      <c r="O1988" s="17">
        <f>INDEX('список ID из СУЭ с должностями'!$A:$F,MATCH(E1988,'список ID из СУЭ с должностями'!$B:$B,0),5)</f>
        <v>0</v>
      </c>
    </row>
    <row r="1989" spans="1:15" ht="210">
      <c r="A1989" s="3" t="s">
        <v>10</v>
      </c>
      <c r="B1989" s="3" t="s">
        <v>11</v>
      </c>
      <c r="C1989" s="4">
        <v>2026</v>
      </c>
      <c r="D1989" s="5" t="s">
        <v>12</v>
      </c>
      <c r="E1989" s="4">
        <v>275</v>
      </c>
      <c r="F1989" s="4" t="s">
        <v>454</v>
      </c>
      <c r="G1989" s="4" t="s">
        <v>2256</v>
      </c>
      <c r="H1989" s="4" t="s">
        <v>15</v>
      </c>
      <c r="I1989" s="4" t="s">
        <v>469</v>
      </c>
      <c r="J1989" s="4" t="s">
        <v>470</v>
      </c>
      <c r="K1989" s="4" t="s">
        <v>30</v>
      </c>
      <c r="L1989" s="4" t="s">
        <v>3743</v>
      </c>
      <c r="M1989" s="4" t="s">
        <v>3746</v>
      </c>
      <c r="N1989" s="4" t="s">
        <v>3747</v>
      </c>
      <c r="O1989" s="17">
        <f>INDEX('список ID из СУЭ с должностями'!$A:$F,MATCH(E1989,'список ID из СУЭ с должностями'!$B:$B,0),5)</f>
        <v>0</v>
      </c>
    </row>
    <row r="1990" spans="1:15" ht="409.5">
      <c r="A1990" s="3" t="s">
        <v>10</v>
      </c>
      <c r="B1990" s="3" t="s">
        <v>11</v>
      </c>
      <c r="C1990" s="4">
        <v>2026</v>
      </c>
      <c r="D1990" s="5" t="s">
        <v>12</v>
      </c>
      <c r="E1990" s="4">
        <v>275</v>
      </c>
      <c r="F1990" s="4" t="s">
        <v>454</v>
      </c>
      <c r="G1990" s="4" t="s">
        <v>2256</v>
      </c>
      <c r="H1990" s="4" t="s">
        <v>15</v>
      </c>
      <c r="I1990" s="4" t="s">
        <v>472</v>
      </c>
      <c r="J1990" s="4" t="s">
        <v>1783</v>
      </c>
      <c r="K1990" s="4" t="s">
        <v>25</v>
      </c>
      <c r="L1990" s="4" t="s">
        <v>3743</v>
      </c>
      <c r="M1990" s="4" t="s">
        <v>3746</v>
      </c>
      <c r="N1990" s="4" t="s">
        <v>3747</v>
      </c>
      <c r="O1990" s="17">
        <f>INDEX('список ID из СУЭ с должностями'!$A:$F,MATCH(E1990,'список ID из СУЭ с должностями'!$B:$B,0),5)</f>
        <v>0</v>
      </c>
    </row>
    <row r="1991" spans="1:15" ht="150">
      <c r="A1991" s="3" t="s">
        <v>10</v>
      </c>
      <c r="B1991" s="3" t="s">
        <v>11</v>
      </c>
      <c r="C1991" s="4">
        <v>2026</v>
      </c>
      <c r="D1991" s="5" t="s">
        <v>12</v>
      </c>
      <c r="E1991" s="4">
        <v>275</v>
      </c>
      <c r="F1991" s="4" t="s">
        <v>454</v>
      </c>
      <c r="G1991" s="4" t="s">
        <v>2256</v>
      </c>
      <c r="H1991" s="4" t="s">
        <v>15</v>
      </c>
      <c r="I1991" s="4" t="s">
        <v>471</v>
      </c>
      <c r="J1991" s="4" t="s">
        <v>463</v>
      </c>
      <c r="K1991" s="4" t="s">
        <v>188</v>
      </c>
      <c r="L1991" s="4" t="s">
        <v>3742</v>
      </c>
      <c r="M1991" s="4" t="s">
        <v>3746</v>
      </c>
      <c r="N1991" s="4" t="s">
        <v>3747</v>
      </c>
      <c r="O1991" s="17">
        <f>INDEX('список ID из СУЭ с должностями'!$A:$F,MATCH(E1991,'список ID из СУЭ с должностями'!$B:$B,0),5)</f>
        <v>0</v>
      </c>
    </row>
    <row r="1992" spans="1:15" ht="150">
      <c r="A1992" s="3" t="s">
        <v>10</v>
      </c>
      <c r="B1992" s="3" t="s">
        <v>11</v>
      </c>
      <c r="C1992" s="4">
        <v>2026</v>
      </c>
      <c r="D1992" s="5" t="s">
        <v>12</v>
      </c>
      <c r="E1992" s="4">
        <v>275</v>
      </c>
      <c r="F1992" s="4" t="s">
        <v>454</v>
      </c>
      <c r="G1992" s="4" t="s">
        <v>2256</v>
      </c>
      <c r="H1992" s="4" t="s">
        <v>15</v>
      </c>
      <c r="I1992" s="4" t="s">
        <v>468</v>
      </c>
      <c r="J1992" s="4" t="s">
        <v>79</v>
      </c>
      <c r="K1992" s="4" t="s">
        <v>30</v>
      </c>
      <c r="L1992" s="4" t="s">
        <v>3742</v>
      </c>
      <c r="M1992" s="4" t="s">
        <v>3746</v>
      </c>
      <c r="N1992" s="4" t="s">
        <v>3747</v>
      </c>
      <c r="O1992" s="17">
        <f>INDEX('список ID из СУЭ с должностями'!$A:$F,MATCH(E1992,'список ID из СУЭ с должностями'!$B:$B,0),5)</f>
        <v>0</v>
      </c>
    </row>
    <row r="1993" spans="1:15" ht="150">
      <c r="A1993" s="3" t="s">
        <v>10</v>
      </c>
      <c r="B1993" s="3" t="s">
        <v>11</v>
      </c>
      <c r="C1993" s="4">
        <v>2026</v>
      </c>
      <c r="D1993" s="5" t="s">
        <v>12</v>
      </c>
      <c r="E1993" s="4">
        <v>276</v>
      </c>
      <c r="F1993" s="4" t="s">
        <v>239</v>
      </c>
      <c r="G1993" s="4" t="s">
        <v>2257</v>
      </c>
      <c r="H1993" s="4" t="s">
        <v>41</v>
      </c>
      <c r="I1993" s="4" t="s">
        <v>42</v>
      </c>
      <c r="J1993" s="4" t="s">
        <v>43</v>
      </c>
      <c r="K1993" s="4" t="s">
        <v>25</v>
      </c>
      <c r="L1993" s="4" t="s">
        <v>3743</v>
      </c>
      <c r="M1993" s="4" t="s">
        <v>3746</v>
      </c>
      <c r="N1993" s="4" t="s">
        <v>3747</v>
      </c>
      <c r="O1993" s="17" t="str">
        <f>INDEX('список ID из СУЭ с должностями'!$A:$F,MATCH(E1993,'список ID из СУЭ с должностями'!$B:$B,0),5)</f>
        <v>ИПП</v>
      </c>
    </row>
    <row r="1994" spans="1:15" ht="105">
      <c r="A1994" s="3" t="s">
        <v>10</v>
      </c>
      <c r="B1994" s="3" t="s">
        <v>11</v>
      </c>
      <c r="C1994" s="4">
        <v>2026</v>
      </c>
      <c r="D1994" s="5" t="s">
        <v>12</v>
      </c>
      <c r="E1994" s="4">
        <v>276</v>
      </c>
      <c r="F1994" s="4" t="s">
        <v>239</v>
      </c>
      <c r="G1994" s="4" t="s">
        <v>2257</v>
      </c>
      <c r="H1994" s="4" t="s">
        <v>15</v>
      </c>
      <c r="I1994" s="4" t="s">
        <v>1398</v>
      </c>
      <c r="J1994" s="4" t="s">
        <v>1399</v>
      </c>
      <c r="K1994" s="4" t="s">
        <v>188</v>
      </c>
      <c r="L1994" s="4" t="s">
        <v>3743</v>
      </c>
      <c r="M1994" s="4" t="s">
        <v>3746</v>
      </c>
      <c r="N1994" s="4" t="s">
        <v>3747</v>
      </c>
      <c r="O1994" s="17" t="str">
        <f>INDEX('список ID из СУЭ с должностями'!$A:$F,MATCH(E1994,'список ID из СУЭ с должностями'!$B:$B,0),5)</f>
        <v>ИПП</v>
      </c>
    </row>
    <row r="1995" spans="1:15" ht="105">
      <c r="A1995" s="3" t="s">
        <v>10</v>
      </c>
      <c r="B1995" s="3" t="s">
        <v>11</v>
      </c>
      <c r="C1995" s="4">
        <v>2026</v>
      </c>
      <c r="D1995" s="5" t="s">
        <v>12</v>
      </c>
      <c r="E1995" s="4">
        <v>276</v>
      </c>
      <c r="F1995" s="4" t="s">
        <v>239</v>
      </c>
      <c r="G1995" s="4" t="s">
        <v>2257</v>
      </c>
      <c r="H1995" s="4" t="s">
        <v>15</v>
      </c>
      <c r="I1995" s="4" t="s">
        <v>1400</v>
      </c>
      <c r="J1995" s="4" t="s">
        <v>1401</v>
      </c>
      <c r="K1995" s="4" t="s">
        <v>66</v>
      </c>
      <c r="L1995" s="4" t="s">
        <v>3742</v>
      </c>
      <c r="M1995" s="4" t="s">
        <v>3746</v>
      </c>
      <c r="N1995" s="4" t="s">
        <v>3747</v>
      </c>
      <c r="O1995" s="17" t="str">
        <f>INDEX('список ID из СУЭ с должностями'!$A:$F,MATCH(E1995,'список ID из СУЭ с должностями'!$B:$B,0),5)</f>
        <v>ИПП</v>
      </c>
    </row>
    <row r="1996" spans="1:15" ht="105">
      <c r="A1996" s="3" t="s">
        <v>10</v>
      </c>
      <c r="B1996" s="3" t="s">
        <v>11</v>
      </c>
      <c r="C1996" s="4">
        <v>2026</v>
      </c>
      <c r="D1996" s="5" t="s">
        <v>12</v>
      </c>
      <c r="E1996" s="4">
        <v>276</v>
      </c>
      <c r="F1996" s="4" t="s">
        <v>239</v>
      </c>
      <c r="G1996" s="4" t="s">
        <v>2257</v>
      </c>
      <c r="H1996" s="4" t="s">
        <v>15</v>
      </c>
      <c r="I1996" s="4" t="s">
        <v>1402</v>
      </c>
      <c r="J1996" s="4" t="s">
        <v>1403</v>
      </c>
      <c r="K1996" s="4" t="s">
        <v>35</v>
      </c>
      <c r="L1996" s="4" t="s">
        <v>3743</v>
      </c>
      <c r="M1996" s="4" t="s">
        <v>3746</v>
      </c>
      <c r="N1996" s="4" t="s">
        <v>3747</v>
      </c>
      <c r="O1996" s="17" t="str">
        <f>INDEX('список ID из СУЭ с должностями'!$A:$F,MATCH(E1996,'список ID из СУЭ с должностями'!$B:$B,0),5)</f>
        <v>ИПП</v>
      </c>
    </row>
    <row r="1997" spans="1:15" ht="105">
      <c r="A1997" s="3" t="s">
        <v>10</v>
      </c>
      <c r="B1997" s="3" t="s">
        <v>11</v>
      </c>
      <c r="C1997" s="4">
        <v>2026</v>
      </c>
      <c r="D1997" s="5" t="s">
        <v>12</v>
      </c>
      <c r="E1997" s="4">
        <v>276</v>
      </c>
      <c r="F1997" s="4" t="s">
        <v>239</v>
      </c>
      <c r="G1997" s="4" t="s">
        <v>2257</v>
      </c>
      <c r="H1997" s="4" t="s">
        <v>15</v>
      </c>
      <c r="I1997" s="4" t="s">
        <v>1702</v>
      </c>
      <c r="J1997" s="4" t="s">
        <v>132</v>
      </c>
      <c r="K1997" s="4" t="s">
        <v>38</v>
      </c>
      <c r="L1997" s="4" t="s">
        <v>3742</v>
      </c>
      <c r="M1997" s="4" t="s">
        <v>3746</v>
      </c>
      <c r="N1997" s="4" t="s">
        <v>3747</v>
      </c>
      <c r="O1997" s="17" t="str">
        <f>INDEX('список ID из СУЭ с должностями'!$A:$F,MATCH(E1997,'список ID из СУЭ с должностями'!$B:$B,0),5)</f>
        <v>ИПП</v>
      </c>
    </row>
    <row r="1998" spans="1:15" ht="105">
      <c r="A1998" s="3" t="s">
        <v>10</v>
      </c>
      <c r="B1998" s="3" t="s">
        <v>11</v>
      </c>
      <c r="C1998" s="4">
        <v>2026</v>
      </c>
      <c r="D1998" s="5" t="s">
        <v>12</v>
      </c>
      <c r="E1998" s="4">
        <v>276</v>
      </c>
      <c r="F1998" s="4" t="s">
        <v>239</v>
      </c>
      <c r="G1998" s="4" t="s">
        <v>2257</v>
      </c>
      <c r="H1998" s="4" t="s">
        <v>21</v>
      </c>
      <c r="I1998" s="4" t="s">
        <v>1404</v>
      </c>
      <c r="J1998" s="4" t="s">
        <v>1405</v>
      </c>
      <c r="K1998" s="4" t="s">
        <v>38</v>
      </c>
      <c r="L1998" s="4" t="s">
        <v>3743</v>
      </c>
      <c r="M1998" s="4" t="s">
        <v>3746</v>
      </c>
      <c r="N1998" s="4" t="s">
        <v>3747</v>
      </c>
      <c r="O1998" s="17" t="str">
        <f>INDEX('список ID из СУЭ с должностями'!$A:$F,MATCH(E1998,'список ID из СУЭ с должностями'!$B:$B,0),5)</f>
        <v>ИПП</v>
      </c>
    </row>
    <row r="1999" spans="1:15" ht="105">
      <c r="A1999" s="3" t="s">
        <v>10</v>
      </c>
      <c r="B1999" s="3" t="s">
        <v>11</v>
      </c>
      <c r="C1999" s="4">
        <v>2026</v>
      </c>
      <c r="D1999" s="5" t="s">
        <v>12</v>
      </c>
      <c r="E1999" s="4">
        <v>276</v>
      </c>
      <c r="F1999" s="4" t="s">
        <v>239</v>
      </c>
      <c r="G1999" s="4" t="s">
        <v>2257</v>
      </c>
      <c r="H1999" s="4" t="s">
        <v>15</v>
      </c>
      <c r="I1999" s="4" t="s">
        <v>1406</v>
      </c>
      <c r="J1999" s="4" t="s">
        <v>196</v>
      </c>
      <c r="K1999" s="4" t="s">
        <v>188</v>
      </c>
      <c r="L1999" s="4" t="s">
        <v>3742</v>
      </c>
      <c r="M1999" s="4" t="s">
        <v>3746</v>
      </c>
      <c r="N1999" s="4" t="s">
        <v>3747</v>
      </c>
      <c r="O1999" s="17" t="str">
        <f>INDEX('список ID из СУЭ с должностями'!$A:$F,MATCH(E1999,'список ID из СУЭ с должностями'!$B:$B,0),5)</f>
        <v>ИПП</v>
      </c>
    </row>
    <row r="2000" spans="1:15" ht="105">
      <c r="A2000" s="3" t="s">
        <v>10</v>
      </c>
      <c r="B2000" s="3" t="s">
        <v>11</v>
      </c>
      <c r="C2000" s="4">
        <v>2026</v>
      </c>
      <c r="D2000" s="5" t="s">
        <v>12</v>
      </c>
      <c r="E2000" s="4">
        <v>276</v>
      </c>
      <c r="F2000" s="4" t="s">
        <v>239</v>
      </c>
      <c r="G2000" s="4" t="s">
        <v>2257</v>
      </c>
      <c r="H2000" s="4" t="s">
        <v>15</v>
      </c>
      <c r="I2000" s="4" t="s">
        <v>1408</v>
      </c>
      <c r="J2000" s="4" t="s">
        <v>182</v>
      </c>
      <c r="K2000" s="4" t="s">
        <v>55</v>
      </c>
      <c r="L2000" s="4" t="s">
        <v>3742</v>
      </c>
      <c r="M2000" s="4" t="s">
        <v>3746</v>
      </c>
      <c r="N2000" s="4" t="s">
        <v>3747</v>
      </c>
      <c r="O2000" s="17" t="str">
        <f>INDEX('список ID из СУЭ с должностями'!$A:$F,MATCH(E2000,'список ID из СУЭ с должностями'!$B:$B,0),5)</f>
        <v>ИПП</v>
      </c>
    </row>
    <row r="2001" spans="1:15" ht="150">
      <c r="A2001" s="3" t="s">
        <v>10</v>
      </c>
      <c r="B2001" s="3" t="s">
        <v>11</v>
      </c>
      <c r="C2001" s="4">
        <v>2026</v>
      </c>
      <c r="D2001" s="5" t="s">
        <v>12</v>
      </c>
      <c r="E2001" s="4">
        <v>276</v>
      </c>
      <c r="F2001" s="4" t="s">
        <v>239</v>
      </c>
      <c r="G2001" s="4" t="s">
        <v>2257</v>
      </c>
      <c r="H2001" s="4" t="s">
        <v>21</v>
      </c>
      <c r="I2001" s="4" t="s">
        <v>829</v>
      </c>
      <c r="J2001" s="4" t="s">
        <v>2258</v>
      </c>
      <c r="K2001" s="4" t="s">
        <v>20</v>
      </c>
      <c r="L2001" s="4" t="s">
        <v>3743</v>
      </c>
      <c r="M2001" s="4" t="s">
        <v>3746</v>
      </c>
      <c r="N2001" s="4" t="s">
        <v>3747</v>
      </c>
      <c r="O2001" s="17" t="str">
        <f>INDEX('список ID из СУЭ с должностями'!$A:$F,MATCH(E2001,'список ID из СУЭ с должностями'!$B:$B,0),5)</f>
        <v>ИПП</v>
      </c>
    </row>
    <row r="2002" spans="1:15" ht="225">
      <c r="A2002" s="3" t="s">
        <v>10</v>
      </c>
      <c r="B2002" s="3" t="s">
        <v>11</v>
      </c>
      <c r="C2002" s="4">
        <v>2026</v>
      </c>
      <c r="D2002" s="5" t="s">
        <v>12</v>
      </c>
      <c r="E2002" s="4">
        <v>276</v>
      </c>
      <c r="F2002" s="4" t="s">
        <v>239</v>
      </c>
      <c r="G2002" s="4" t="s">
        <v>2257</v>
      </c>
      <c r="H2002" s="4" t="s">
        <v>15</v>
      </c>
      <c r="I2002" s="4" t="s">
        <v>48</v>
      </c>
      <c r="J2002" s="4" t="s">
        <v>1410</v>
      </c>
      <c r="K2002" s="4" t="s">
        <v>35</v>
      </c>
      <c r="L2002" s="4" t="s">
        <v>3743</v>
      </c>
      <c r="M2002" s="4" t="s">
        <v>3746</v>
      </c>
      <c r="N2002" s="4" t="s">
        <v>3747</v>
      </c>
      <c r="O2002" s="17" t="str">
        <f>INDEX('список ID из СУЭ с должностями'!$A:$F,MATCH(E2002,'список ID из СУЭ с должностями'!$B:$B,0),5)</f>
        <v>ИПП</v>
      </c>
    </row>
    <row r="2003" spans="1:15" ht="165">
      <c r="A2003" s="3" t="s">
        <v>10</v>
      </c>
      <c r="B2003" s="3" t="s">
        <v>11</v>
      </c>
      <c r="C2003" s="4">
        <v>2026</v>
      </c>
      <c r="D2003" s="5" t="s">
        <v>12</v>
      </c>
      <c r="E2003" s="4">
        <v>277</v>
      </c>
      <c r="F2003" s="4" t="s">
        <v>454</v>
      </c>
      <c r="G2003" s="4" t="s">
        <v>1144</v>
      </c>
      <c r="H2003" s="4" t="s">
        <v>21</v>
      </c>
      <c r="I2003" s="4" t="s">
        <v>809</v>
      </c>
      <c r="J2003" s="4" t="s">
        <v>1146</v>
      </c>
      <c r="K2003" s="4" t="s">
        <v>52</v>
      </c>
      <c r="L2003" s="4" t="s">
        <v>3743</v>
      </c>
      <c r="M2003" s="4" t="s">
        <v>3746</v>
      </c>
      <c r="N2003" s="4" t="s">
        <v>3747</v>
      </c>
      <c r="O2003" s="17">
        <f>INDEX('список ID из СУЭ с должностями'!$A:$F,MATCH(E2003,'список ID из СУЭ с должностями'!$B:$B,0),5)</f>
        <v>0</v>
      </c>
    </row>
    <row r="2004" spans="1:15" ht="135">
      <c r="A2004" s="3" t="s">
        <v>10</v>
      </c>
      <c r="B2004" s="3" t="s">
        <v>11</v>
      </c>
      <c r="C2004" s="4">
        <v>2026</v>
      </c>
      <c r="D2004" s="5" t="s">
        <v>12</v>
      </c>
      <c r="E2004" s="4">
        <v>277</v>
      </c>
      <c r="F2004" s="4" t="s">
        <v>454</v>
      </c>
      <c r="G2004" s="4" t="s">
        <v>1144</v>
      </c>
      <c r="H2004" s="4" t="s">
        <v>21</v>
      </c>
      <c r="I2004" s="4" t="s">
        <v>303</v>
      </c>
      <c r="J2004" s="4" t="s">
        <v>1147</v>
      </c>
      <c r="K2004" s="4" t="s">
        <v>66</v>
      </c>
      <c r="L2004" s="4" t="s">
        <v>3743</v>
      </c>
      <c r="M2004" s="4" t="s">
        <v>3746</v>
      </c>
      <c r="N2004" s="4" t="s">
        <v>3747</v>
      </c>
      <c r="O2004" s="17">
        <f>INDEX('список ID из СУЭ с должностями'!$A:$F,MATCH(E2004,'список ID из СУЭ с должностями'!$B:$B,0),5)</f>
        <v>0</v>
      </c>
    </row>
    <row r="2005" spans="1:15" ht="135">
      <c r="A2005" s="3" t="s">
        <v>10</v>
      </c>
      <c r="B2005" s="3" t="s">
        <v>11</v>
      </c>
      <c r="C2005" s="4">
        <v>2026</v>
      </c>
      <c r="D2005" s="5" t="s">
        <v>12</v>
      </c>
      <c r="E2005" s="4">
        <v>277</v>
      </c>
      <c r="F2005" s="4" t="s">
        <v>454</v>
      </c>
      <c r="G2005" s="4" t="s">
        <v>1144</v>
      </c>
      <c r="H2005" s="4" t="s">
        <v>21</v>
      </c>
      <c r="I2005" s="4" t="s">
        <v>147</v>
      </c>
      <c r="J2005" s="4" t="s">
        <v>1148</v>
      </c>
      <c r="K2005" s="4" t="s">
        <v>35</v>
      </c>
      <c r="L2005" s="4" t="s">
        <v>3743</v>
      </c>
      <c r="M2005" s="4" t="s">
        <v>3746</v>
      </c>
      <c r="N2005" s="4" t="s">
        <v>3747</v>
      </c>
      <c r="O2005" s="17">
        <f>INDEX('список ID из СУЭ с должностями'!$A:$F,MATCH(E2005,'список ID из СУЭ с должностями'!$B:$B,0),5)</f>
        <v>0</v>
      </c>
    </row>
    <row r="2006" spans="1:15" ht="195">
      <c r="A2006" s="3" t="s">
        <v>10</v>
      </c>
      <c r="B2006" s="3" t="s">
        <v>11</v>
      </c>
      <c r="C2006" s="4">
        <v>2026</v>
      </c>
      <c r="D2006" s="5" t="s">
        <v>12</v>
      </c>
      <c r="E2006" s="4">
        <v>277</v>
      </c>
      <c r="F2006" s="4" t="s">
        <v>454</v>
      </c>
      <c r="G2006" s="4" t="s">
        <v>1144</v>
      </c>
      <c r="H2006" s="4" t="s">
        <v>21</v>
      </c>
      <c r="I2006" s="4" t="s">
        <v>855</v>
      </c>
      <c r="J2006" s="4" t="s">
        <v>1149</v>
      </c>
      <c r="K2006" s="4" t="s">
        <v>20</v>
      </c>
      <c r="L2006" s="4" t="s">
        <v>3743</v>
      </c>
      <c r="M2006" s="4" t="s">
        <v>3746</v>
      </c>
      <c r="N2006" s="4" t="s">
        <v>3747</v>
      </c>
      <c r="O2006" s="17">
        <f>INDEX('список ID из СУЭ с должностями'!$A:$F,MATCH(E2006,'список ID из СУЭ с должностями'!$B:$B,0),5)</f>
        <v>0</v>
      </c>
    </row>
    <row r="2007" spans="1:15" ht="135">
      <c r="A2007" s="3" t="s">
        <v>10</v>
      </c>
      <c r="B2007" s="3" t="s">
        <v>11</v>
      </c>
      <c r="C2007" s="4">
        <v>2026</v>
      </c>
      <c r="D2007" s="5" t="s">
        <v>12</v>
      </c>
      <c r="E2007" s="4">
        <v>277</v>
      </c>
      <c r="F2007" s="4" t="s">
        <v>454</v>
      </c>
      <c r="G2007" s="4" t="s">
        <v>1144</v>
      </c>
      <c r="H2007" s="4" t="s">
        <v>21</v>
      </c>
      <c r="I2007" s="4" t="s">
        <v>812</v>
      </c>
      <c r="J2007" s="4" t="s">
        <v>1150</v>
      </c>
      <c r="K2007" s="4" t="s">
        <v>52</v>
      </c>
      <c r="L2007" s="4" t="s">
        <v>3743</v>
      </c>
      <c r="M2007" s="4" t="s">
        <v>3746</v>
      </c>
      <c r="N2007" s="4" t="s">
        <v>3747</v>
      </c>
      <c r="O2007" s="17">
        <f>INDEX('список ID из СУЭ с должностями'!$A:$F,MATCH(E2007,'список ID из СУЭ с должностями'!$B:$B,0),5)</f>
        <v>0</v>
      </c>
    </row>
    <row r="2008" spans="1:15" ht="135">
      <c r="A2008" s="3" t="s">
        <v>10</v>
      </c>
      <c r="B2008" s="3" t="s">
        <v>11</v>
      </c>
      <c r="C2008" s="4">
        <v>2026</v>
      </c>
      <c r="D2008" s="5" t="s">
        <v>12</v>
      </c>
      <c r="E2008" s="4">
        <v>277</v>
      </c>
      <c r="F2008" s="4" t="s">
        <v>454</v>
      </c>
      <c r="G2008" s="4" t="s">
        <v>1144</v>
      </c>
      <c r="H2008" s="4" t="s">
        <v>21</v>
      </c>
      <c r="I2008" s="4" t="s">
        <v>358</v>
      </c>
      <c r="J2008" s="4" t="s">
        <v>1145</v>
      </c>
      <c r="K2008" s="4" t="s">
        <v>52</v>
      </c>
      <c r="L2008" s="4" t="s">
        <v>3743</v>
      </c>
      <c r="M2008" s="4" t="s">
        <v>3746</v>
      </c>
      <c r="N2008" s="4" t="s">
        <v>3747</v>
      </c>
      <c r="O2008" s="17">
        <f>INDEX('список ID из СУЭ с должностями'!$A:$F,MATCH(E2008,'список ID из СУЭ с должностями'!$B:$B,0),5)</f>
        <v>0</v>
      </c>
    </row>
    <row r="2009" spans="1:15" ht="75">
      <c r="A2009" s="3" t="s">
        <v>10</v>
      </c>
      <c r="B2009" s="3" t="s">
        <v>11</v>
      </c>
      <c r="C2009" s="4">
        <v>2026</v>
      </c>
      <c r="D2009" s="5" t="s">
        <v>12</v>
      </c>
      <c r="E2009" s="4">
        <v>278</v>
      </c>
      <c r="F2009" s="4" t="s">
        <v>247</v>
      </c>
      <c r="G2009" s="4" t="s">
        <v>158</v>
      </c>
      <c r="H2009" s="4" t="s">
        <v>15</v>
      </c>
      <c r="I2009" s="4" t="s">
        <v>2259</v>
      </c>
      <c r="J2009" s="4" t="s">
        <v>164</v>
      </c>
      <c r="K2009" s="4" t="s">
        <v>20</v>
      </c>
      <c r="L2009" s="4" t="s">
        <v>3742</v>
      </c>
      <c r="M2009" s="4" t="s">
        <v>3746</v>
      </c>
      <c r="N2009" s="4" t="s">
        <v>3747</v>
      </c>
      <c r="O2009" s="17">
        <f>INDEX('список ID из СУЭ с должностями'!$A:$F,MATCH(E2009,'список ID из СУЭ с должностями'!$B:$B,0),5)</f>
        <v>0</v>
      </c>
    </row>
    <row r="2010" spans="1:15" ht="90">
      <c r="A2010" s="3" t="s">
        <v>10</v>
      </c>
      <c r="B2010" s="3" t="s">
        <v>11</v>
      </c>
      <c r="C2010" s="4">
        <v>2026</v>
      </c>
      <c r="D2010" s="5" t="s">
        <v>12</v>
      </c>
      <c r="E2010" s="4">
        <v>278</v>
      </c>
      <c r="F2010" s="4" t="s">
        <v>247</v>
      </c>
      <c r="G2010" s="4" t="s">
        <v>158</v>
      </c>
      <c r="H2010" s="4" t="s">
        <v>15</v>
      </c>
      <c r="I2010" s="4" t="s">
        <v>548</v>
      </c>
      <c r="J2010" s="4" t="s">
        <v>2260</v>
      </c>
      <c r="K2010" s="4" t="s">
        <v>38</v>
      </c>
      <c r="L2010" s="4" t="s">
        <v>3743</v>
      </c>
      <c r="M2010" s="4" t="s">
        <v>3746</v>
      </c>
      <c r="N2010" s="4" t="s">
        <v>3747</v>
      </c>
      <c r="O2010" s="17">
        <f>INDEX('список ID из СУЭ с должностями'!$A:$F,MATCH(E2010,'список ID из СУЭ с должностями'!$B:$B,0),5)</f>
        <v>0</v>
      </c>
    </row>
    <row r="2011" spans="1:15" ht="75">
      <c r="A2011" s="3" t="s">
        <v>10</v>
      </c>
      <c r="B2011" s="3" t="s">
        <v>11</v>
      </c>
      <c r="C2011" s="4">
        <v>2026</v>
      </c>
      <c r="D2011" s="5" t="s">
        <v>12</v>
      </c>
      <c r="E2011" s="4">
        <v>278</v>
      </c>
      <c r="F2011" s="4" t="s">
        <v>247</v>
      </c>
      <c r="G2011" s="4" t="s">
        <v>158</v>
      </c>
      <c r="H2011" s="4" t="s">
        <v>21</v>
      </c>
      <c r="I2011" s="4" t="s">
        <v>543</v>
      </c>
      <c r="J2011" s="4" t="s">
        <v>544</v>
      </c>
      <c r="K2011" s="4" t="s">
        <v>52</v>
      </c>
      <c r="L2011" s="4" t="s">
        <v>3743</v>
      </c>
      <c r="M2011" s="4" t="s">
        <v>3746</v>
      </c>
      <c r="N2011" s="4" t="s">
        <v>3747</v>
      </c>
      <c r="O2011" s="17">
        <f>INDEX('список ID из СУЭ с должностями'!$A:$F,MATCH(E2011,'список ID из СУЭ с должностями'!$B:$B,0),5)</f>
        <v>0</v>
      </c>
    </row>
    <row r="2012" spans="1:15" ht="75">
      <c r="A2012" s="3" t="s">
        <v>10</v>
      </c>
      <c r="B2012" s="3" t="s">
        <v>11</v>
      </c>
      <c r="C2012" s="4">
        <v>2026</v>
      </c>
      <c r="D2012" s="5" t="s">
        <v>12</v>
      </c>
      <c r="E2012" s="4">
        <v>278</v>
      </c>
      <c r="F2012" s="4" t="s">
        <v>247</v>
      </c>
      <c r="G2012" s="4" t="s">
        <v>158</v>
      </c>
      <c r="H2012" s="4" t="s">
        <v>41</v>
      </c>
      <c r="I2012" s="4" t="s">
        <v>556</v>
      </c>
      <c r="J2012" s="4" t="s">
        <v>557</v>
      </c>
      <c r="K2012" s="4" t="s">
        <v>151</v>
      </c>
      <c r="L2012" s="4" t="s">
        <v>3743</v>
      </c>
      <c r="M2012" s="4" t="s">
        <v>3746</v>
      </c>
      <c r="N2012" s="4" t="s">
        <v>3747</v>
      </c>
      <c r="O2012" s="17">
        <f>INDEX('список ID из СУЭ с должностями'!$A:$F,MATCH(E2012,'список ID из СУЭ с должностями'!$B:$B,0),5)</f>
        <v>0</v>
      </c>
    </row>
    <row r="2013" spans="1:15" ht="60">
      <c r="A2013" s="3" t="s">
        <v>10</v>
      </c>
      <c r="B2013" s="3" t="s">
        <v>11</v>
      </c>
      <c r="C2013" s="4">
        <v>2026</v>
      </c>
      <c r="D2013" s="5" t="s">
        <v>12</v>
      </c>
      <c r="E2013" s="4">
        <v>278</v>
      </c>
      <c r="F2013" s="4" t="s">
        <v>247</v>
      </c>
      <c r="G2013" s="4" t="s">
        <v>158</v>
      </c>
      <c r="H2013" s="4" t="s">
        <v>21</v>
      </c>
      <c r="I2013" s="4" t="s">
        <v>541</v>
      </c>
      <c r="J2013" s="4" t="s">
        <v>542</v>
      </c>
      <c r="K2013" s="4" t="s">
        <v>52</v>
      </c>
      <c r="L2013" s="4" t="s">
        <v>3743</v>
      </c>
      <c r="M2013" s="4" t="s">
        <v>3746</v>
      </c>
      <c r="N2013" s="4" t="s">
        <v>3747</v>
      </c>
      <c r="O2013" s="17">
        <f>INDEX('список ID из СУЭ с должностями'!$A:$F,MATCH(E2013,'список ID из СУЭ с должностями'!$B:$B,0),5)</f>
        <v>0</v>
      </c>
    </row>
    <row r="2014" spans="1:15" ht="105">
      <c r="A2014" s="3" t="s">
        <v>10</v>
      </c>
      <c r="B2014" s="3" t="s">
        <v>11</v>
      </c>
      <c r="C2014" s="4">
        <v>2026</v>
      </c>
      <c r="D2014" s="5" t="s">
        <v>12</v>
      </c>
      <c r="E2014" s="4">
        <v>278</v>
      </c>
      <c r="F2014" s="4" t="s">
        <v>247</v>
      </c>
      <c r="G2014" s="4" t="s">
        <v>158</v>
      </c>
      <c r="H2014" s="4" t="s">
        <v>21</v>
      </c>
      <c r="I2014" s="4" t="s">
        <v>545</v>
      </c>
      <c r="J2014" s="4" t="s">
        <v>546</v>
      </c>
      <c r="K2014" s="4" t="s">
        <v>52</v>
      </c>
      <c r="L2014" s="4" t="s">
        <v>3743</v>
      </c>
      <c r="M2014" s="4" t="s">
        <v>3746</v>
      </c>
      <c r="N2014" s="4" t="s">
        <v>3747</v>
      </c>
      <c r="O2014" s="17">
        <f>INDEX('список ID из СУЭ с должностями'!$A:$F,MATCH(E2014,'список ID из СУЭ с должностями'!$B:$B,0),5)</f>
        <v>0</v>
      </c>
    </row>
    <row r="2015" spans="1:15" ht="60">
      <c r="A2015" s="3" t="s">
        <v>10</v>
      </c>
      <c r="B2015" s="3" t="s">
        <v>11</v>
      </c>
      <c r="C2015" s="4">
        <v>2026</v>
      </c>
      <c r="D2015" s="5" t="s">
        <v>12</v>
      </c>
      <c r="E2015" s="4">
        <v>278</v>
      </c>
      <c r="F2015" s="4" t="s">
        <v>247</v>
      </c>
      <c r="G2015" s="4" t="s">
        <v>158</v>
      </c>
      <c r="H2015" s="4" t="s">
        <v>15</v>
      </c>
      <c r="I2015" s="4" t="s">
        <v>551</v>
      </c>
      <c r="J2015" s="4" t="s">
        <v>552</v>
      </c>
      <c r="K2015" s="4" t="s">
        <v>38</v>
      </c>
      <c r="L2015" s="4" t="s">
        <v>3743</v>
      </c>
      <c r="M2015" s="4" t="s">
        <v>3746</v>
      </c>
      <c r="N2015" s="4" t="s">
        <v>3747</v>
      </c>
      <c r="O2015" s="17">
        <f>INDEX('список ID из СУЭ с должностями'!$A:$F,MATCH(E2015,'список ID из СУЭ с должностями'!$B:$B,0),5)</f>
        <v>0</v>
      </c>
    </row>
    <row r="2016" spans="1:15" ht="75">
      <c r="A2016" s="3" t="s">
        <v>10</v>
      </c>
      <c r="B2016" s="3" t="s">
        <v>11</v>
      </c>
      <c r="C2016" s="4">
        <v>2026</v>
      </c>
      <c r="D2016" s="5" t="s">
        <v>12</v>
      </c>
      <c r="E2016" s="4">
        <v>278</v>
      </c>
      <c r="F2016" s="4" t="s">
        <v>247</v>
      </c>
      <c r="G2016" s="4" t="s">
        <v>158</v>
      </c>
      <c r="H2016" s="4" t="s">
        <v>41</v>
      </c>
      <c r="I2016" s="4" t="s">
        <v>554</v>
      </c>
      <c r="J2016" s="4" t="s">
        <v>555</v>
      </c>
      <c r="K2016" s="4" t="s">
        <v>151</v>
      </c>
      <c r="L2016" s="4" t="s">
        <v>3743</v>
      </c>
      <c r="M2016" s="4" t="s">
        <v>3746</v>
      </c>
      <c r="N2016" s="4" t="s">
        <v>3747</v>
      </c>
      <c r="O2016" s="17">
        <f>INDEX('список ID из СУЭ с должностями'!$A:$F,MATCH(E2016,'список ID из СУЭ с должностями'!$B:$B,0),5)</f>
        <v>0</v>
      </c>
    </row>
    <row r="2017" spans="1:15" ht="135">
      <c r="A2017" s="3" t="s">
        <v>10</v>
      </c>
      <c r="B2017" s="3" t="s">
        <v>11</v>
      </c>
      <c r="C2017" s="4">
        <v>2026</v>
      </c>
      <c r="D2017" s="5" t="s">
        <v>12</v>
      </c>
      <c r="E2017" s="4">
        <v>278</v>
      </c>
      <c r="F2017" s="4" t="s">
        <v>247</v>
      </c>
      <c r="G2017" s="4" t="s">
        <v>158</v>
      </c>
      <c r="H2017" s="4" t="s">
        <v>15</v>
      </c>
      <c r="I2017" s="4" t="s">
        <v>167</v>
      </c>
      <c r="J2017" s="4" t="s">
        <v>550</v>
      </c>
      <c r="K2017" s="4" t="s">
        <v>35</v>
      </c>
      <c r="L2017" s="4" t="s">
        <v>3743</v>
      </c>
      <c r="M2017" s="4" t="s">
        <v>3746</v>
      </c>
      <c r="N2017" s="4" t="s">
        <v>3747</v>
      </c>
      <c r="O2017" s="17">
        <f>INDEX('список ID из СУЭ с должностями'!$A:$F,MATCH(E2017,'список ID из СУЭ с должностями'!$B:$B,0),5)</f>
        <v>0</v>
      </c>
    </row>
    <row r="2018" spans="1:15" ht="60">
      <c r="A2018" s="3" t="s">
        <v>10</v>
      </c>
      <c r="B2018" s="3" t="s">
        <v>11</v>
      </c>
      <c r="C2018" s="4">
        <v>2026</v>
      </c>
      <c r="D2018" s="5" t="s">
        <v>12</v>
      </c>
      <c r="E2018" s="4">
        <v>278</v>
      </c>
      <c r="F2018" s="4" t="s">
        <v>247</v>
      </c>
      <c r="G2018" s="4" t="s">
        <v>158</v>
      </c>
      <c r="H2018" s="4" t="s">
        <v>15</v>
      </c>
      <c r="I2018" s="4" t="s">
        <v>553</v>
      </c>
      <c r="J2018" s="4" t="s">
        <v>170</v>
      </c>
      <c r="K2018" s="4" t="s">
        <v>151</v>
      </c>
      <c r="L2018" s="4" t="s">
        <v>3743</v>
      </c>
      <c r="M2018" s="4" t="s">
        <v>3746</v>
      </c>
      <c r="N2018" s="4" t="s">
        <v>3747</v>
      </c>
      <c r="O2018" s="17">
        <f>INDEX('список ID из СУЭ с должностями'!$A:$F,MATCH(E2018,'список ID из СУЭ с должностями'!$B:$B,0),5)</f>
        <v>0</v>
      </c>
    </row>
    <row r="2019" spans="1:15" ht="345">
      <c r="A2019" s="3" t="s">
        <v>10</v>
      </c>
      <c r="B2019" s="3" t="s">
        <v>11</v>
      </c>
      <c r="C2019" s="4">
        <v>2026</v>
      </c>
      <c r="D2019" s="5" t="s">
        <v>12</v>
      </c>
      <c r="E2019" s="4">
        <v>279</v>
      </c>
      <c r="F2019" s="4" t="s">
        <v>1950</v>
      </c>
      <c r="G2019" s="4" t="s">
        <v>285</v>
      </c>
      <c r="H2019" s="4" t="s">
        <v>15</v>
      </c>
      <c r="I2019" s="4" t="s">
        <v>2261</v>
      </c>
      <c r="J2019" s="4" t="s">
        <v>2262</v>
      </c>
      <c r="K2019" s="4" t="s">
        <v>35</v>
      </c>
      <c r="L2019" s="4" t="s">
        <v>3743</v>
      </c>
      <c r="M2019" s="4" t="s">
        <v>3746</v>
      </c>
      <c r="N2019" s="4" t="s">
        <v>3747</v>
      </c>
      <c r="O2019" s="17" t="str">
        <f>INDEX('список ID из СУЭ с должностями'!$A:$F,MATCH(E2019,'список ID из СУЭ с должностями'!$B:$B,0),5)</f>
        <v>МОК</v>
      </c>
    </row>
    <row r="2020" spans="1:15" ht="60">
      <c r="A2020" s="3" t="s">
        <v>10</v>
      </c>
      <c r="B2020" s="3" t="s">
        <v>11</v>
      </c>
      <c r="C2020" s="4">
        <v>2026</v>
      </c>
      <c r="D2020" s="5" t="s">
        <v>12</v>
      </c>
      <c r="E2020" s="4">
        <v>279</v>
      </c>
      <c r="F2020" s="4" t="s">
        <v>1950</v>
      </c>
      <c r="G2020" s="4" t="s">
        <v>285</v>
      </c>
      <c r="H2020" s="4" t="s">
        <v>15</v>
      </c>
      <c r="I2020" s="4" t="s">
        <v>2263</v>
      </c>
      <c r="J2020" s="4" t="s">
        <v>2264</v>
      </c>
      <c r="K2020" s="4" t="s">
        <v>188</v>
      </c>
      <c r="L2020" s="4" t="s">
        <v>3743</v>
      </c>
      <c r="M2020" s="4" t="s">
        <v>3746</v>
      </c>
      <c r="N2020" s="4" t="s">
        <v>3747</v>
      </c>
      <c r="O2020" s="17" t="str">
        <f>INDEX('список ID из СУЭ с должностями'!$A:$F,MATCH(E2020,'список ID из СУЭ с должностями'!$B:$B,0),5)</f>
        <v>МОК</v>
      </c>
    </row>
    <row r="2021" spans="1:15" ht="90">
      <c r="A2021" s="3" t="s">
        <v>10</v>
      </c>
      <c r="B2021" s="3" t="s">
        <v>11</v>
      </c>
      <c r="C2021" s="4">
        <v>2026</v>
      </c>
      <c r="D2021" s="5" t="s">
        <v>12</v>
      </c>
      <c r="E2021" s="4">
        <v>279</v>
      </c>
      <c r="F2021" s="4" t="s">
        <v>1950</v>
      </c>
      <c r="G2021" s="4" t="s">
        <v>285</v>
      </c>
      <c r="H2021" s="4" t="s">
        <v>15</v>
      </c>
      <c r="I2021" s="4" t="s">
        <v>2265</v>
      </c>
      <c r="J2021" s="4" t="s">
        <v>2266</v>
      </c>
      <c r="K2021" s="4" t="s">
        <v>25</v>
      </c>
      <c r="L2021" s="4" t="s">
        <v>3743</v>
      </c>
      <c r="M2021" s="4" t="s">
        <v>3746</v>
      </c>
      <c r="N2021" s="4" t="s">
        <v>3747</v>
      </c>
      <c r="O2021" s="17" t="str">
        <f>INDEX('список ID из СУЭ с должностями'!$A:$F,MATCH(E2021,'список ID из СУЭ с должностями'!$B:$B,0),5)</f>
        <v>МОК</v>
      </c>
    </row>
    <row r="2022" spans="1:15" ht="360">
      <c r="A2022" s="3" t="s">
        <v>10</v>
      </c>
      <c r="B2022" s="3" t="s">
        <v>11</v>
      </c>
      <c r="C2022" s="4">
        <v>2026</v>
      </c>
      <c r="D2022" s="5" t="s">
        <v>12</v>
      </c>
      <c r="E2022" s="4">
        <v>279</v>
      </c>
      <c r="F2022" s="4" t="s">
        <v>1950</v>
      </c>
      <c r="G2022" s="4" t="s">
        <v>285</v>
      </c>
      <c r="H2022" s="4" t="s">
        <v>15</v>
      </c>
      <c r="I2022" s="4" t="s">
        <v>933</v>
      </c>
      <c r="J2022" s="4" t="s">
        <v>1286</v>
      </c>
      <c r="K2022" s="4" t="s">
        <v>30</v>
      </c>
      <c r="L2022" s="4" t="s">
        <v>3743</v>
      </c>
      <c r="M2022" s="4" t="s">
        <v>3746</v>
      </c>
      <c r="N2022" s="4" t="s">
        <v>3747</v>
      </c>
      <c r="O2022" s="17" t="str">
        <f>INDEX('список ID из СУЭ с должностями'!$A:$F,MATCH(E2022,'список ID из СУЭ с должностями'!$B:$B,0),5)</f>
        <v>МОК</v>
      </c>
    </row>
    <row r="2023" spans="1:15" ht="60">
      <c r="A2023" s="3" t="s">
        <v>10</v>
      </c>
      <c r="B2023" s="3" t="s">
        <v>11</v>
      </c>
      <c r="C2023" s="4">
        <v>2026</v>
      </c>
      <c r="D2023" s="5" t="s">
        <v>12</v>
      </c>
      <c r="E2023" s="4">
        <v>279</v>
      </c>
      <c r="F2023" s="4" t="s">
        <v>1950</v>
      </c>
      <c r="G2023" s="4" t="s">
        <v>285</v>
      </c>
      <c r="H2023" s="4" t="s">
        <v>15</v>
      </c>
      <c r="I2023" s="4" t="s">
        <v>2267</v>
      </c>
      <c r="J2023" s="4" t="s">
        <v>182</v>
      </c>
      <c r="K2023" s="4" t="s">
        <v>38</v>
      </c>
      <c r="L2023" s="4" t="s">
        <v>3742</v>
      </c>
      <c r="M2023" s="4" t="s">
        <v>3746</v>
      </c>
      <c r="N2023" s="4" t="s">
        <v>3747</v>
      </c>
      <c r="O2023" s="17" t="str">
        <f>INDEX('список ID из СУЭ с должностями'!$A:$F,MATCH(E2023,'список ID из СУЭ с должностями'!$B:$B,0),5)</f>
        <v>МОК</v>
      </c>
    </row>
    <row r="2024" spans="1:15" ht="60">
      <c r="A2024" s="3" t="s">
        <v>10</v>
      </c>
      <c r="B2024" s="3" t="s">
        <v>11</v>
      </c>
      <c r="C2024" s="4">
        <v>2026</v>
      </c>
      <c r="D2024" s="5" t="s">
        <v>12</v>
      </c>
      <c r="E2024" s="4">
        <v>279</v>
      </c>
      <c r="F2024" s="4" t="s">
        <v>1950</v>
      </c>
      <c r="G2024" s="4" t="s">
        <v>285</v>
      </c>
      <c r="H2024" s="4" t="s">
        <v>15</v>
      </c>
      <c r="I2024" s="4" t="s">
        <v>2268</v>
      </c>
      <c r="J2024" s="4" t="s">
        <v>2269</v>
      </c>
      <c r="K2024" s="4" t="s">
        <v>30</v>
      </c>
      <c r="L2024" s="4" t="s">
        <v>3742</v>
      </c>
      <c r="M2024" s="4" t="s">
        <v>3746</v>
      </c>
      <c r="N2024" s="4" t="s">
        <v>3747</v>
      </c>
      <c r="O2024" s="17" t="str">
        <f>INDEX('список ID из СУЭ с должностями'!$A:$F,MATCH(E2024,'список ID из СУЭ с должностями'!$B:$B,0),5)</f>
        <v>МОК</v>
      </c>
    </row>
    <row r="2025" spans="1:15" ht="60">
      <c r="A2025" s="3" t="s">
        <v>10</v>
      </c>
      <c r="B2025" s="3" t="s">
        <v>11</v>
      </c>
      <c r="C2025" s="4">
        <v>2026</v>
      </c>
      <c r="D2025" s="5" t="s">
        <v>12</v>
      </c>
      <c r="E2025" s="4">
        <v>279</v>
      </c>
      <c r="F2025" s="4" t="s">
        <v>1950</v>
      </c>
      <c r="G2025" s="4" t="s">
        <v>285</v>
      </c>
      <c r="H2025" s="4" t="s">
        <v>15</v>
      </c>
      <c r="I2025" s="4" t="s">
        <v>1278</v>
      </c>
      <c r="J2025" s="4" t="s">
        <v>295</v>
      </c>
      <c r="K2025" s="4" t="s">
        <v>55</v>
      </c>
      <c r="L2025" s="4" t="s">
        <v>3742</v>
      </c>
      <c r="M2025" s="4" t="s">
        <v>3746</v>
      </c>
      <c r="N2025" s="4" t="s">
        <v>3747</v>
      </c>
      <c r="O2025" s="17" t="str">
        <f>INDEX('список ID из СУЭ с должностями'!$A:$F,MATCH(E2025,'список ID из СУЭ с должностями'!$B:$B,0),5)</f>
        <v>МОК</v>
      </c>
    </row>
    <row r="2026" spans="1:15" ht="285">
      <c r="A2026" s="3" t="s">
        <v>10</v>
      </c>
      <c r="B2026" s="3" t="s">
        <v>11</v>
      </c>
      <c r="C2026" s="4">
        <v>2026</v>
      </c>
      <c r="D2026" s="5" t="s">
        <v>12</v>
      </c>
      <c r="E2026" s="4">
        <v>279</v>
      </c>
      <c r="F2026" s="4" t="s">
        <v>1950</v>
      </c>
      <c r="G2026" s="4" t="s">
        <v>285</v>
      </c>
      <c r="H2026" s="4" t="s">
        <v>15</v>
      </c>
      <c r="I2026" s="4" t="s">
        <v>1282</v>
      </c>
      <c r="J2026" s="4" t="s">
        <v>2270</v>
      </c>
      <c r="K2026" s="4" t="s">
        <v>20</v>
      </c>
      <c r="L2026" s="4" t="s">
        <v>3743</v>
      </c>
      <c r="M2026" s="4" t="s">
        <v>3746</v>
      </c>
      <c r="N2026" s="4" t="s">
        <v>3747</v>
      </c>
      <c r="O2026" s="17" t="str">
        <f>INDEX('список ID из СУЭ с должностями'!$A:$F,MATCH(E2026,'список ID из СУЭ с должностями'!$B:$B,0),5)</f>
        <v>МОК</v>
      </c>
    </row>
    <row r="2027" spans="1:15" ht="60">
      <c r="A2027" s="3" t="s">
        <v>10</v>
      </c>
      <c r="B2027" s="3" t="s">
        <v>11</v>
      </c>
      <c r="C2027" s="4">
        <v>2026</v>
      </c>
      <c r="D2027" s="5" t="s">
        <v>12</v>
      </c>
      <c r="E2027" s="4">
        <v>279</v>
      </c>
      <c r="F2027" s="4" t="s">
        <v>1950</v>
      </c>
      <c r="G2027" s="4" t="s">
        <v>285</v>
      </c>
      <c r="H2027" s="4" t="s">
        <v>15</v>
      </c>
      <c r="I2027" s="4" t="s">
        <v>2271</v>
      </c>
      <c r="J2027" s="4" t="s">
        <v>1285</v>
      </c>
      <c r="K2027" s="4" t="s">
        <v>30</v>
      </c>
      <c r="L2027" s="4" t="s">
        <v>3742</v>
      </c>
      <c r="M2027" s="4" t="s">
        <v>3746</v>
      </c>
      <c r="N2027" s="4" t="s">
        <v>3747</v>
      </c>
      <c r="O2027" s="17" t="str">
        <f>INDEX('список ID из СУЭ с должностями'!$A:$F,MATCH(E2027,'список ID из СУЭ с должностями'!$B:$B,0),5)</f>
        <v>МОК</v>
      </c>
    </row>
    <row r="2028" spans="1:15" ht="315">
      <c r="A2028" s="3" t="s">
        <v>10</v>
      </c>
      <c r="B2028" s="3" t="s">
        <v>11</v>
      </c>
      <c r="C2028" s="4">
        <v>2026</v>
      </c>
      <c r="D2028" s="5" t="s">
        <v>12</v>
      </c>
      <c r="E2028" s="4">
        <v>280</v>
      </c>
      <c r="F2028" s="4" t="s">
        <v>316</v>
      </c>
      <c r="G2028" s="4" t="s">
        <v>820</v>
      </c>
      <c r="H2028" s="4" t="s">
        <v>15</v>
      </c>
      <c r="I2028" s="4" t="s">
        <v>28</v>
      </c>
      <c r="J2028" s="4" t="s">
        <v>2196</v>
      </c>
      <c r="K2028" s="4" t="s">
        <v>38</v>
      </c>
      <c r="L2028" s="4" t="s">
        <v>3743</v>
      </c>
      <c r="M2028" s="4" t="s">
        <v>3746</v>
      </c>
      <c r="N2028" s="4" t="s">
        <v>3747</v>
      </c>
      <c r="O2028" s="17">
        <f>INDEX('список ID из СУЭ с должностями'!$A:$F,MATCH(E2028,'список ID из СУЭ с должностями'!$B:$B,0),5)</f>
        <v>0</v>
      </c>
    </row>
    <row r="2029" spans="1:15" ht="135">
      <c r="A2029" s="3" t="s">
        <v>10</v>
      </c>
      <c r="B2029" s="3" t="s">
        <v>11</v>
      </c>
      <c r="C2029" s="4">
        <v>2026</v>
      </c>
      <c r="D2029" s="5" t="s">
        <v>12</v>
      </c>
      <c r="E2029" s="4">
        <v>280</v>
      </c>
      <c r="F2029" s="4" t="s">
        <v>316</v>
      </c>
      <c r="G2029" s="4" t="s">
        <v>820</v>
      </c>
      <c r="H2029" s="4" t="s">
        <v>15</v>
      </c>
      <c r="I2029" s="4" t="s">
        <v>318</v>
      </c>
      <c r="J2029" s="4" t="s">
        <v>1205</v>
      </c>
      <c r="K2029" s="4" t="s">
        <v>25</v>
      </c>
      <c r="L2029" s="4" t="s">
        <v>3743</v>
      </c>
      <c r="M2029" s="4" t="s">
        <v>3746</v>
      </c>
      <c r="N2029" s="4" t="s">
        <v>3747</v>
      </c>
      <c r="O2029" s="17">
        <f>INDEX('список ID из СУЭ с должностями'!$A:$F,MATCH(E2029,'список ID из СУЭ с должностями'!$B:$B,0),5)</f>
        <v>0</v>
      </c>
    </row>
    <row r="2030" spans="1:15" ht="120">
      <c r="A2030" s="3" t="s">
        <v>10</v>
      </c>
      <c r="B2030" s="3" t="s">
        <v>11</v>
      </c>
      <c r="C2030" s="4">
        <v>2026</v>
      </c>
      <c r="D2030" s="5" t="s">
        <v>12</v>
      </c>
      <c r="E2030" s="4">
        <v>280</v>
      </c>
      <c r="F2030" s="4" t="s">
        <v>316</v>
      </c>
      <c r="G2030" s="4" t="s">
        <v>820</v>
      </c>
      <c r="H2030" s="4" t="s">
        <v>15</v>
      </c>
      <c r="I2030" s="4" t="s">
        <v>356</v>
      </c>
      <c r="J2030" s="4" t="s">
        <v>2200</v>
      </c>
      <c r="K2030" s="4" t="s">
        <v>25</v>
      </c>
      <c r="L2030" s="4" t="s">
        <v>3743</v>
      </c>
      <c r="M2030" s="4" t="s">
        <v>3746</v>
      </c>
      <c r="N2030" s="4" t="s">
        <v>3747</v>
      </c>
      <c r="O2030" s="17">
        <f>INDEX('список ID из СУЭ с должностями'!$A:$F,MATCH(E2030,'список ID из СУЭ с должностями'!$B:$B,0),5)</f>
        <v>0</v>
      </c>
    </row>
    <row r="2031" spans="1:15" ht="315">
      <c r="A2031" s="3" t="s">
        <v>10</v>
      </c>
      <c r="B2031" s="3" t="s">
        <v>11</v>
      </c>
      <c r="C2031" s="4">
        <v>2026</v>
      </c>
      <c r="D2031" s="5" t="s">
        <v>12</v>
      </c>
      <c r="E2031" s="4">
        <v>280</v>
      </c>
      <c r="F2031" s="4" t="s">
        <v>316</v>
      </c>
      <c r="G2031" s="4" t="s">
        <v>820</v>
      </c>
      <c r="H2031" s="4" t="s">
        <v>15</v>
      </c>
      <c r="I2031" s="4" t="s">
        <v>352</v>
      </c>
      <c r="J2031" s="4" t="s">
        <v>2199</v>
      </c>
      <c r="K2031" s="4" t="s">
        <v>25</v>
      </c>
      <c r="L2031" s="4" t="s">
        <v>3743</v>
      </c>
      <c r="M2031" s="4" t="s">
        <v>3746</v>
      </c>
      <c r="N2031" s="4" t="s">
        <v>3747</v>
      </c>
      <c r="O2031" s="17">
        <f>INDEX('список ID из СУЭ с должностями'!$A:$F,MATCH(E2031,'список ID из СУЭ с должностями'!$B:$B,0),5)</f>
        <v>0</v>
      </c>
    </row>
    <row r="2032" spans="1:15" ht="105">
      <c r="A2032" s="3" t="s">
        <v>10</v>
      </c>
      <c r="B2032" s="3" t="s">
        <v>11</v>
      </c>
      <c r="C2032" s="4">
        <v>2026</v>
      </c>
      <c r="D2032" s="5" t="s">
        <v>12</v>
      </c>
      <c r="E2032" s="4">
        <v>280</v>
      </c>
      <c r="F2032" s="4" t="s">
        <v>316</v>
      </c>
      <c r="G2032" s="4" t="s">
        <v>820</v>
      </c>
      <c r="H2032" s="4" t="s">
        <v>15</v>
      </c>
      <c r="I2032" s="4" t="s">
        <v>358</v>
      </c>
      <c r="J2032" s="4" t="s">
        <v>825</v>
      </c>
      <c r="K2032" s="4" t="s">
        <v>66</v>
      </c>
      <c r="L2032" s="4" t="s">
        <v>3743</v>
      </c>
      <c r="M2032" s="4" t="s">
        <v>3746</v>
      </c>
      <c r="N2032" s="4" t="s">
        <v>3747</v>
      </c>
      <c r="O2032" s="17">
        <f>INDEX('список ID из СУЭ с должностями'!$A:$F,MATCH(E2032,'список ID из СУЭ с должностями'!$B:$B,0),5)</f>
        <v>0</v>
      </c>
    </row>
    <row r="2033" spans="1:15" ht="165">
      <c r="A2033" s="3" t="s">
        <v>10</v>
      </c>
      <c r="B2033" s="3" t="s">
        <v>11</v>
      </c>
      <c r="C2033" s="4">
        <v>2026</v>
      </c>
      <c r="D2033" s="5" t="s">
        <v>12</v>
      </c>
      <c r="E2033" s="4">
        <v>280</v>
      </c>
      <c r="F2033" s="4" t="s">
        <v>316</v>
      </c>
      <c r="G2033" s="4" t="s">
        <v>820</v>
      </c>
      <c r="H2033" s="4" t="s">
        <v>15</v>
      </c>
      <c r="I2033" s="4" t="s">
        <v>325</v>
      </c>
      <c r="J2033" s="4" t="s">
        <v>827</v>
      </c>
      <c r="K2033" s="4" t="s">
        <v>35</v>
      </c>
      <c r="L2033" s="4" t="s">
        <v>3743</v>
      </c>
      <c r="M2033" s="4" t="s">
        <v>3746</v>
      </c>
      <c r="N2033" s="4" t="s">
        <v>3747</v>
      </c>
      <c r="O2033" s="17">
        <f>INDEX('список ID из СУЭ с должностями'!$A:$F,MATCH(E2033,'список ID из СУЭ с должностями'!$B:$B,0),5)</f>
        <v>0</v>
      </c>
    </row>
    <row r="2034" spans="1:15" ht="330">
      <c r="A2034" s="3" t="s">
        <v>10</v>
      </c>
      <c r="B2034" s="3" t="s">
        <v>11</v>
      </c>
      <c r="C2034" s="4">
        <v>2026</v>
      </c>
      <c r="D2034" s="5" t="s">
        <v>12</v>
      </c>
      <c r="E2034" s="4">
        <v>280</v>
      </c>
      <c r="F2034" s="4" t="s">
        <v>316</v>
      </c>
      <c r="G2034" s="4" t="s">
        <v>820</v>
      </c>
      <c r="H2034" s="4" t="s">
        <v>15</v>
      </c>
      <c r="I2034" s="4" t="s">
        <v>323</v>
      </c>
      <c r="J2034" s="4" t="s">
        <v>826</v>
      </c>
      <c r="K2034" s="4" t="s">
        <v>151</v>
      </c>
      <c r="L2034" s="4" t="s">
        <v>3743</v>
      </c>
      <c r="M2034" s="4" t="s">
        <v>3746</v>
      </c>
      <c r="N2034" s="4" t="s">
        <v>3747</v>
      </c>
      <c r="O2034" s="17">
        <f>INDEX('список ID из СУЭ с должностями'!$A:$F,MATCH(E2034,'список ID из СУЭ с должностями'!$B:$B,0),5)</f>
        <v>0</v>
      </c>
    </row>
    <row r="2035" spans="1:15" ht="409.5">
      <c r="A2035" s="3" t="s">
        <v>10</v>
      </c>
      <c r="B2035" s="3" t="s">
        <v>11</v>
      </c>
      <c r="C2035" s="4">
        <v>2026</v>
      </c>
      <c r="D2035" s="5" t="s">
        <v>12</v>
      </c>
      <c r="E2035" s="4">
        <v>280</v>
      </c>
      <c r="F2035" s="4" t="s">
        <v>316</v>
      </c>
      <c r="G2035" s="4" t="s">
        <v>820</v>
      </c>
      <c r="H2035" s="4" t="s">
        <v>15</v>
      </c>
      <c r="I2035" s="4" t="s">
        <v>354</v>
      </c>
      <c r="J2035" s="4" t="s">
        <v>2201</v>
      </c>
      <c r="K2035" s="4" t="s">
        <v>25</v>
      </c>
      <c r="L2035" s="4" t="s">
        <v>3743</v>
      </c>
      <c r="M2035" s="4" t="s">
        <v>3746</v>
      </c>
      <c r="N2035" s="4" t="s">
        <v>3747</v>
      </c>
      <c r="O2035" s="17">
        <f>INDEX('список ID из СУЭ с должностями'!$A:$F,MATCH(E2035,'список ID из СУЭ с должностями'!$B:$B,0),5)</f>
        <v>0</v>
      </c>
    </row>
    <row r="2036" spans="1:15" ht="60">
      <c r="A2036" s="3" t="s">
        <v>10</v>
      </c>
      <c r="B2036" s="3" t="s">
        <v>11</v>
      </c>
      <c r="C2036" s="4">
        <v>2026</v>
      </c>
      <c r="D2036" s="5" t="s">
        <v>12</v>
      </c>
      <c r="E2036" s="4">
        <v>281</v>
      </c>
      <c r="F2036" s="4" t="s">
        <v>193</v>
      </c>
      <c r="G2036" s="4" t="s">
        <v>2272</v>
      </c>
      <c r="H2036" s="4" t="s">
        <v>15</v>
      </c>
      <c r="I2036" s="4" t="s">
        <v>1444</v>
      </c>
      <c r="J2036" s="4" t="s">
        <v>1445</v>
      </c>
      <c r="K2036" s="4" t="s">
        <v>66</v>
      </c>
      <c r="L2036" s="4" t="s">
        <v>3743</v>
      </c>
      <c r="M2036" s="4" t="s">
        <v>3746</v>
      </c>
      <c r="N2036" s="4" t="s">
        <v>3747</v>
      </c>
      <c r="O2036" s="17" t="str">
        <f>INDEX('список ID из СУЭ с должностями'!$A:$F,MATCH(E2036,'список ID из СУЭ с должностями'!$B:$B,0),5)</f>
        <v>Инж смены</v>
      </c>
    </row>
    <row r="2037" spans="1:15" ht="105">
      <c r="A2037" s="3" t="s">
        <v>10</v>
      </c>
      <c r="B2037" s="3" t="s">
        <v>11</v>
      </c>
      <c r="C2037" s="4">
        <v>2026</v>
      </c>
      <c r="D2037" s="5" t="s">
        <v>12</v>
      </c>
      <c r="E2037" s="4">
        <v>281</v>
      </c>
      <c r="F2037" s="4" t="s">
        <v>193</v>
      </c>
      <c r="G2037" s="4" t="s">
        <v>2272</v>
      </c>
      <c r="H2037" s="4" t="s">
        <v>15</v>
      </c>
      <c r="I2037" s="4" t="s">
        <v>984</v>
      </c>
      <c r="J2037" s="4" t="s">
        <v>2273</v>
      </c>
      <c r="K2037" s="4" t="s">
        <v>66</v>
      </c>
      <c r="L2037" s="4" t="s">
        <v>3743</v>
      </c>
      <c r="M2037" s="4" t="s">
        <v>3746</v>
      </c>
      <c r="N2037" s="4" t="s">
        <v>3747</v>
      </c>
      <c r="O2037" s="17" t="str">
        <f>INDEX('список ID из СУЭ с должностями'!$A:$F,MATCH(E2037,'список ID из СУЭ с должностями'!$B:$B,0),5)</f>
        <v>Инж смены</v>
      </c>
    </row>
    <row r="2038" spans="1:15" ht="60">
      <c r="A2038" s="3" t="s">
        <v>10</v>
      </c>
      <c r="B2038" s="3" t="s">
        <v>11</v>
      </c>
      <c r="C2038" s="4">
        <v>2026</v>
      </c>
      <c r="D2038" s="5" t="s">
        <v>12</v>
      </c>
      <c r="E2038" s="4">
        <v>281</v>
      </c>
      <c r="F2038" s="4" t="s">
        <v>193</v>
      </c>
      <c r="G2038" s="4" t="s">
        <v>2272</v>
      </c>
      <c r="H2038" s="4" t="s">
        <v>15</v>
      </c>
      <c r="I2038" s="4" t="s">
        <v>1250</v>
      </c>
      <c r="J2038" s="4" t="s">
        <v>115</v>
      </c>
      <c r="K2038" s="4" t="s">
        <v>52</v>
      </c>
      <c r="L2038" s="4" t="s">
        <v>3742</v>
      </c>
      <c r="M2038" s="4" t="s">
        <v>3746</v>
      </c>
      <c r="N2038" s="4" t="s">
        <v>3747</v>
      </c>
      <c r="O2038" s="17" t="str">
        <f>INDEX('список ID из СУЭ с должностями'!$A:$F,MATCH(E2038,'список ID из СУЭ с должностями'!$B:$B,0),5)</f>
        <v>Инж смены</v>
      </c>
    </row>
    <row r="2039" spans="1:15" ht="105">
      <c r="A2039" s="3" t="s">
        <v>10</v>
      </c>
      <c r="B2039" s="3" t="s">
        <v>11</v>
      </c>
      <c r="C2039" s="4">
        <v>2026</v>
      </c>
      <c r="D2039" s="5" t="s">
        <v>12</v>
      </c>
      <c r="E2039" s="4">
        <v>281</v>
      </c>
      <c r="F2039" s="4" t="s">
        <v>193</v>
      </c>
      <c r="G2039" s="4" t="s">
        <v>2272</v>
      </c>
      <c r="H2039" s="4" t="s">
        <v>15</v>
      </c>
      <c r="I2039" s="4" t="s">
        <v>201</v>
      </c>
      <c r="J2039" s="4" t="s">
        <v>2274</v>
      </c>
      <c r="K2039" s="4" t="s">
        <v>188</v>
      </c>
      <c r="L2039" s="4" t="s">
        <v>3743</v>
      </c>
      <c r="M2039" s="4" t="s">
        <v>3746</v>
      </c>
      <c r="N2039" s="4" t="s">
        <v>3747</v>
      </c>
      <c r="O2039" s="17" t="str">
        <f>INDEX('список ID из СУЭ с должностями'!$A:$F,MATCH(E2039,'список ID из СУЭ с должностями'!$B:$B,0),5)</f>
        <v>Инж смены</v>
      </c>
    </row>
    <row r="2040" spans="1:15" ht="195">
      <c r="A2040" s="3" t="s">
        <v>10</v>
      </c>
      <c r="B2040" s="3" t="s">
        <v>11</v>
      </c>
      <c r="C2040" s="4">
        <v>2026</v>
      </c>
      <c r="D2040" s="5" t="s">
        <v>12</v>
      </c>
      <c r="E2040" s="4">
        <v>281</v>
      </c>
      <c r="F2040" s="4" t="s">
        <v>193</v>
      </c>
      <c r="G2040" s="4" t="s">
        <v>2272</v>
      </c>
      <c r="H2040" s="4" t="s">
        <v>15</v>
      </c>
      <c r="I2040" s="4" t="s">
        <v>33</v>
      </c>
      <c r="J2040" s="4" t="s">
        <v>2275</v>
      </c>
      <c r="K2040" s="4" t="s">
        <v>35</v>
      </c>
      <c r="L2040" s="4" t="s">
        <v>3743</v>
      </c>
      <c r="M2040" s="4" t="s">
        <v>3746</v>
      </c>
      <c r="N2040" s="4" t="s">
        <v>3747</v>
      </c>
      <c r="O2040" s="17" t="str">
        <f>INDEX('список ID из СУЭ с должностями'!$A:$F,MATCH(E2040,'список ID из СУЭ с должностями'!$B:$B,0),5)</f>
        <v>Инж смены</v>
      </c>
    </row>
    <row r="2041" spans="1:15" ht="75">
      <c r="A2041" s="3" t="s">
        <v>10</v>
      </c>
      <c r="B2041" s="3" t="s">
        <v>11</v>
      </c>
      <c r="C2041" s="4">
        <v>2026</v>
      </c>
      <c r="D2041" s="5" t="s">
        <v>12</v>
      </c>
      <c r="E2041" s="4">
        <v>281</v>
      </c>
      <c r="F2041" s="4" t="s">
        <v>193</v>
      </c>
      <c r="G2041" s="4" t="s">
        <v>2272</v>
      </c>
      <c r="H2041" s="4" t="s">
        <v>15</v>
      </c>
      <c r="I2041" s="4" t="s">
        <v>1448</v>
      </c>
      <c r="J2041" s="4" t="s">
        <v>1449</v>
      </c>
      <c r="K2041" s="4" t="s">
        <v>20</v>
      </c>
      <c r="L2041" s="4" t="s">
        <v>3743</v>
      </c>
      <c r="M2041" s="4" t="s">
        <v>3746</v>
      </c>
      <c r="N2041" s="4" t="s">
        <v>3747</v>
      </c>
      <c r="O2041" s="17" t="str">
        <f>INDEX('список ID из СУЭ с должностями'!$A:$F,MATCH(E2041,'список ID из СУЭ с должностями'!$B:$B,0),5)</f>
        <v>Инж смены</v>
      </c>
    </row>
    <row r="2042" spans="1:15" ht="105">
      <c r="A2042" s="3" t="s">
        <v>10</v>
      </c>
      <c r="B2042" s="3" t="s">
        <v>11</v>
      </c>
      <c r="C2042" s="4">
        <v>2026</v>
      </c>
      <c r="D2042" s="5" t="s">
        <v>12</v>
      </c>
      <c r="E2042" s="4">
        <v>282</v>
      </c>
      <c r="F2042" s="4" t="s">
        <v>385</v>
      </c>
      <c r="G2042" s="4" t="s">
        <v>1833</v>
      </c>
      <c r="H2042" s="4" t="s">
        <v>15</v>
      </c>
      <c r="I2042" s="4" t="s">
        <v>2276</v>
      </c>
      <c r="J2042" s="4" t="s">
        <v>1847</v>
      </c>
      <c r="K2042" s="4" t="s">
        <v>52</v>
      </c>
      <c r="L2042" s="4" t="s">
        <v>3743</v>
      </c>
      <c r="M2042" s="4" t="s">
        <v>3746</v>
      </c>
      <c r="N2042" s="4" t="s">
        <v>3747</v>
      </c>
      <c r="O2042" s="17">
        <f>INDEX('список ID из СУЭ с должностями'!$A:$F,MATCH(E2042,'список ID из СУЭ с должностями'!$B:$B,0),5)</f>
        <v>0</v>
      </c>
    </row>
    <row r="2043" spans="1:15" ht="210">
      <c r="A2043" s="3" t="s">
        <v>10</v>
      </c>
      <c r="B2043" s="3" t="s">
        <v>11</v>
      </c>
      <c r="C2043" s="4">
        <v>2026</v>
      </c>
      <c r="D2043" s="5" t="s">
        <v>12</v>
      </c>
      <c r="E2043" s="4">
        <v>282</v>
      </c>
      <c r="F2043" s="4" t="s">
        <v>385</v>
      </c>
      <c r="G2043" s="4" t="s">
        <v>1833</v>
      </c>
      <c r="H2043" s="4" t="s">
        <v>21</v>
      </c>
      <c r="I2043" s="4" t="s">
        <v>1838</v>
      </c>
      <c r="J2043" s="4" t="s">
        <v>2277</v>
      </c>
      <c r="K2043" s="4" t="s">
        <v>23</v>
      </c>
      <c r="L2043" s="4" t="s">
        <v>3743</v>
      </c>
      <c r="M2043" s="4" t="s">
        <v>3748</v>
      </c>
      <c r="N2043" s="4" t="s">
        <v>3752</v>
      </c>
      <c r="O2043" s="17">
        <f>INDEX('список ID из СУЭ с должностями'!$A:$F,MATCH(E2043,'список ID из СУЭ с должностями'!$B:$B,0),5)</f>
        <v>0</v>
      </c>
    </row>
    <row r="2044" spans="1:15" ht="180">
      <c r="A2044" s="3" t="s">
        <v>10</v>
      </c>
      <c r="B2044" s="3" t="s">
        <v>11</v>
      </c>
      <c r="C2044" s="4">
        <v>2026</v>
      </c>
      <c r="D2044" s="5" t="s">
        <v>12</v>
      </c>
      <c r="E2044" s="4">
        <v>282</v>
      </c>
      <c r="F2044" s="4" t="s">
        <v>385</v>
      </c>
      <c r="G2044" s="4" t="s">
        <v>1833</v>
      </c>
      <c r="H2044" s="4" t="s">
        <v>21</v>
      </c>
      <c r="I2044" s="4" t="s">
        <v>1842</v>
      </c>
      <c r="J2044" s="4" t="s">
        <v>2278</v>
      </c>
      <c r="K2044" s="4" t="s">
        <v>23</v>
      </c>
      <c r="L2044" s="4" t="s">
        <v>3743</v>
      </c>
      <c r="M2044" s="4" t="s">
        <v>3748</v>
      </c>
      <c r="N2044" s="4" t="s">
        <v>3752</v>
      </c>
      <c r="O2044" s="17">
        <f>INDEX('список ID из СУЭ с должностями'!$A:$F,MATCH(E2044,'список ID из СУЭ с должностями'!$B:$B,0),5)</f>
        <v>0</v>
      </c>
    </row>
    <row r="2045" spans="1:15" ht="135">
      <c r="A2045" s="3" t="s">
        <v>10</v>
      </c>
      <c r="B2045" s="3" t="s">
        <v>11</v>
      </c>
      <c r="C2045" s="4">
        <v>2026</v>
      </c>
      <c r="D2045" s="5" t="s">
        <v>12</v>
      </c>
      <c r="E2045" s="4">
        <v>282</v>
      </c>
      <c r="F2045" s="4" t="s">
        <v>385</v>
      </c>
      <c r="G2045" s="4" t="s">
        <v>1833</v>
      </c>
      <c r="H2045" s="4" t="s">
        <v>21</v>
      </c>
      <c r="I2045" s="4" t="s">
        <v>2279</v>
      </c>
      <c r="J2045" s="4" t="s">
        <v>2280</v>
      </c>
      <c r="K2045" s="4" t="s">
        <v>23</v>
      </c>
      <c r="L2045" s="4" t="s">
        <v>3743</v>
      </c>
      <c r="M2045" s="4" t="s">
        <v>3748</v>
      </c>
      <c r="N2045" s="4" t="s">
        <v>3752</v>
      </c>
      <c r="O2045" s="17">
        <f>INDEX('список ID из СУЭ с должностями'!$A:$F,MATCH(E2045,'список ID из СУЭ с должностями'!$B:$B,0),5)</f>
        <v>0</v>
      </c>
    </row>
    <row r="2046" spans="1:15" ht="165">
      <c r="A2046" s="3" t="s">
        <v>10</v>
      </c>
      <c r="B2046" s="3" t="s">
        <v>11</v>
      </c>
      <c r="C2046" s="4">
        <v>2026</v>
      </c>
      <c r="D2046" s="5" t="s">
        <v>12</v>
      </c>
      <c r="E2046" s="4">
        <v>282</v>
      </c>
      <c r="F2046" s="4" t="s">
        <v>385</v>
      </c>
      <c r="G2046" s="4" t="s">
        <v>1833</v>
      </c>
      <c r="H2046" s="4" t="s">
        <v>21</v>
      </c>
      <c r="I2046" s="4" t="s">
        <v>1840</v>
      </c>
      <c r="J2046" s="4" t="s">
        <v>2281</v>
      </c>
      <c r="K2046" s="4" t="s">
        <v>23</v>
      </c>
      <c r="L2046" s="4" t="s">
        <v>3743</v>
      </c>
      <c r="M2046" s="4" t="s">
        <v>3748</v>
      </c>
      <c r="N2046" s="4" t="s">
        <v>3752</v>
      </c>
      <c r="O2046" s="17">
        <f>INDEX('список ID из СУЭ с должностями'!$A:$F,MATCH(E2046,'список ID из СУЭ с должностями'!$B:$B,0),5)</f>
        <v>0</v>
      </c>
    </row>
    <row r="2047" spans="1:15" ht="409.5">
      <c r="A2047" s="3" t="s">
        <v>10</v>
      </c>
      <c r="B2047" s="3" t="s">
        <v>11</v>
      </c>
      <c r="C2047" s="4">
        <v>2026</v>
      </c>
      <c r="D2047" s="5" t="s">
        <v>12</v>
      </c>
      <c r="E2047" s="4">
        <v>282</v>
      </c>
      <c r="F2047" s="4" t="s">
        <v>385</v>
      </c>
      <c r="G2047" s="4" t="s">
        <v>1833</v>
      </c>
      <c r="H2047" s="4" t="s">
        <v>21</v>
      </c>
      <c r="I2047" s="4" t="s">
        <v>2282</v>
      </c>
      <c r="J2047" s="4" t="s">
        <v>2283</v>
      </c>
      <c r="K2047" s="4" t="s">
        <v>23</v>
      </c>
      <c r="L2047" s="4" t="s">
        <v>3743</v>
      </c>
      <c r="M2047" s="4" t="s">
        <v>3748</v>
      </c>
      <c r="N2047" s="4" t="s">
        <v>3752</v>
      </c>
      <c r="O2047" s="17">
        <f>INDEX('список ID из СУЭ с должностями'!$A:$F,MATCH(E2047,'список ID из СУЭ с должностями'!$B:$B,0),5)</f>
        <v>0</v>
      </c>
    </row>
    <row r="2048" spans="1:15" ht="75">
      <c r="A2048" s="3" t="s">
        <v>10</v>
      </c>
      <c r="B2048" s="3" t="s">
        <v>11</v>
      </c>
      <c r="C2048" s="4">
        <v>2026</v>
      </c>
      <c r="D2048" s="5" t="s">
        <v>12</v>
      </c>
      <c r="E2048" s="4">
        <v>282</v>
      </c>
      <c r="F2048" s="4" t="s">
        <v>385</v>
      </c>
      <c r="G2048" s="4" t="s">
        <v>1833</v>
      </c>
      <c r="H2048" s="4" t="s">
        <v>15</v>
      </c>
      <c r="I2048" s="4" t="s">
        <v>1834</v>
      </c>
      <c r="J2048" s="4" t="s">
        <v>2284</v>
      </c>
      <c r="K2048" s="4" t="s">
        <v>23</v>
      </c>
      <c r="L2048" s="4" t="s">
        <v>3743</v>
      </c>
      <c r="M2048" s="4" t="s">
        <v>3748</v>
      </c>
      <c r="N2048" s="4" t="s">
        <v>3752</v>
      </c>
      <c r="O2048" s="17">
        <f>INDEX('список ID из СУЭ с должностями'!$A:$F,MATCH(E2048,'список ID из СУЭ с должностями'!$B:$B,0),5)</f>
        <v>0</v>
      </c>
    </row>
    <row r="2049" spans="1:15" ht="60">
      <c r="A2049" s="3" t="s">
        <v>10</v>
      </c>
      <c r="B2049" s="3" t="s">
        <v>11</v>
      </c>
      <c r="C2049" s="4">
        <v>2026</v>
      </c>
      <c r="D2049" s="5" t="s">
        <v>12</v>
      </c>
      <c r="E2049" s="4">
        <v>283</v>
      </c>
      <c r="F2049" s="4" t="s">
        <v>307</v>
      </c>
      <c r="G2049" s="4" t="s">
        <v>913</v>
      </c>
      <c r="H2049" s="4" t="s">
        <v>15</v>
      </c>
      <c r="I2049" s="4" t="s">
        <v>31</v>
      </c>
      <c r="J2049" s="4" t="s">
        <v>32</v>
      </c>
      <c r="K2049" s="4" t="s">
        <v>30</v>
      </c>
      <c r="L2049" s="4" t="s">
        <v>3742</v>
      </c>
      <c r="M2049" s="4" t="s">
        <v>3746</v>
      </c>
      <c r="N2049" s="4" t="s">
        <v>3747</v>
      </c>
      <c r="O2049" s="17">
        <f>INDEX('список ID из СУЭ с должностями'!$A:$F,MATCH(E2049,'список ID из СУЭ с должностями'!$B:$B,0),5)</f>
        <v>0</v>
      </c>
    </row>
    <row r="2050" spans="1:15" ht="60">
      <c r="A2050" s="3" t="s">
        <v>10</v>
      </c>
      <c r="B2050" s="3" t="s">
        <v>11</v>
      </c>
      <c r="C2050" s="4">
        <v>2026</v>
      </c>
      <c r="D2050" s="5" t="s">
        <v>12</v>
      </c>
      <c r="E2050" s="4">
        <v>283</v>
      </c>
      <c r="F2050" s="4" t="s">
        <v>307</v>
      </c>
      <c r="G2050" s="4" t="s">
        <v>913</v>
      </c>
      <c r="H2050" s="4" t="s">
        <v>21</v>
      </c>
      <c r="I2050" s="4" t="s">
        <v>26</v>
      </c>
      <c r="J2050" s="4" t="s">
        <v>1740</v>
      </c>
      <c r="K2050" s="4" t="s">
        <v>25</v>
      </c>
      <c r="L2050" s="4" t="s">
        <v>3743</v>
      </c>
      <c r="M2050" s="4" t="s">
        <v>3746</v>
      </c>
      <c r="N2050" s="4" t="s">
        <v>3747</v>
      </c>
      <c r="O2050" s="17">
        <f>INDEX('список ID из СУЭ с должностями'!$A:$F,MATCH(E2050,'список ID из СУЭ с должностями'!$B:$B,0),5)</f>
        <v>0</v>
      </c>
    </row>
    <row r="2051" spans="1:15" ht="60">
      <c r="A2051" s="3" t="s">
        <v>10</v>
      </c>
      <c r="B2051" s="3" t="s">
        <v>11</v>
      </c>
      <c r="C2051" s="4">
        <v>2026</v>
      </c>
      <c r="D2051" s="5" t="s">
        <v>12</v>
      </c>
      <c r="E2051" s="4">
        <v>283</v>
      </c>
      <c r="F2051" s="4" t="s">
        <v>307</v>
      </c>
      <c r="G2051" s="4" t="s">
        <v>913</v>
      </c>
      <c r="H2051" s="4" t="s">
        <v>21</v>
      </c>
      <c r="I2051" s="4" t="s">
        <v>26</v>
      </c>
      <c r="J2051" s="4" t="s">
        <v>1735</v>
      </c>
      <c r="K2051" s="4" t="s">
        <v>25</v>
      </c>
      <c r="L2051" s="4" t="s">
        <v>3743</v>
      </c>
      <c r="M2051" s="4" t="s">
        <v>3746</v>
      </c>
      <c r="N2051" s="4" t="s">
        <v>3747</v>
      </c>
      <c r="O2051" s="17">
        <f>INDEX('список ID из СУЭ с должностями'!$A:$F,MATCH(E2051,'список ID из СУЭ с должностями'!$B:$B,0),5)</f>
        <v>0</v>
      </c>
    </row>
    <row r="2052" spans="1:15" ht="60">
      <c r="A2052" s="3" t="s">
        <v>10</v>
      </c>
      <c r="B2052" s="3" t="s">
        <v>11</v>
      </c>
      <c r="C2052" s="4">
        <v>2026</v>
      </c>
      <c r="D2052" s="5" t="s">
        <v>12</v>
      </c>
      <c r="E2052" s="4">
        <v>283</v>
      </c>
      <c r="F2052" s="4" t="s">
        <v>307</v>
      </c>
      <c r="G2052" s="4" t="s">
        <v>913</v>
      </c>
      <c r="H2052" s="4" t="s">
        <v>21</v>
      </c>
      <c r="I2052" s="4" t="s">
        <v>26</v>
      </c>
      <c r="J2052" s="4" t="s">
        <v>1736</v>
      </c>
      <c r="K2052" s="4" t="s">
        <v>25</v>
      </c>
      <c r="L2052" s="4" t="s">
        <v>3743</v>
      </c>
      <c r="M2052" s="4" t="s">
        <v>3746</v>
      </c>
      <c r="N2052" s="4" t="s">
        <v>3747</v>
      </c>
      <c r="O2052" s="17">
        <f>INDEX('список ID из СУЭ с должностями'!$A:$F,MATCH(E2052,'список ID из СУЭ с должностями'!$B:$B,0),5)</f>
        <v>0</v>
      </c>
    </row>
    <row r="2053" spans="1:15" ht="60">
      <c r="A2053" s="3" t="s">
        <v>10</v>
      </c>
      <c r="B2053" s="3" t="s">
        <v>11</v>
      </c>
      <c r="C2053" s="4">
        <v>2026</v>
      </c>
      <c r="D2053" s="5" t="s">
        <v>12</v>
      </c>
      <c r="E2053" s="4">
        <v>283</v>
      </c>
      <c r="F2053" s="4" t="s">
        <v>307</v>
      </c>
      <c r="G2053" s="4" t="s">
        <v>913</v>
      </c>
      <c r="H2053" s="4" t="s">
        <v>21</v>
      </c>
      <c r="I2053" s="4" t="s">
        <v>26</v>
      </c>
      <c r="J2053" s="4" t="s">
        <v>1737</v>
      </c>
      <c r="K2053" s="4" t="s">
        <v>25</v>
      </c>
      <c r="L2053" s="4" t="s">
        <v>3743</v>
      </c>
      <c r="M2053" s="4" t="s">
        <v>3746</v>
      </c>
      <c r="N2053" s="4" t="s">
        <v>3747</v>
      </c>
      <c r="O2053" s="17">
        <f>INDEX('список ID из СУЭ с должностями'!$A:$F,MATCH(E2053,'список ID из СУЭ с должностями'!$B:$B,0),5)</f>
        <v>0</v>
      </c>
    </row>
    <row r="2054" spans="1:15" ht="75">
      <c r="A2054" s="3" t="s">
        <v>10</v>
      </c>
      <c r="B2054" s="3" t="s">
        <v>11</v>
      </c>
      <c r="C2054" s="4">
        <v>2026</v>
      </c>
      <c r="D2054" s="5" t="s">
        <v>12</v>
      </c>
      <c r="E2054" s="4">
        <v>283</v>
      </c>
      <c r="F2054" s="4" t="s">
        <v>307</v>
      </c>
      <c r="G2054" s="4" t="s">
        <v>913</v>
      </c>
      <c r="H2054" s="4" t="s">
        <v>21</v>
      </c>
      <c r="I2054" s="4" t="s">
        <v>26</v>
      </c>
      <c r="J2054" s="4" t="s">
        <v>1738</v>
      </c>
      <c r="K2054" s="4" t="s">
        <v>25</v>
      </c>
      <c r="L2054" s="4" t="s">
        <v>3743</v>
      </c>
      <c r="M2054" s="4" t="s">
        <v>3746</v>
      </c>
      <c r="N2054" s="4" t="s">
        <v>3747</v>
      </c>
      <c r="O2054" s="17">
        <f>INDEX('список ID из СУЭ с должностями'!$A:$F,MATCH(E2054,'список ID из СУЭ с должностями'!$B:$B,0),5)</f>
        <v>0</v>
      </c>
    </row>
    <row r="2055" spans="1:15" ht="60">
      <c r="A2055" s="3" t="s">
        <v>10</v>
      </c>
      <c r="B2055" s="3" t="s">
        <v>11</v>
      </c>
      <c r="C2055" s="4">
        <v>2026</v>
      </c>
      <c r="D2055" s="5" t="s">
        <v>12</v>
      </c>
      <c r="E2055" s="4">
        <v>283</v>
      </c>
      <c r="F2055" s="4" t="s">
        <v>307</v>
      </c>
      <c r="G2055" s="4" t="s">
        <v>913</v>
      </c>
      <c r="H2055" s="4" t="s">
        <v>21</v>
      </c>
      <c r="I2055" s="4" t="s">
        <v>26</v>
      </c>
      <c r="J2055" s="4" t="s">
        <v>1739</v>
      </c>
      <c r="K2055" s="4" t="s">
        <v>25</v>
      </c>
      <c r="L2055" s="4" t="s">
        <v>3743</v>
      </c>
      <c r="M2055" s="4" t="s">
        <v>3746</v>
      </c>
      <c r="N2055" s="4" t="s">
        <v>3747</v>
      </c>
      <c r="O2055" s="17">
        <f>INDEX('список ID из СУЭ с должностями'!$A:$F,MATCH(E2055,'список ID из СУЭ с должностями'!$B:$B,0),5)</f>
        <v>0</v>
      </c>
    </row>
    <row r="2056" spans="1:15" ht="75">
      <c r="A2056" s="3" t="s">
        <v>10</v>
      </c>
      <c r="B2056" s="3" t="s">
        <v>11</v>
      </c>
      <c r="C2056" s="4">
        <v>2026</v>
      </c>
      <c r="D2056" s="5" t="s">
        <v>12</v>
      </c>
      <c r="E2056" s="4">
        <v>283</v>
      </c>
      <c r="F2056" s="4" t="s">
        <v>307</v>
      </c>
      <c r="G2056" s="4" t="s">
        <v>913</v>
      </c>
      <c r="H2056" s="4" t="s">
        <v>21</v>
      </c>
      <c r="I2056" s="4" t="s">
        <v>1741</v>
      </c>
      <c r="J2056" s="4" t="s">
        <v>1742</v>
      </c>
      <c r="K2056" s="4" t="s">
        <v>25</v>
      </c>
      <c r="L2056" s="4" t="s">
        <v>3743</v>
      </c>
      <c r="M2056" s="4" t="s">
        <v>3746</v>
      </c>
      <c r="N2056" s="4" t="s">
        <v>3747</v>
      </c>
      <c r="O2056" s="17">
        <f>INDEX('список ID из СУЭ с должностями'!$A:$F,MATCH(E2056,'список ID из СУЭ с должностями'!$B:$B,0),5)</f>
        <v>0</v>
      </c>
    </row>
    <row r="2057" spans="1:15" ht="60">
      <c r="A2057" s="3" t="s">
        <v>10</v>
      </c>
      <c r="B2057" s="3" t="s">
        <v>11</v>
      </c>
      <c r="C2057" s="4">
        <v>2026</v>
      </c>
      <c r="D2057" s="5" t="s">
        <v>12</v>
      </c>
      <c r="E2057" s="4">
        <v>283</v>
      </c>
      <c r="F2057" s="4" t="s">
        <v>307</v>
      </c>
      <c r="G2057" s="4" t="s">
        <v>913</v>
      </c>
      <c r="H2057" s="4" t="s">
        <v>21</v>
      </c>
      <c r="I2057" s="4" t="s">
        <v>1743</v>
      </c>
      <c r="J2057" s="4" t="s">
        <v>1744</v>
      </c>
      <c r="K2057" s="4" t="s">
        <v>25</v>
      </c>
      <c r="L2057" s="4" t="s">
        <v>3743</v>
      </c>
      <c r="M2057" s="4" t="s">
        <v>3746</v>
      </c>
      <c r="N2057" s="4" t="s">
        <v>3747</v>
      </c>
      <c r="O2057" s="17">
        <f>INDEX('список ID из СУЭ с должностями'!$A:$F,MATCH(E2057,'список ID из СУЭ с должностями'!$B:$B,0),5)</f>
        <v>0</v>
      </c>
    </row>
    <row r="2058" spans="1:15" ht="60">
      <c r="A2058" s="3" t="s">
        <v>10</v>
      </c>
      <c r="B2058" s="3" t="s">
        <v>11</v>
      </c>
      <c r="C2058" s="4">
        <v>2026</v>
      </c>
      <c r="D2058" s="5" t="s">
        <v>12</v>
      </c>
      <c r="E2058" s="4">
        <v>283</v>
      </c>
      <c r="F2058" s="4" t="s">
        <v>307</v>
      </c>
      <c r="G2058" s="4" t="s">
        <v>913</v>
      </c>
      <c r="H2058" s="4" t="s">
        <v>21</v>
      </c>
      <c r="I2058" s="4" t="s">
        <v>1745</v>
      </c>
      <c r="J2058" s="4" t="s">
        <v>1746</v>
      </c>
      <c r="K2058" s="4" t="s">
        <v>25</v>
      </c>
      <c r="L2058" s="4" t="s">
        <v>3743</v>
      </c>
      <c r="M2058" s="4" t="s">
        <v>3746</v>
      </c>
      <c r="N2058" s="4" t="s">
        <v>3747</v>
      </c>
      <c r="O2058" s="17">
        <f>INDEX('список ID из СУЭ с должностями'!$A:$F,MATCH(E2058,'список ID из СУЭ с должностями'!$B:$B,0),5)</f>
        <v>0</v>
      </c>
    </row>
    <row r="2059" spans="1:15" ht="105">
      <c r="A2059" s="3" t="s">
        <v>10</v>
      </c>
      <c r="B2059" s="3" t="s">
        <v>11</v>
      </c>
      <c r="C2059" s="4">
        <v>2026</v>
      </c>
      <c r="D2059" s="5" t="s">
        <v>12</v>
      </c>
      <c r="E2059" s="4">
        <v>284</v>
      </c>
      <c r="F2059" s="4" t="s">
        <v>67</v>
      </c>
      <c r="G2059" s="4" t="s">
        <v>99</v>
      </c>
      <c r="H2059" s="4" t="s">
        <v>15</v>
      </c>
      <c r="I2059" s="4" t="s">
        <v>2285</v>
      </c>
      <c r="J2059" s="4" t="s">
        <v>2286</v>
      </c>
      <c r="K2059" s="4" t="s">
        <v>30</v>
      </c>
      <c r="L2059" s="4" t="s">
        <v>3743</v>
      </c>
      <c r="M2059" s="4" t="s">
        <v>3746</v>
      </c>
      <c r="N2059" s="4" t="s">
        <v>3747</v>
      </c>
      <c r="O2059" s="17">
        <f>INDEX('список ID из СУЭ с должностями'!$A:$F,MATCH(E2059,'список ID из СУЭ с должностями'!$B:$B,0),5)</f>
        <v>0</v>
      </c>
    </row>
    <row r="2060" spans="1:15" ht="375">
      <c r="A2060" s="3" t="s">
        <v>10</v>
      </c>
      <c r="B2060" s="3" t="s">
        <v>11</v>
      </c>
      <c r="C2060" s="4">
        <v>2026</v>
      </c>
      <c r="D2060" s="5" t="s">
        <v>12</v>
      </c>
      <c r="E2060" s="4">
        <v>284</v>
      </c>
      <c r="F2060" s="4" t="s">
        <v>67</v>
      </c>
      <c r="G2060" s="4" t="s">
        <v>99</v>
      </c>
      <c r="H2060" s="4" t="s">
        <v>21</v>
      </c>
      <c r="I2060" s="4" t="s">
        <v>120</v>
      </c>
      <c r="J2060" s="4" t="s">
        <v>2287</v>
      </c>
      <c r="K2060" s="4" t="s">
        <v>30</v>
      </c>
      <c r="L2060" s="4" t="s">
        <v>3743</v>
      </c>
      <c r="M2060" s="4" t="s">
        <v>3746</v>
      </c>
      <c r="N2060" s="4" t="s">
        <v>3747</v>
      </c>
      <c r="O2060" s="17">
        <f>INDEX('список ID из СУЭ с должностями'!$A:$F,MATCH(E2060,'список ID из СУЭ с должностями'!$B:$B,0),5)</f>
        <v>0</v>
      </c>
    </row>
    <row r="2061" spans="1:15" ht="105">
      <c r="A2061" s="3" t="s">
        <v>10</v>
      </c>
      <c r="B2061" s="3" t="s">
        <v>11</v>
      </c>
      <c r="C2061" s="4">
        <v>2026</v>
      </c>
      <c r="D2061" s="5" t="s">
        <v>12</v>
      </c>
      <c r="E2061" s="4">
        <v>284</v>
      </c>
      <c r="F2061" s="4" t="s">
        <v>67</v>
      </c>
      <c r="G2061" s="4" t="s">
        <v>99</v>
      </c>
      <c r="H2061" s="4" t="s">
        <v>15</v>
      </c>
      <c r="I2061" s="4" t="s">
        <v>2288</v>
      </c>
      <c r="J2061" s="4" t="s">
        <v>2289</v>
      </c>
      <c r="K2061" s="4" t="s">
        <v>30</v>
      </c>
      <c r="L2061" s="4" t="s">
        <v>3743</v>
      </c>
      <c r="M2061" s="4" t="s">
        <v>3746</v>
      </c>
      <c r="N2061" s="4" t="s">
        <v>3747</v>
      </c>
      <c r="O2061" s="17">
        <f>INDEX('список ID из СУЭ с должностями'!$A:$F,MATCH(E2061,'список ID из СУЭ с должностями'!$B:$B,0),5)</f>
        <v>0</v>
      </c>
    </row>
    <row r="2062" spans="1:15" ht="105">
      <c r="A2062" s="3" t="s">
        <v>10</v>
      </c>
      <c r="B2062" s="3" t="s">
        <v>11</v>
      </c>
      <c r="C2062" s="4">
        <v>2026</v>
      </c>
      <c r="D2062" s="5" t="s">
        <v>12</v>
      </c>
      <c r="E2062" s="4">
        <v>284</v>
      </c>
      <c r="F2062" s="4" t="s">
        <v>67</v>
      </c>
      <c r="G2062" s="4" t="s">
        <v>99</v>
      </c>
      <c r="H2062" s="4" t="s">
        <v>15</v>
      </c>
      <c r="I2062" s="4" t="s">
        <v>2290</v>
      </c>
      <c r="J2062" s="4" t="s">
        <v>2291</v>
      </c>
      <c r="K2062" s="4" t="s">
        <v>30</v>
      </c>
      <c r="L2062" s="4" t="s">
        <v>3743</v>
      </c>
      <c r="M2062" s="4" t="s">
        <v>3746</v>
      </c>
      <c r="N2062" s="4" t="s">
        <v>3747</v>
      </c>
      <c r="O2062" s="17">
        <f>INDEX('список ID из СУЭ с должностями'!$A:$F,MATCH(E2062,'список ID из СУЭ с должностями'!$B:$B,0),5)</f>
        <v>0</v>
      </c>
    </row>
    <row r="2063" spans="1:15" ht="105">
      <c r="A2063" s="3" t="s">
        <v>10</v>
      </c>
      <c r="B2063" s="3" t="s">
        <v>11</v>
      </c>
      <c r="C2063" s="4">
        <v>2026</v>
      </c>
      <c r="D2063" s="5" t="s">
        <v>12</v>
      </c>
      <c r="E2063" s="4">
        <v>284</v>
      </c>
      <c r="F2063" s="4" t="s">
        <v>67</v>
      </c>
      <c r="G2063" s="4" t="s">
        <v>99</v>
      </c>
      <c r="H2063" s="4" t="s">
        <v>21</v>
      </c>
      <c r="I2063" s="4" t="s">
        <v>2292</v>
      </c>
      <c r="J2063" s="4" t="s">
        <v>2293</v>
      </c>
      <c r="K2063" s="4" t="s">
        <v>38</v>
      </c>
      <c r="L2063" s="4" t="s">
        <v>3743</v>
      </c>
      <c r="M2063" s="4" t="s">
        <v>3746</v>
      </c>
      <c r="N2063" s="4" t="s">
        <v>3747</v>
      </c>
      <c r="O2063" s="17">
        <f>INDEX('список ID из СУЭ с должностями'!$A:$F,MATCH(E2063,'список ID из СУЭ с должностями'!$B:$B,0),5)</f>
        <v>0</v>
      </c>
    </row>
    <row r="2064" spans="1:15" ht="150">
      <c r="A2064" s="3" t="s">
        <v>10</v>
      </c>
      <c r="B2064" s="3" t="s">
        <v>11</v>
      </c>
      <c r="C2064" s="4">
        <v>2026</v>
      </c>
      <c r="D2064" s="5" t="s">
        <v>12</v>
      </c>
      <c r="E2064" s="4">
        <v>284</v>
      </c>
      <c r="F2064" s="4" t="s">
        <v>67</v>
      </c>
      <c r="G2064" s="4" t="s">
        <v>99</v>
      </c>
      <c r="H2064" s="4" t="s">
        <v>15</v>
      </c>
      <c r="I2064" s="4" t="s">
        <v>2294</v>
      </c>
      <c r="J2064" s="4" t="s">
        <v>2295</v>
      </c>
      <c r="K2064" s="4" t="s">
        <v>30</v>
      </c>
      <c r="L2064" s="4" t="s">
        <v>3743</v>
      </c>
      <c r="M2064" s="4" t="s">
        <v>3746</v>
      </c>
      <c r="N2064" s="4" t="s">
        <v>3747</v>
      </c>
      <c r="O2064" s="17">
        <f>INDEX('список ID из СУЭ с должностями'!$A:$F,MATCH(E2064,'список ID из СУЭ с должностями'!$B:$B,0),5)</f>
        <v>0</v>
      </c>
    </row>
    <row r="2065" spans="1:15" ht="120">
      <c r="A2065" s="3" t="s">
        <v>10</v>
      </c>
      <c r="B2065" s="3" t="s">
        <v>11</v>
      </c>
      <c r="C2065" s="4">
        <v>2026</v>
      </c>
      <c r="D2065" s="5" t="s">
        <v>12</v>
      </c>
      <c r="E2065" s="4">
        <v>284</v>
      </c>
      <c r="F2065" s="4" t="s">
        <v>67</v>
      </c>
      <c r="G2065" s="4" t="s">
        <v>99</v>
      </c>
      <c r="H2065" s="4" t="s">
        <v>15</v>
      </c>
      <c r="I2065" s="4" t="s">
        <v>2296</v>
      </c>
      <c r="J2065" s="4" t="s">
        <v>2297</v>
      </c>
      <c r="K2065" s="4" t="s">
        <v>30</v>
      </c>
      <c r="L2065" s="4" t="s">
        <v>3743</v>
      </c>
      <c r="M2065" s="4" t="s">
        <v>3746</v>
      </c>
      <c r="N2065" s="4" t="s">
        <v>3747</v>
      </c>
      <c r="O2065" s="17">
        <f>INDEX('список ID из СУЭ с должностями'!$A:$F,MATCH(E2065,'список ID из СУЭ с должностями'!$B:$B,0),5)</f>
        <v>0</v>
      </c>
    </row>
    <row r="2066" spans="1:15" ht="105">
      <c r="A2066" s="3" t="s">
        <v>10</v>
      </c>
      <c r="B2066" s="3" t="s">
        <v>11</v>
      </c>
      <c r="C2066" s="4">
        <v>2026</v>
      </c>
      <c r="D2066" s="5" t="s">
        <v>12</v>
      </c>
      <c r="E2066" s="4">
        <v>284</v>
      </c>
      <c r="F2066" s="4" t="s">
        <v>67</v>
      </c>
      <c r="G2066" s="4" t="s">
        <v>99</v>
      </c>
      <c r="H2066" s="4" t="s">
        <v>15</v>
      </c>
      <c r="I2066" s="4" t="s">
        <v>126</v>
      </c>
      <c r="J2066" s="4">
        <v>0</v>
      </c>
      <c r="K2066" s="4" t="s">
        <v>35</v>
      </c>
      <c r="L2066" s="4" t="s">
        <v>3743</v>
      </c>
      <c r="M2066" s="4" t="s">
        <v>3746</v>
      </c>
      <c r="N2066" s="4" t="s">
        <v>3747</v>
      </c>
      <c r="O2066" s="17">
        <f>INDEX('список ID из СУЭ с должностями'!$A:$F,MATCH(E2066,'список ID из СУЭ с должностями'!$B:$B,0),5)</f>
        <v>0</v>
      </c>
    </row>
    <row r="2067" spans="1:15" ht="105">
      <c r="A2067" s="3" t="s">
        <v>10</v>
      </c>
      <c r="B2067" s="3" t="s">
        <v>11</v>
      </c>
      <c r="C2067" s="4">
        <v>2026</v>
      </c>
      <c r="D2067" s="5" t="s">
        <v>12</v>
      </c>
      <c r="E2067" s="4">
        <v>284</v>
      </c>
      <c r="F2067" s="4" t="s">
        <v>67</v>
      </c>
      <c r="G2067" s="4" t="s">
        <v>99</v>
      </c>
      <c r="H2067" s="4" t="s">
        <v>15</v>
      </c>
      <c r="I2067" s="4" t="s">
        <v>2298</v>
      </c>
      <c r="J2067" s="4" t="s">
        <v>2299</v>
      </c>
      <c r="K2067" s="4" t="s">
        <v>30</v>
      </c>
      <c r="L2067" s="4" t="s">
        <v>3743</v>
      </c>
      <c r="M2067" s="4" t="s">
        <v>3746</v>
      </c>
      <c r="N2067" s="4" t="s">
        <v>3747</v>
      </c>
      <c r="O2067" s="17">
        <f>INDEX('список ID из СУЭ с должностями'!$A:$F,MATCH(E2067,'список ID из СУЭ с должностями'!$B:$B,0),5)</f>
        <v>0</v>
      </c>
    </row>
    <row r="2068" spans="1:15" ht="105">
      <c r="A2068" s="3" t="s">
        <v>10</v>
      </c>
      <c r="B2068" s="3" t="s">
        <v>11</v>
      </c>
      <c r="C2068" s="4">
        <v>2026</v>
      </c>
      <c r="D2068" s="5" t="s">
        <v>12</v>
      </c>
      <c r="E2068" s="4">
        <v>284</v>
      </c>
      <c r="F2068" s="4" t="s">
        <v>67</v>
      </c>
      <c r="G2068" s="4" t="s">
        <v>99</v>
      </c>
      <c r="H2068" s="4" t="s">
        <v>15</v>
      </c>
      <c r="I2068" s="4" t="s">
        <v>2300</v>
      </c>
      <c r="J2068" s="4" t="s">
        <v>2301</v>
      </c>
      <c r="K2068" s="4" t="s">
        <v>30</v>
      </c>
      <c r="L2068" s="4" t="s">
        <v>3743</v>
      </c>
      <c r="M2068" s="4" t="s">
        <v>3746</v>
      </c>
      <c r="N2068" s="4" t="s">
        <v>3747</v>
      </c>
      <c r="O2068" s="17">
        <f>INDEX('список ID из СУЭ с должностями'!$A:$F,MATCH(E2068,'список ID из СУЭ с должностями'!$B:$B,0),5)</f>
        <v>0</v>
      </c>
    </row>
    <row r="2069" spans="1:15" ht="105">
      <c r="A2069" s="3" t="s">
        <v>10</v>
      </c>
      <c r="B2069" s="3" t="s">
        <v>11</v>
      </c>
      <c r="C2069" s="4">
        <v>2026</v>
      </c>
      <c r="D2069" s="5" t="s">
        <v>12</v>
      </c>
      <c r="E2069" s="4">
        <v>285</v>
      </c>
      <c r="F2069" s="4" t="s">
        <v>307</v>
      </c>
      <c r="G2069" s="4" t="s">
        <v>990</v>
      </c>
      <c r="H2069" s="4" t="s">
        <v>21</v>
      </c>
      <c r="I2069" s="4" t="s">
        <v>2302</v>
      </c>
      <c r="J2069" s="4" t="s">
        <v>2303</v>
      </c>
      <c r="K2069" s="4" t="s">
        <v>2304</v>
      </c>
      <c r="L2069" s="4" t="s">
        <v>3743</v>
      </c>
      <c r="M2069" s="4" t="s">
        <v>3750</v>
      </c>
      <c r="N2069" s="4" t="s">
        <v>3776</v>
      </c>
      <c r="O2069" s="17">
        <f>INDEX('список ID из СУЭ с должностями'!$A:$F,MATCH(E2069,'список ID из СУЭ с должностями'!$B:$B,0),5)</f>
        <v>0</v>
      </c>
    </row>
    <row r="2070" spans="1:15" ht="90">
      <c r="A2070" s="3" t="s">
        <v>10</v>
      </c>
      <c r="B2070" s="3" t="s">
        <v>11</v>
      </c>
      <c r="C2070" s="4">
        <v>2026</v>
      </c>
      <c r="D2070" s="5" t="s">
        <v>12</v>
      </c>
      <c r="E2070" s="4">
        <v>285</v>
      </c>
      <c r="F2070" s="4" t="s">
        <v>307</v>
      </c>
      <c r="G2070" s="4" t="s">
        <v>990</v>
      </c>
      <c r="H2070" s="4" t="s">
        <v>21</v>
      </c>
      <c r="I2070" s="4" t="s">
        <v>2305</v>
      </c>
      <c r="J2070" s="4" t="s">
        <v>2306</v>
      </c>
      <c r="K2070" s="4" t="s">
        <v>2304</v>
      </c>
      <c r="L2070" s="4" t="s">
        <v>3743</v>
      </c>
      <c r="M2070" s="4" t="s">
        <v>3750</v>
      </c>
      <c r="N2070" s="4" t="s">
        <v>3776</v>
      </c>
      <c r="O2070" s="17">
        <f>INDEX('список ID из СУЭ с должностями'!$A:$F,MATCH(E2070,'список ID из СУЭ с должностями'!$B:$B,0),5)</f>
        <v>0</v>
      </c>
    </row>
    <row r="2071" spans="1:15" ht="60">
      <c r="A2071" s="3" t="s">
        <v>10</v>
      </c>
      <c r="B2071" s="3" t="s">
        <v>11</v>
      </c>
      <c r="C2071" s="4">
        <v>2026</v>
      </c>
      <c r="D2071" s="5" t="s">
        <v>12</v>
      </c>
      <c r="E2071" s="4">
        <v>285</v>
      </c>
      <c r="F2071" s="4" t="s">
        <v>307</v>
      </c>
      <c r="G2071" s="4" t="s">
        <v>990</v>
      </c>
      <c r="H2071" s="4" t="s">
        <v>21</v>
      </c>
      <c r="I2071" s="4" t="s">
        <v>2307</v>
      </c>
      <c r="J2071" s="4" t="s">
        <v>2308</v>
      </c>
      <c r="K2071" s="4" t="s">
        <v>2304</v>
      </c>
      <c r="L2071" s="4" t="s">
        <v>3743</v>
      </c>
      <c r="M2071" s="4" t="s">
        <v>3750</v>
      </c>
      <c r="N2071" s="4" t="s">
        <v>3776</v>
      </c>
      <c r="O2071" s="17">
        <f>INDEX('список ID из СУЭ с должностями'!$A:$F,MATCH(E2071,'список ID из СУЭ с должностями'!$B:$B,0),5)</f>
        <v>0</v>
      </c>
    </row>
    <row r="2072" spans="1:15" ht="45">
      <c r="A2072" s="3" t="s">
        <v>10</v>
      </c>
      <c r="B2072" s="3" t="s">
        <v>11</v>
      </c>
      <c r="C2072" s="4">
        <v>2026</v>
      </c>
      <c r="D2072" s="5" t="s">
        <v>12</v>
      </c>
      <c r="E2072" s="4">
        <v>285</v>
      </c>
      <c r="F2072" s="4" t="s">
        <v>307</v>
      </c>
      <c r="G2072" s="4" t="s">
        <v>990</v>
      </c>
      <c r="H2072" s="4" t="s">
        <v>21</v>
      </c>
      <c r="I2072" s="4" t="s">
        <v>2309</v>
      </c>
      <c r="J2072" s="4" t="s">
        <v>2310</v>
      </c>
      <c r="K2072" s="4" t="s">
        <v>2304</v>
      </c>
      <c r="L2072" s="4" t="s">
        <v>3743</v>
      </c>
      <c r="M2072" s="4" t="s">
        <v>3750</v>
      </c>
      <c r="N2072" s="4" t="s">
        <v>3776</v>
      </c>
      <c r="O2072" s="17">
        <f>INDEX('список ID из СУЭ с должностями'!$A:$F,MATCH(E2072,'список ID из СУЭ с должностями'!$B:$B,0),5)</f>
        <v>0</v>
      </c>
    </row>
    <row r="2073" spans="1:15" ht="45">
      <c r="A2073" s="3" t="s">
        <v>10</v>
      </c>
      <c r="B2073" s="3" t="s">
        <v>11</v>
      </c>
      <c r="C2073" s="4">
        <v>2026</v>
      </c>
      <c r="D2073" s="5" t="s">
        <v>12</v>
      </c>
      <c r="E2073" s="4">
        <v>285</v>
      </c>
      <c r="F2073" s="4" t="s">
        <v>307</v>
      </c>
      <c r="G2073" s="4" t="s">
        <v>990</v>
      </c>
      <c r="H2073" s="4" t="s">
        <v>21</v>
      </c>
      <c r="I2073" s="4" t="s">
        <v>2311</v>
      </c>
      <c r="J2073" s="4" t="s">
        <v>2312</v>
      </c>
      <c r="K2073" s="4" t="s">
        <v>2304</v>
      </c>
      <c r="L2073" s="4" t="s">
        <v>3743</v>
      </c>
      <c r="M2073" s="4" t="s">
        <v>3750</v>
      </c>
      <c r="N2073" s="4" t="s">
        <v>3776</v>
      </c>
      <c r="O2073" s="17">
        <f>INDEX('список ID из СУЭ с должностями'!$A:$F,MATCH(E2073,'список ID из СУЭ с должностями'!$B:$B,0),5)</f>
        <v>0</v>
      </c>
    </row>
    <row r="2074" spans="1:15" ht="180">
      <c r="A2074" s="3" t="s">
        <v>10</v>
      </c>
      <c r="B2074" s="3" t="s">
        <v>11</v>
      </c>
      <c r="C2074" s="4">
        <v>2026</v>
      </c>
      <c r="D2074" s="5" t="s">
        <v>12</v>
      </c>
      <c r="E2074" s="4">
        <v>286</v>
      </c>
      <c r="F2074" s="4" t="s">
        <v>44</v>
      </c>
      <c r="G2074" s="4" t="s">
        <v>578</v>
      </c>
      <c r="H2074" s="4" t="s">
        <v>15</v>
      </c>
      <c r="I2074" s="4" t="s">
        <v>2313</v>
      </c>
      <c r="J2074" s="4" t="s">
        <v>2314</v>
      </c>
      <c r="K2074" s="4" t="s">
        <v>25</v>
      </c>
      <c r="L2074" s="4" t="s">
        <v>3743</v>
      </c>
      <c r="M2074" s="4" t="s">
        <v>3746</v>
      </c>
      <c r="N2074" s="4" t="s">
        <v>3747</v>
      </c>
      <c r="O2074" s="17" t="str">
        <f>INDEX('список ID из СУЭ с должностями'!$A:$F,MATCH(E2074,'список ID из СУЭ с должностями'!$B:$B,0),5)</f>
        <v>НП</v>
      </c>
    </row>
    <row r="2075" spans="1:15" ht="45">
      <c r="A2075" s="3" t="s">
        <v>10</v>
      </c>
      <c r="B2075" s="3" t="s">
        <v>11</v>
      </c>
      <c r="C2075" s="4">
        <v>2026</v>
      </c>
      <c r="D2075" s="5" t="s">
        <v>12</v>
      </c>
      <c r="E2075" s="4">
        <v>286</v>
      </c>
      <c r="F2075" s="4" t="s">
        <v>44</v>
      </c>
      <c r="G2075" s="4" t="s">
        <v>578</v>
      </c>
      <c r="H2075" s="4" t="s">
        <v>21</v>
      </c>
      <c r="I2075" s="4" t="s">
        <v>2315</v>
      </c>
      <c r="J2075" s="4" t="s">
        <v>2316</v>
      </c>
      <c r="K2075" s="4" t="s">
        <v>52</v>
      </c>
      <c r="L2075" s="4" t="s">
        <v>3742</v>
      </c>
      <c r="M2075" s="4" t="s">
        <v>3746</v>
      </c>
      <c r="N2075" s="4" t="s">
        <v>3747</v>
      </c>
      <c r="O2075" s="17" t="str">
        <f>INDEX('список ID из СУЭ с должностями'!$A:$F,MATCH(E2075,'список ID из СУЭ с должностями'!$B:$B,0),5)</f>
        <v>НП</v>
      </c>
    </row>
    <row r="2076" spans="1:15" ht="270">
      <c r="A2076" s="3" t="s">
        <v>10</v>
      </c>
      <c r="B2076" s="3" t="s">
        <v>11</v>
      </c>
      <c r="C2076" s="4">
        <v>2026</v>
      </c>
      <c r="D2076" s="5" t="s">
        <v>12</v>
      </c>
      <c r="E2076" s="4">
        <v>286</v>
      </c>
      <c r="F2076" s="4" t="s">
        <v>44</v>
      </c>
      <c r="G2076" s="4" t="s">
        <v>578</v>
      </c>
      <c r="H2076" s="4" t="s">
        <v>15</v>
      </c>
      <c r="I2076" s="4" t="s">
        <v>296</v>
      </c>
      <c r="J2076" s="4" t="s">
        <v>1242</v>
      </c>
      <c r="K2076" s="4" t="s">
        <v>35</v>
      </c>
      <c r="L2076" s="4" t="s">
        <v>3743</v>
      </c>
      <c r="M2076" s="4" t="s">
        <v>3746</v>
      </c>
      <c r="N2076" s="4" t="s">
        <v>3747</v>
      </c>
      <c r="O2076" s="17" t="str">
        <f>INDEX('список ID из СУЭ с должностями'!$A:$F,MATCH(E2076,'список ID из СУЭ с должностями'!$B:$B,0),5)</f>
        <v>НП</v>
      </c>
    </row>
    <row r="2077" spans="1:15" ht="195">
      <c r="A2077" s="3" t="s">
        <v>10</v>
      </c>
      <c r="B2077" s="3" t="s">
        <v>11</v>
      </c>
      <c r="C2077" s="4">
        <v>2026</v>
      </c>
      <c r="D2077" s="5" t="s">
        <v>12</v>
      </c>
      <c r="E2077" s="4">
        <v>286</v>
      </c>
      <c r="F2077" s="4" t="s">
        <v>44</v>
      </c>
      <c r="G2077" s="4" t="s">
        <v>578</v>
      </c>
      <c r="H2077" s="4" t="s">
        <v>41</v>
      </c>
      <c r="I2077" s="4" t="s">
        <v>189</v>
      </c>
      <c r="J2077" s="4" t="s">
        <v>2317</v>
      </c>
      <c r="K2077" s="4" t="s">
        <v>66</v>
      </c>
      <c r="L2077" s="4" t="s">
        <v>3743</v>
      </c>
      <c r="M2077" s="4" t="s">
        <v>3746</v>
      </c>
      <c r="N2077" s="4" t="s">
        <v>3747</v>
      </c>
      <c r="O2077" s="17" t="str">
        <f>INDEX('список ID из СУЭ с должностями'!$A:$F,MATCH(E2077,'список ID из СУЭ с должностями'!$B:$B,0),5)</f>
        <v>НП</v>
      </c>
    </row>
    <row r="2078" spans="1:15" ht="150">
      <c r="A2078" s="3" t="s">
        <v>10</v>
      </c>
      <c r="B2078" s="3" t="s">
        <v>11</v>
      </c>
      <c r="C2078" s="4">
        <v>2026</v>
      </c>
      <c r="D2078" s="5" t="s">
        <v>12</v>
      </c>
      <c r="E2078" s="4">
        <v>286</v>
      </c>
      <c r="F2078" s="4" t="s">
        <v>44</v>
      </c>
      <c r="G2078" s="4" t="s">
        <v>578</v>
      </c>
      <c r="H2078" s="4" t="s">
        <v>15</v>
      </c>
      <c r="I2078" s="4" t="s">
        <v>1671</v>
      </c>
      <c r="J2078" s="4" t="s">
        <v>2318</v>
      </c>
      <c r="K2078" s="4" t="s">
        <v>188</v>
      </c>
      <c r="L2078" s="4" t="s">
        <v>3743</v>
      </c>
      <c r="M2078" s="4" t="s">
        <v>3746</v>
      </c>
      <c r="N2078" s="4" t="s">
        <v>3747</v>
      </c>
      <c r="O2078" s="17" t="str">
        <f>INDEX('список ID из СУЭ с должностями'!$A:$F,MATCH(E2078,'список ID из СУЭ с должностями'!$B:$B,0),5)</f>
        <v>НП</v>
      </c>
    </row>
    <row r="2079" spans="1:15" ht="45">
      <c r="A2079" s="3" t="s">
        <v>10</v>
      </c>
      <c r="B2079" s="3" t="s">
        <v>11</v>
      </c>
      <c r="C2079" s="4">
        <v>2026</v>
      </c>
      <c r="D2079" s="5" t="s">
        <v>12</v>
      </c>
      <c r="E2079" s="4">
        <v>286</v>
      </c>
      <c r="F2079" s="4" t="s">
        <v>44</v>
      </c>
      <c r="G2079" s="4" t="s">
        <v>578</v>
      </c>
      <c r="H2079" s="4" t="s">
        <v>21</v>
      </c>
      <c r="I2079" s="4" t="s">
        <v>298</v>
      </c>
      <c r="J2079" s="4" t="s">
        <v>597</v>
      </c>
      <c r="K2079" s="4" t="s">
        <v>66</v>
      </c>
      <c r="L2079" s="4" t="s">
        <v>3742</v>
      </c>
      <c r="M2079" s="4" t="s">
        <v>3746</v>
      </c>
      <c r="N2079" s="4" t="s">
        <v>3747</v>
      </c>
      <c r="O2079" s="17" t="str">
        <f>INDEX('список ID из СУЭ с должностями'!$A:$F,MATCH(E2079,'список ID из СУЭ с должностями'!$B:$B,0),5)</f>
        <v>НП</v>
      </c>
    </row>
    <row r="2080" spans="1:15" ht="45">
      <c r="A2080" s="3" t="s">
        <v>10</v>
      </c>
      <c r="B2080" s="3" t="s">
        <v>11</v>
      </c>
      <c r="C2080" s="4">
        <v>2026</v>
      </c>
      <c r="D2080" s="5" t="s">
        <v>12</v>
      </c>
      <c r="E2080" s="4">
        <v>286</v>
      </c>
      <c r="F2080" s="4" t="s">
        <v>44</v>
      </c>
      <c r="G2080" s="4" t="s">
        <v>578</v>
      </c>
      <c r="H2080" s="4" t="s">
        <v>15</v>
      </c>
      <c r="I2080" s="4" t="s">
        <v>2319</v>
      </c>
      <c r="J2080" s="4" t="s">
        <v>109</v>
      </c>
      <c r="K2080" s="4" t="s">
        <v>66</v>
      </c>
      <c r="L2080" s="4" t="s">
        <v>3742</v>
      </c>
      <c r="M2080" s="4" t="s">
        <v>3746</v>
      </c>
      <c r="N2080" s="4" t="s">
        <v>3747</v>
      </c>
      <c r="O2080" s="17" t="str">
        <f>INDEX('список ID из СУЭ с должностями'!$A:$F,MATCH(E2080,'список ID из СУЭ с должностями'!$B:$B,0),5)</f>
        <v>НП</v>
      </c>
    </row>
    <row r="2081" spans="1:15" ht="45">
      <c r="A2081" s="3" t="s">
        <v>10</v>
      </c>
      <c r="B2081" s="3" t="s">
        <v>11</v>
      </c>
      <c r="C2081" s="4">
        <v>2026</v>
      </c>
      <c r="D2081" s="5" t="s">
        <v>12</v>
      </c>
      <c r="E2081" s="4">
        <v>286</v>
      </c>
      <c r="F2081" s="4" t="s">
        <v>44</v>
      </c>
      <c r="G2081" s="4" t="s">
        <v>578</v>
      </c>
      <c r="H2081" s="4" t="s">
        <v>15</v>
      </c>
      <c r="I2081" s="4" t="s">
        <v>2320</v>
      </c>
      <c r="J2081" s="4" t="s">
        <v>2321</v>
      </c>
      <c r="K2081" s="4" t="s">
        <v>66</v>
      </c>
      <c r="L2081" s="4" t="s">
        <v>3743</v>
      </c>
      <c r="M2081" s="4" t="s">
        <v>3746</v>
      </c>
      <c r="N2081" s="4" t="s">
        <v>3747</v>
      </c>
      <c r="O2081" s="17" t="str">
        <f>INDEX('список ID из СУЭ с должностями'!$A:$F,MATCH(E2081,'список ID из СУЭ с должностями'!$B:$B,0),5)</f>
        <v>НП</v>
      </c>
    </row>
    <row r="2082" spans="1:15" ht="165">
      <c r="A2082" s="3" t="s">
        <v>10</v>
      </c>
      <c r="B2082" s="3" t="s">
        <v>11</v>
      </c>
      <c r="C2082" s="4">
        <v>2026</v>
      </c>
      <c r="D2082" s="5" t="s">
        <v>12</v>
      </c>
      <c r="E2082" s="4">
        <v>286</v>
      </c>
      <c r="F2082" s="4" t="s">
        <v>44</v>
      </c>
      <c r="G2082" s="4" t="s">
        <v>578</v>
      </c>
      <c r="H2082" s="4" t="s">
        <v>15</v>
      </c>
      <c r="I2082" s="4" t="s">
        <v>2322</v>
      </c>
      <c r="J2082" s="4" t="s">
        <v>2323</v>
      </c>
      <c r="K2082" s="4" t="s">
        <v>66</v>
      </c>
      <c r="L2082" s="4" t="s">
        <v>3743</v>
      </c>
      <c r="M2082" s="4" t="s">
        <v>3746</v>
      </c>
      <c r="N2082" s="4" t="s">
        <v>3747</v>
      </c>
      <c r="O2082" s="17" t="str">
        <f>INDEX('список ID из СУЭ с должностями'!$A:$F,MATCH(E2082,'список ID из СУЭ с должностями'!$B:$B,0),5)</f>
        <v>НП</v>
      </c>
    </row>
    <row r="2083" spans="1:15" ht="45">
      <c r="A2083" s="3" t="s">
        <v>10</v>
      </c>
      <c r="B2083" s="3" t="s">
        <v>11</v>
      </c>
      <c r="C2083" s="4">
        <v>2026</v>
      </c>
      <c r="D2083" s="5" t="s">
        <v>12</v>
      </c>
      <c r="E2083" s="4">
        <v>286</v>
      </c>
      <c r="F2083" s="4" t="s">
        <v>44</v>
      </c>
      <c r="G2083" s="4" t="s">
        <v>578</v>
      </c>
      <c r="H2083" s="4" t="s">
        <v>15</v>
      </c>
      <c r="I2083" s="4" t="s">
        <v>2324</v>
      </c>
      <c r="J2083" s="4" t="s">
        <v>2325</v>
      </c>
      <c r="K2083" s="4" t="s">
        <v>66</v>
      </c>
      <c r="L2083" s="4" t="s">
        <v>3742</v>
      </c>
      <c r="M2083" s="4" t="s">
        <v>3746</v>
      </c>
      <c r="N2083" s="4" t="s">
        <v>3747</v>
      </c>
      <c r="O2083" s="17" t="str">
        <f>INDEX('список ID из СУЭ с должностями'!$A:$F,MATCH(E2083,'список ID из СУЭ с должностями'!$B:$B,0),5)</f>
        <v>НП</v>
      </c>
    </row>
    <row r="2084" spans="1:15" ht="90">
      <c r="A2084" s="3" t="s">
        <v>10</v>
      </c>
      <c r="B2084" s="3" t="s">
        <v>11</v>
      </c>
      <c r="C2084" s="4">
        <v>2026</v>
      </c>
      <c r="D2084" s="5" t="s">
        <v>12</v>
      </c>
      <c r="E2084" s="4">
        <v>287</v>
      </c>
      <c r="F2084" s="4" t="s">
        <v>724</v>
      </c>
      <c r="G2084" s="4" t="s">
        <v>725</v>
      </c>
      <c r="H2084" s="4" t="s">
        <v>15</v>
      </c>
      <c r="I2084" s="4" t="s">
        <v>733</v>
      </c>
      <c r="J2084" s="4" t="s">
        <v>733</v>
      </c>
      <c r="K2084" s="4" t="s">
        <v>52</v>
      </c>
      <c r="L2084" s="4" t="s">
        <v>3743</v>
      </c>
      <c r="M2084" s="4" t="s">
        <v>3746</v>
      </c>
      <c r="N2084" s="4" t="s">
        <v>3747</v>
      </c>
      <c r="O2084" s="17">
        <f>INDEX('список ID из СУЭ с должностями'!$A:$F,MATCH(E2084,'список ID из СУЭ с должностями'!$B:$B,0),5)</f>
        <v>0</v>
      </c>
    </row>
    <row r="2085" spans="1:15" ht="90">
      <c r="A2085" s="3" t="s">
        <v>10</v>
      </c>
      <c r="B2085" s="3" t="s">
        <v>11</v>
      </c>
      <c r="C2085" s="4">
        <v>2026</v>
      </c>
      <c r="D2085" s="5" t="s">
        <v>12</v>
      </c>
      <c r="E2085" s="4">
        <v>287</v>
      </c>
      <c r="F2085" s="4" t="s">
        <v>724</v>
      </c>
      <c r="G2085" s="4" t="s">
        <v>725</v>
      </c>
      <c r="H2085" s="4" t="s">
        <v>15</v>
      </c>
      <c r="I2085" s="4" t="s">
        <v>1181</v>
      </c>
      <c r="J2085" s="4" t="s">
        <v>1182</v>
      </c>
      <c r="K2085" s="4" t="s">
        <v>52</v>
      </c>
      <c r="L2085" s="4" t="s">
        <v>3743</v>
      </c>
      <c r="M2085" s="4" t="s">
        <v>3746</v>
      </c>
      <c r="N2085" s="4" t="s">
        <v>3747</v>
      </c>
      <c r="O2085" s="17">
        <f>INDEX('список ID из СУЭ с должностями'!$A:$F,MATCH(E2085,'список ID из СУЭ с должностями'!$B:$B,0),5)</f>
        <v>0</v>
      </c>
    </row>
    <row r="2086" spans="1:15" ht="90">
      <c r="A2086" s="3" t="s">
        <v>10</v>
      </c>
      <c r="B2086" s="3" t="s">
        <v>11</v>
      </c>
      <c r="C2086" s="4">
        <v>2026</v>
      </c>
      <c r="D2086" s="5" t="s">
        <v>12</v>
      </c>
      <c r="E2086" s="4">
        <v>287</v>
      </c>
      <c r="F2086" s="4" t="s">
        <v>724</v>
      </c>
      <c r="G2086" s="4" t="s">
        <v>725</v>
      </c>
      <c r="H2086" s="4" t="s">
        <v>15</v>
      </c>
      <c r="I2086" s="4" t="s">
        <v>1063</v>
      </c>
      <c r="J2086" s="4" t="s">
        <v>1063</v>
      </c>
      <c r="K2086" s="4" t="s">
        <v>52</v>
      </c>
      <c r="L2086" s="4" t="s">
        <v>3743</v>
      </c>
      <c r="M2086" s="4" t="s">
        <v>3746</v>
      </c>
      <c r="N2086" s="4" t="s">
        <v>3747</v>
      </c>
      <c r="O2086" s="17">
        <f>INDEX('список ID из СУЭ с должностями'!$A:$F,MATCH(E2086,'список ID из СУЭ с должностями'!$B:$B,0),5)</f>
        <v>0</v>
      </c>
    </row>
    <row r="2087" spans="1:15" ht="90">
      <c r="A2087" s="3" t="s">
        <v>10</v>
      </c>
      <c r="B2087" s="3" t="s">
        <v>11</v>
      </c>
      <c r="C2087" s="4">
        <v>2026</v>
      </c>
      <c r="D2087" s="5" t="s">
        <v>12</v>
      </c>
      <c r="E2087" s="4">
        <v>287</v>
      </c>
      <c r="F2087" s="4" t="s">
        <v>724</v>
      </c>
      <c r="G2087" s="4" t="s">
        <v>725</v>
      </c>
      <c r="H2087" s="4" t="s">
        <v>15</v>
      </c>
      <c r="I2087" s="4" t="s">
        <v>1071</v>
      </c>
      <c r="J2087" s="4" t="s">
        <v>1185</v>
      </c>
      <c r="K2087" s="4" t="s">
        <v>35</v>
      </c>
      <c r="L2087" s="4" t="s">
        <v>3743</v>
      </c>
      <c r="M2087" s="4" t="s">
        <v>3746</v>
      </c>
      <c r="N2087" s="4" t="s">
        <v>3747</v>
      </c>
      <c r="O2087" s="17">
        <f>INDEX('список ID из СУЭ с должностями'!$A:$F,MATCH(E2087,'список ID из СУЭ с должностями'!$B:$B,0),5)</f>
        <v>0</v>
      </c>
    </row>
    <row r="2088" spans="1:15" ht="135">
      <c r="A2088" s="3" t="s">
        <v>10</v>
      </c>
      <c r="B2088" s="3" t="s">
        <v>11</v>
      </c>
      <c r="C2088" s="4">
        <v>2026</v>
      </c>
      <c r="D2088" s="5" t="s">
        <v>12</v>
      </c>
      <c r="E2088" s="4">
        <v>287</v>
      </c>
      <c r="F2088" s="4" t="s">
        <v>724</v>
      </c>
      <c r="G2088" s="4" t="s">
        <v>725</v>
      </c>
      <c r="H2088" s="4" t="s">
        <v>15</v>
      </c>
      <c r="I2088" s="4" t="s">
        <v>1177</v>
      </c>
      <c r="J2088" s="4" t="s">
        <v>1178</v>
      </c>
      <c r="K2088" s="4" t="s">
        <v>52</v>
      </c>
      <c r="L2088" s="4" t="s">
        <v>3743</v>
      </c>
      <c r="M2088" s="4" t="s">
        <v>3746</v>
      </c>
      <c r="N2088" s="4" t="s">
        <v>3747</v>
      </c>
      <c r="O2088" s="17">
        <f>INDEX('список ID из СУЭ с должностями'!$A:$F,MATCH(E2088,'список ID из СУЭ с должностями'!$B:$B,0),5)</f>
        <v>0</v>
      </c>
    </row>
    <row r="2089" spans="1:15" ht="90">
      <c r="A2089" s="3" t="s">
        <v>10</v>
      </c>
      <c r="B2089" s="3" t="s">
        <v>11</v>
      </c>
      <c r="C2089" s="4">
        <v>2026</v>
      </c>
      <c r="D2089" s="5" t="s">
        <v>12</v>
      </c>
      <c r="E2089" s="4">
        <v>287</v>
      </c>
      <c r="F2089" s="4" t="s">
        <v>724</v>
      </c>
      <c r="G2089" s="4" t="s">
        <v>725</v>
      </c>
      <c r="H2089" s="4" t="s">
        <v>15</v>
      </c>
      <c r="I2089" s="4" t="s">
        <v>1183</v>
      </c>
      <c r="J2089" s="4" t="s">
        <v>1184</v>
      </c>
      <c r="K2089" s="4" t="s">
        <v>52</v>
      </c>
      <c r="L2089" s="4" t="s">
        <v>3743</v>
      </c>
      <c r="M2089" s="4" t="s">
        <v>3746</v>
      </c>
      <c r="N2089" s="4" t="s">
        <v>3747</v>
      </c>
      <c r="O2089" s="17">
        <f>INDEX('список ID из СУЭ с должностями'!$A:$F,MATCH(E2089,'список ID из СУЭ с должностями'!$B:$B,0),5)</f>
        <v>0</v>
      </c>
    </row>
    <row r="2090" spans="1:15" ht="90">
      <c r="A2090" s="3" t="s">
        <v>10</v>
      </c>
      <c r="B2090" s="3" t="s">
        <v>11</v>
      </c>
      <c r="C2090" s="4">
        <v>2026</v>
      </c>
      <c r="D2090" s="5" t="s">
        <v>12</v>
      </c>
      <c r="E2090" s="4">
        <v>287</v>
      </c>
      <c r="F2090" s="4" t="s">
        <v>724</v>
      </c>
      <c r="G2090" s="4" t="s">
        <v>725</v>
      </c>
      <c r="H2090" s="4" t="s">
        <v>15</v>
      </c>
      <c r="I2090" s="4" t="s">
        <v>1179</v>
      </c>
      <c r="J2090" s="4" t="s">
        <v>182</v>
      </c>
      <c r="K2090" s="4" t="s">
        <v>52</v>
      </c>
      <c r="L2090" s="4" t="s">
        <v>3742</v>
      </c>
      <c r="M2090" s="4" t="s">
        <v>3746</v>
      </c>
      <c r="N2090" s="4" t="s">
        <v>3747</v>
      </c>
      <c r="O2090" s="17">
        <f>INDEX('список ID из СУЭ с должностями'!$A:$F,MATCH(E2090,'список ID из СУЭ с должностями'!$B:$B,0),5)</f>
        <v>0</v>
      </c>
    </row>
    <row r="2091" spans="1:15" ht="90">
      <c r="A2091" s="3" t="s">
        <v>10</v>
      </c>
      <c r="B2091" s="3" t="s">
        <v>11</v>
      </c>
      <c r="C2091" s="4">
        <v>2026</v>
      </c>
      <c r="D2091" s="5" t="s">
        <v>12</v>
      </c>
      <c r="E2091" s="4">
        <v>287</v>
      </c>
      <c r="F2091" s="4" t="s">
        <v>724</v>
      </c>
      <c r="G2091" s="4" t="s">
        <v>725</v>
      </c>
      <c r="H2091" s="4" t="s">
        <v>15</v>
      </c>
      <c r="I2091" s="4" t="s">
        <v>1180</v>
      </c>
      <c r="J2091" s="4" t="s">
        <v>132</v>
      </c>
      <c r="K2091" s="4" t="s">
        <v>52</v>
      </c>
      <c r="L2091" s="4" t="s">
        <v>3742</v>
      </c>
      <c r="M2091" s="4" t="s">
        <v>3746</v>
      </c>
      <c r="N2091" s="4" t="s">
        <v>3747</v>
      </c>
      <c r="O2091" s="17">
        <f>INDEX('список ID из СУЭ с должностями'!$A:$F,MATCH(E2091,'список ID из СУЭ с должностями'!$B:$B,0),5)</f>
        <v>0</v>
      </c>
    </row>
    <row r="2092" spans="1:15" ht="90">
      <c r="A2092" s="3" t="s">
        <v>10</v>
      </c>
      <c r="B2092" s="3" t="s">
        <v>11</v>
      </c>
      <c r="C2092" s="4">
        <v>2026</v>
      </c>
      <c r="D2092" s="5" t="s">
        <v>12</v>
      </c>
      <c r="E2092" s="4">
        <v>287</v>
      </c>
      <c r="F2092" s="4" t="s">
        <v>724</v>
      </c>
      <c r="G2092" s="4" t="s">
        <v>725</v>
      </c>
      <c r="H2092" s="4" t="s">
        <v>15</v>
      </c>
      <c r="I2092" s="4" t="s">
        <v>726</v>
      </c>
      <c r="J2092" s="4" t="s">
        <v>182</v>
      </c>
      <c r="K2092" s="4" t="s">
        <v>151</v>
      </c>
      <c r="L2092" s="4" t="s">
        <v>3742</v>
      </c>
      <c r="M2092" s="4" t="s">
        <v>3746</v>
      </c>
      <c r="N2092" s="4" t="s">
        <v>3747</v>
      </c>
      <c r="O2092" s="17">
        <f>INDEX('список ID из СУЭ с должностями'!$A:$F,MATCH(E2092,'список ID из СУЭ с должностями'!$B:$B,0),5)</f>
        <v>0</v>
      </c>
    </row>
    <row r="2093" spans="1:15" ht="135">
      <c r="A2093" s="3" t="s">
        <v>10</v>
      </c>
      <c r="B2093" s="3" t="s">
        <v>11</v>
      </c>
      <c r="C2093" s="4">
        <v>2026</v>
      </c>
      <c r="D2093" s="5" t="s">
        <v>12</v>
      </c>
      <c r="E2093" s="4">
        <v>287</v>
      </c>
      <c r="F2093" s="4" t="s">
        <v>724</v>
      </c>
      <c r="G2093" s="4" t="s">
        <v>725</v>
      </c>
      <c r="H2093" s="4" t="s">
        <v>15</v>
      </c>
      <c r="I2093" s="4" t="s">
        <v>1186</v>
      </c>
      <c r="J2093" s="4" t="s">
        <v>2326</v>
      </c>
      <c r="K2093" s="4" t="s">
        <v>52</v>
      </c>
      <c r="L2093" s="4" t="s">
        <v>3743</v>
      </c>
      <c r="M2093" s="4" t="s">
        <v>3746</v>
      </c>
      <c r="N2093" s="4" t="s">
        <v>3747</v>
      </c>
      <c r="O2093" s="17">
        <f>INDEX('список ID из СУЭ с должностями'!$A:$F,MATCH(E2093,'список ID из СУЭ с должностями'!$B:$B,0),5)</f>
        <v>0</v>
      </c>
    </row>
    <row r="2094" spans="1:15" ht="90">
      <c r="A2094" s="3" t="s">
        <v>10</v>
      </c>
      <c r="B2094" s="3" t="s">
        <v>11</v>
      </c>
      <c r="C2094" s="4">
        <v>2026</v>
      </c>
      <c r="D2094" s="5" t="s">
        <v>12</v>
      </c>
      <c r="E2094" s="4">
        <v>288</v>
      </c>
      <c r="F2094" s="4" t="s">
        <v>67</v>
      </c>
      <c r="G2094" s="4" t="s">
        <v>85</v>
      </c>
      <c r="H2094" s="4" t="s">
        <v>15</v>
      </c>
      <c r="I2094" s="4" t="s">
        <v>86</v>
      </c>
      <c r="J2094" s="4" t="s">
        <v>1115</v>
      </c>
      <c r="K2094" s="4" t="s">
        <v>35</v>
      </c>
      <c r="L2094" s="4" t="s">
        <v>3743</v>
      </c>
      <c r="M2094" s="4" t="s">
        <v>3746</v>
      </c>
      <c r="N2094" s="4" t="s">
        <v>3747</v>
      </c>
      <c r="O2094" s="17">
        <f>INDEX('список ID из СУЭ с должностями'!$A:$F,MATCH(E2094,'список ID из СУЭ с должностями'!$B:$B,0),5)</f>
        <v>0</v>
      </c>
    </row>
    <row r="2095" spans="1:15" ht="75">
      <c r="A2095" s="3" t="s">
        <v>10</v>
      </c>
      <c r="B2095" s="3" t="s">
        <v>11</v>
      </c>
      <c r="C2095" s="4">
        <v>2026</v>
      </c>
      <c r="D2095" s="5" t="s">
        <v>12</v>
      </c>
      <c r="E2095" s="4">
        <v>288</v>
      </c>
      <c r="F2095" s="4" t="s">
        <v>67</v>
      </c>
      <c r="G2095" s="4" t="s">
        <v>85</v>
      </c>
      <c r="H2095" s="4" t="s">
        <v>21</v>
      </c>
      <c r="I2095" s="4" t="s">
        <v>2327</v>
      </c>
      <c r="J2095" s="4" t="s">
        <v>2328</v>
      </c>
      <c r="K2095" s="4" t="s">
        <v>30</v>
      </c>
      <c r="L2095" s="4" t="s">
        <v>3742</v>
      </c>
      <c r="M2095" s="4" t="s">
        <v>3746</v>
      </c>
      <c r="N2095" s="4" t="s">
        <v>3747</v>
      </c>
      <c r="O2095" s="17">
        <f>INDEX('список ID из СУЭ с должностями'!$A:$F,MATCH(E2095,'список ID из СУЭ с должностями'!$B:$B,0),5)</f>
        <v>0</v>
      </c>
    </row>
    <row r="2096" spans="1:15" ht="90">
      <c r="A2096" s="3" t="s">
        <v>10</v>
      </c>
      <c r="B2096" s="3" t="s">
        <v>11</v>
      </c>
      <c r="C2096" s="4">
        <v>2026</v>
      </c>
      <c r="D2096" s="5" t="s">
        <v>12</v>
      </c>
      <c r="E2096" s="4">
        <v>288</v>
      </c>
      <c r="F2096" s="4" t="s">
        <v>67</v>
      </c>
      <c r="G2096" s="4" t="s">
        <v>85</v>
      </c>
      <c r="H2096" s="4" t="s">
        <v>21</v>
      </c>
      <c r="I2096" s="4" t="s">
        <v>1116</v>
      </c>
      <c r="J2096" s="4" t="s">
        <v>90</v>
      </c>
      <c r="K2096" s="4" t="s">
        <v>30</v>
      </c>
      <c r="L2096" s="4" t="s">
        <v>3743</v>
      </c>
      <c r="M2096" s="4" t="s">
        <v>3746</v>
      </c>
      <c r="N2096" s="4" t="s">
        <v>3747</v>
      </c>
      <c r="O2096" s="17">
        <f>INDEX('список ID из СУЭ с должностями'!$A:$F,MATCH(E2096,'список ID из СУЭ с должностями'!$B:$B,0),5)</f>
        <v>0</v>
      </c>
    </row>
    <row r="2097" spans="1:15" ht="75">
      <c r="A2097" s="3" t="s">
        <v>10</v>
      </c>
      <c r="B2097" s="3" t="s">
        <v>11</v>
      </c>
      <c r="C2097" s="4">
        <v>2026</v>
      </c>
      <c r="D2097" s="5" t="s">
        <v>12</v>
      </c>
      <c r="E2097" s="4">
        <v>288</v>
      </c>
      <c r="F2097" s="4" t="s">
        <v>67</v>
      </c>
      <c r="G2097" s="4" t="s">
        <v>85</v>
      </c>
      <c r="H2097" s="4" t="s">
        <v>21</v>
      </c>
      <c r="I2097" s="4" t="s">
        <v>2329</v>
      </c>
      <c r="J2097" s="4" t="s">
        <v>2330</v>
      </c>
      <c r="K2097" s="4" t="s">
        <v>30</v>
      </c>
      <c r="L2097" s="4" t="s">
        <v>3743</v>
      </c>
      <c r="M2097" s="4" t="s">
        <v>3746</v>
      </c>
      <c r="N2097" s="4" t="s">
        <v>3747</v>
      </c>
      <c r="O2097" s="17">
        <f>INDEX('список ID из СУЭ с должностями'!$A:$F,MATCH(E2097,'список ID из СУЭ с должностями'!$B:$B,0),5)</f>
        <v>0</v>
      </c>
    </row>
    <row r="2098" spans="1:15" ht="165">
      <c r="A2098" s="3" t="s">
        <v>10</v>
      </c>
      <c r="B2098" s="3" t="s">
        <v>11</v>
      </c>
      <c r="C2098" s="4">
        <v>2026</v>
      </c>
      <c r="D2098" s="5" t="s">
        <v>12</v>
      </c>
      <c r="E2098" s="4">
        <v>288</v>
      </c>
      <c r="F2098" s="4" t="s">
        <v>67</v>
      </c>
      <c r="G2098" s="4" t="s">
        <v>85</v>
      </c>
      <c r="H2098" s="4" t="s">
        <v>21</v>
      </c>
      <c r="I2098" s="4" t="s">
        <v>2331</v>
      </c>
      <c r="J2098" s="4" t="s">
        <v>2332</v>
      </c>
      <c r="K2098" s="4" t="s">
        <v>30</v>
      </c>
      <c r="L2098" s="4" t="s">
        <v>3743</v>
      </c>
      <c r="M2098" s="4" t="s">
        <v>3746</v>
      </c>
      <c r="N2098" s="4" t="s">
        <v>3747</v>
      </c>
      <c r="O2098" s="17">
        <f>INDEX('список ID из СУЭ с должностями'!$A:$F,MATCH(E2098,'список ID из СУЭ с должностями'!$B:$B,0),5)</f>
        <v>0</v>
      </c>
    </row>
    <row r="2099" spans="1:15" ht="75">
      <c r="A2099" s="3" t="s">
        <v>10</v>
      </c>
      <c r="B2099" s="3" t="s">
        <v>11</v>
      </c>
      <c r="C2099" s="4">
        <v>2026</v>
      </c>
      <c r="D2099" s="5" t="s">
        <v>12</v>
      </c>
      <c r="E2099" s="4">
        <v>288</v>
      </c>
      <c r="F2099" s="4" t="s">
        <v>67</v>
      </c>
      <c r="G2099" s="4" t="s">
        <v>85</v>
      </c>
      <c r="H2099" s="4" t="s">
        <v>21</v>
      </c>
      <c r="I2099" s="4" t="s">
        <v>1117</v>
      </c>
      <c r="J2099" s="4" t="s">
        <v>2333</v>
      </c>
      <c r="K2099" s="4" t="s">
        <v>30</v>
      </c>
      <c r="L2099" s="4" t="s">
        <v>3742</v>
      </c>
      <c r="M2099" s="4" t="s">
        <v>3746</v>
      </c>
      <c r="N2099" s="4" t="s">
        <v>3747</v>
      </c>
      <c r="O2099" s="17">
        <f>INDEX('список ID из СУЭ с должностями'!$A:$F,MATCH(E2099,'список ID из СУЭ с должностями'!$B:$B,0),5)</f>
        <v>0</v>
      </c>
    </row>
    <row r="2100" spans="1:15" ht="150">
      <c r="A2100" s="3" t="s">
        <v>10</v>
      </c>
      <c r="B2100" s="3" t="s">
        <v>11</v>
      </c>
      <c r="C2100" s="4">
        <v>2026</v>
      </c>
      <c r="D2100" s="5" t="s">
        <v>12</v>
      </c>
      <c r="E2100" s="4">
        <v>289</v>
      </c>
      <c r="F2100" s="4" t="s">
        <v>454</v>
      </c>
      <c r="G2100" s="4" t="s">
        <v>2334</v>
      </c>
      <c r="H2100" s="4" t="s">
        <v>15</v>
      </c>
      <c r="I2100" s="4" t="s">
        <v>806</v>
      </c>
      <c r="J2100" s="4" t="s">
        <v>807</v>
      </c>
      <c r="K2100" s="4" t="s">
        <v>38</v>
      </c>
      <c r="L2100" s="4" t="s">
        <v>3743</v>
      </c>
      <c r="M2100" s="4" t="s">
        <v>3746</v>
      </c>
      <c r="N2100" s="4" t="s">
        <v>3747</v>
      </c>
      <c r="O2100" s="17">
        <f>INDEX('список ID из СУЭ с должностями'!$A:$F,MATCH(E2100,'список ID из СУЭ с должностями'!$B:$B,0),5)</f>
        <v>0</v>
      </c>
    </row>
    <row r="2101" spans="1:15" ht="150">
      <c r="A2101" s="3" t="s">
        <v>10</v>
      </c>
      <c r="B2101" s="3" t="s">
        <v>11</v>
      </c>
      <c r="C2101" s="4">
        <v>2026</v>
      </c>
      <c r="D2101" s="5" t="s">
        <v>12</v>
      </c>
      <c r="E2101" s="4">
        <v>289</v>
      </c>
      <c r="F2101" s="4" t="s">
        <v>454</v>
      </c>
      <c r="G2101" s="4" t="s">
        <v>2334</v>
      </c>
      <c r="H2101" s="4" t="s">
        <v>15</v>
      </c>
      <c r="I2101" s="4" t="s">
        <v>855</v>
      </c>
      <c r="J2101" s="4" t="s">
        <v>1823</v>
      </c>
      <c r="K2101" s="4" t="s">
        <v>20</v>
      </c>
      <c r="L2101" s="4" t="s">
        <v>3743</v>
      </c>
      <c r="M2101" s="4" t="s">
        <v>3746</v>
      </c>
      <c r="N2101" s="4" t="s">
        <v>3747</v>
      </c>
      <c r="O2101" s="17">
        <f>INDEX('список ID из СУЭ с должностями'!$A:$F,MATCH(E2101,'список ID из СУЭ с должностями'!$B:$B,0),5)</f>
        <v>0</v>
      </c>
    </row>
    <row r="2102" spans="1:15" ht="210">
      <c r="A2102" s="3" t="s">
        <v>10</v>
      </c>
      <c r="B2102" s="3" t="s">
        <v>11</v>
      </c>
      <c r="C2102" s="4">
        <v>2026</v>
      </c>
      <c r="D2102" s="5" t="s">
        <v>12</v>
      </c>
      <c r="E2102" s="4">
        <v>289</v>
      </c>
      <c r="F2102" s="4" t="s">
        <v>454</v>
      </c>
      <c r="G2102" s="4" t="s">
        <v>2334</v>
      </c>
      <c r="H2102" s="4" t="s">
        <v>15</v>
      </c>
      <c r="I2102" s="4" t="s">
        <v>147</v>
      </c>
      <c r="J2102" s="4" t="s">
        <v>1824</v>
      </c>
      <c r="K2102" s="4" t="s">
        <v>35</v>
      </c>
      <c r="L2102" s="4" t="s">
        <v>3743</v>
      </c>
      <c r="M2102" s="4" t="s">
        <v>3746</v>
      </c>
      <c r="N2102" s="4" t="s">
        <v>3747</v>
      </c>
      <c r="O2102" s="17">
        <f>INDEX('список ID из СУЭ с должностями'!$A:$F,MATCH(E2102,'список ID из СУЭ с должностями'!$B:$B,0),5)</f>
        <v>0</v>
      </c>
    </row>
    <row r="2103" spans="1:15" ht="225">
      <c r="A2103" s="3" t="s">
        <v>10</v>
      </c>
      <c r="B2103" s="3" t="s">
        <v>11</v>
      </c>
      <c r="C2103" s="4">
        <v>2026</v>
      </c>
      <c r="D2103" s="5" t="s">
        <v>12</v>
      </c>
      <c r="E2103" s="4">
        <v>289</v>
      </c>
      <c r="F2103" s="4" t="s">
        <v>454</v>
      </c>
      <c r="G2103" s="4" t="s">
        <v>2334</v>
      </c>
      <c r="H2103" s="4" t="s">
        <v>15</v>
      </c>
      <c r="I2103" s="4" t="s">
        <v>303</v>
      </c>
      <c r="J2103" s="4" t="s">
        <v>1826</v>
      </c>
      <c r="K2103" s="4" t="s">
        <v>66</v>
      </c>
      <c r="L2103" s="4" t="s">
        <v>3743</v>
      </c>
      <c r="M2103" s="4" t="s">
        <v>3746</v>
      </c>
      <c r="N2103" s="4" t="s">
        <v>3747</v>
      </c>
      <c r="O2103" s="17">
        <f>INDEX('список ID из СУЭ с должностями'!$A:$F,MATCH(E2103,'список ID из СУЭ с должностями'!$B:$B,0),5)</f>
        <v>0</v>
      </c>
    </row>
    <row r="2104" spans="1:15" ht="150">
      <c r="A2104" s="3" t="s">
        <v>10</v>
      </c>
      <c r="B2104" s="3" t="s">
        <v>11</v>
      </c>
      <c r="C2104" s="4">
        <v>2026</v>
      </c>
      <c r="D2104" s="5" t="s">
        <v>12</v>
      </c>
      <c r="E2104" s="4">
        <v>289</v>
      </c>
      <c r="F2104" s="4" t="s">
        <v>454</v>
      </c>
      <c r="G2104" s="4" t="s">
        <v>2334</v>
      </c>
      <c r="H2104" s="4" t="s">
        <v>15</v>
      </c>
      <c r="I2104" s="4" t="s">
        <v>149</v>
      </c>
      <c r="J2104" s="4" t="s">
        <v>1825</v>
      </c>
      <c r="K2104" s="4" t="s">
        <v>66</v>
      </c>
      <c r="L2104" s="4" t="s">
        <v>3743</v>
      </c>
      <c r="M2104" s="4" t="s">
        <v>3746</v>
      </c>
      <c r="N2104" s="4" t="s">
        <v>3747</v>
      </c>
      <c r="O2104" s="17">
        <f>INDEX('список ID из СУЭ с должностями'!$A:$F,MATCH(E2104,'список ID из СУЭ с должностями'!$B:$B,0),5)</f>
        <v>0</v>
      </c>
    </row>
    <row r="2105" spans="1:15" ht="409.5">
      <c r="A2105" s="3" t="s">
        <v>10</v>
      </c>
      <c r="B2105" s="3" t="s">
        <v>11</v>
      </c>
      <c r="C2105" s="4">
        <v>2026</v>
      </c>
      <c r="D2105" s="5" t="s">
        <v>12</v>
      </c>
      <c r="E2105" s="4">
        <v>290</v>
      </c>
      <c r="F2105" s="4" t="s">
        <v>44</v>
      </c>
      <c r="G2105" s="4" t="s">
        <v>2335</v>
      </c>
      <c r="H2105" s="4" t="s">
        <v>15</v>
      </c>
      <c r="I2105" s="4" t="s">
        <v>460</v>
      </c>
      <c r="J2105" s="4" t="s">
        <v>2336</v>
      </c>
      <c r="K2105" s="4" t="s">
        <v>38</v>
      </c>
      <c r="L2105" s="4" t="s">
        <v>3743</v>
      </c>
      <c r="M2105" s="4" t="s">
        <v>3746</v>
      </c>
      <c r="N2105" s="4" t="s">
        <v>3747</v>
      </c>
      <c r="O2105" s="17">
        <f>INDEX('список ID из СУЭ с должностями'!$A:$F,MATCH(E2105,'список ID из СУЭ с должностями'!$B:$B,0),5)</f>
        <v>0</v>
      </c>
    </row>
    <row r="2106" spans="1:15" ht="210">
      <c r="A2106" s="3" t="s">
        <v>10</v>
      </c>
      <c r="B2106" s="3" t="s">
        <v>11</v>
      </c>
      <c r="C2106" s="4">
        <v>2026</v>
      </c>
      <c r="D2106" s="5" t="s">
        <v>12</v>
      </c>
      <c r="E2106" s="4">
        <v>290</v>
      </c>
      <c r="F2106" s="4" t="s">
        <v>44</v>
      </c>
      <c r="G2106" s="4" t="s">
        <v>2335</v>
      </c>
      <c r="H2106" s="4" t="s">
        <v>15</v>
      </c>
      <c r="I2106" s="4" t="s">
        <v>1002</v>
      </c>
      <c r="J2106" s="4" t="s">
        <v>2337</v>
      </c>
      <c r="K2106" s="4" t="s">
        <v>30</v>
      </c>
      <c r="L2106" s="4" t="s">
        <v>3743</v>
      </c>
      <c r="M2106" s="4" t="s">
        <v>3746</v>
      </c>
      <c r="N2106" s="4" t="s">
        <v>3747</v>
      </c>
      <c r="O2106" s="17">
        <f>INDEX('список ID из СУЭ с должностями'!$A:$F,MATCH(E2106,'список ID из СУЭ с должностями'!$B:$B,0),5)</f>
        <v>0</v>
      </c>
    </row>
    <row r="2107" spans="1:15" ht="270">
      <c r="A2107" s="3" t="s">
        <v>10</v>
      </c>
      <c r="B2107" s="3" t="s">
        <v>11</v>
      </c>
      <c r="C2107" s="4">
        <v>2026</v>
      </c>
      <c r="D2107" s="5" t="s">
        <v>12</v>
      </c>
      <c r="E2107" s="4">
        <v>290</v>
      </c>
      <c r="F2107" s="4" t="s">
        <v>44</v>
      </c>
      <c r="G2107" s="4" t="s">
        <v>2335</v>
      </c>
      <c r="H2107" s="4" t="s">
        <v>15</v>
      </c>
      <c r="I2107" s="4" t="s">
        <v>147</v>
      </c>
      <c r="J2107" s="4" t="s">
        <v>2338</v>
      </c>
      <c r="K2107" s="4" t="s">
        <v>35</v>
      </c>
      <c r="L2107" s="4" t="s">
        <v>3743</v>
      </c>
      <c r="M2107" s="4" t="s">
        <v>3746</v>
      </c>
      <c r="N2107" s="4" t="s">
        <v>3747</v>
      </c>
      <c r="O2107" s="17">
        <f>INDEX('список ID из СУЭ с должностями'!$A:$F,MATCH(E2107,'список ID из СУЭ с должностями'!$B:$B,0),5)</f>
        <v>0</v>
      </c>
    </row>
    <row r="2108" spans="1:15" ht="225">
      <c r="A2108" s="3" t="s">
        <v>10</v>
      </c>
      <c r="B2108" s="3" t="s">
        <v>11</v>
      </c>
      <c r="C2108" s="4">
        <v>2026</v>
      </c>
      <c r="D2108" s="5" t="s">
        <v>12</v>
      </c>
      <c r="E2108" s="4">
        <v>290</v>
      </c>
      <c r="F2108" s="4" t="s">
        <v>44</v>
      </c>
      <c r="G2108" s="4" t="s">
        <v>2335</v>
      </c>
      <c r="H2108" s="4" t="s">
        <v>15</v>
      </c>
      <c r="I2108" s="4" t="s">
        <v>303</v>
      </c>
      <c r="J2108" s="4" t="s">
        <v>2339</v>
      </c>
      <c r="K2108" s="4" t="s">
        <v>30</v>
      </c>
      <c r="L2108" s="4" t="s">
        <v>3743</v>
      </c>
      <c r="M2108" s="4" t="s">
        <v>3746</v>
      </c>
      <c r="N2108" s="4" t="s">
        <v>3747</v>
      </c>
      <c r="O2108" s="17">
        <f>INDEX('список ID из СУЭ с должностями'!$A:$F,MATCH(E2108,'список ID из СУЭ с должностями'!$B:$B,0),5)</f>
        <v>0</v>
      </c>
    </row>
    <row r="2109" spans="1:15" ht="135">
      <c r="A2109" s="3" t="s">
        <v>10</v>
      </c>
      <c r="B2109" s="3" t="s">
        <v>11</v>
      </c>
      <c r="C2109" s="4">
        <v>2026</v>
      </c>
      <c r="D2109" s="5" t="s">
        <v>12</v>
      </c>
      <c r="E2109" s="4">
        <v>290</v>
      </c>
      <c r="F2109" s="4" t="s">
        <v>44</v>
      </c>
      <c r="G2109" s="4" t="s">
        <v>2335</v>
      </c>
      <c r="H2109" s="4" t="s">
        <v>15</v>
      </c>
      <c r="I2109" s="4" t="s">
        <v>2340</v>
      </c>
      <c r="J2109" s="4" t="s">
        <v>2341</v>
      </c>
      <c r="K2109" s="4" t="s">
        <v>38</v>
      </c>
      <c r="L2109" s="4" t="s">
        <v>3743</v>
      </c>
      <c r="M2109" s="4" t="s">
        <v>3746</v>
      </c>
      <c r="N2109" s="4" t="s">
        <v>3747</v>
      </c>
      <c r="O2109" s="17">
        <f>INDEX('список ID из СУЭ с должностями'!$A:$F,MATCH(E2109,'список ID из СУЭ с должностями'!$B:$B,0),5)</f>
        <v>0</v>
      </c>
    </row>
    <row r="2110" spans="1:15" ht="90">
      <c r="A2110" s="3" t="s">
        <v>10</v>
      </c>
      <c r="B2110" s="3" t="s">
        <v>11</v>
      </c>
      <c r="C2110" s="4">
        <v>2026</v>
      </c>
      <c r="D2110" s="5" t="s">
        <v>12</v>
      </c>
      <c r="E2110" s="4">
        <v>290</v>
      </c>
      <c r="F2110" s="4" t="s">
        <v>44</v>
      </c>
      <c r="G2110" s="4" t="s">
        <v>2335</v>
      </c>
      <c r="H2110" s="4" t="s">
        <v>15</v>
      </c>
      <c r="I2110" s="4" t="s">
        <v>437</v>
      </c>
      <c r="J2110" s="4" t="s">
        <v>930</v>
      </c>
      <c r="K2110" s="4" t="s">
        <v>55</v>
      </c>
      <c r="L2110" s="4" t="s">
        <v>3743</v>
      </c>
      <c r="M2110" s="4" t="s">
        <v>3746</v>
      </c>
      <c r="N2110" s="4" t="s">
        <v>3747</v>
      </c>
      <c r="O2110" s="17">
        <f>INDEX('список ID из СУЭ с должностями'!$A:$F,MATCH(E2110,'список ID из СУЭ с должностями'!$B:$B,0),5)</f>
        <v>0</v>
      </c>
    </row>
    <row r="2111" spans="1:15" ht="90">
      <c r="A2111" s="3" t="s">
        <v>10</v>
      </c>
      <c r="B2111" s="3" t="s">
        <v>11</v>
      </c>
      <c r="C2111" s="4">
        <v>2026</v>
      </c>
      <c r="D2111" s="5" t="s">
        <v>12</v>
      </c>
      <c r="E2111" s="4">
        <v>290</v>
      </c>
      <c r="F2111" s="4" t="s">
        <v>44</v>
      </c>
      <c r="G2111" s="4" t="s">
        <v>2335</v>
      </c>
      <c r="H2111" s="4" t="s">
        <v>15</v>
      </c>
      <c r="I2111" s="4" t="s">
        <v>2342</v>
      </c>
      <c r="J2111" s="4" t="s">
        <v>192</v>
      </c>
      <c r="K2111" s="4" t="s">
        <v>66</v>
      </c>
      <c r="L2111" s="4" t="s">
        <v>3742</v>
      </c>
      <c r="M2111" s="4" t="s">
        <v>3746</v>
      </c>
      <c r="N2111" s="4" t="s">
        <v>3747</v>
      </c>
      <c r="O2111" s="17">
        <f>INDEX('список ID из СУЭ с должностями'!$A:$F,MATCH(E2111,'список ID из СУЭ с должностями'!$B:$B,0),5)</f>
        <v>0</v>
      </c>
    </row>
    <row r="2112" spans="1:15" ht="345">
      <c r="A2112" s="3" t="s">
        <v>10</v>
      </c>
      <c r="B2112" s="3" t="s">
        <v>11</v>
      </c>
      <c r="C2112" s="4">
        <v>2026</v>
      </c>
      <c r="D2112" s="5" t="s">
        <v>12</v>
      </c>
      <c r="E2112" s="4">
        <v>290</v>
      </c>
      <c r="F2112" s="4" t="s">
        <v>44</v>
      </c>
      <c r="G2112" s="4" t="s">
        <v>2335</v>
      </c>
      <c r="H2112" s="4" t="s">
        <v>15</v>
      </c>
      <c r="I2112" s="4" t="s">
        <v>149</v>
      </c>
      <c r="J2112" s="4" t="s">
        <v>2343</v>
      </c>
      <c r="K2112" s="4" t="s">
        <v>55</v>
      </c>
      <c r="L2112" s="4" t="s">
        <v>3743</v>
      </c>
      <c r="M2112" s="4" t="s">
        <v>3746</v>
      </c>
      <c r="N2112" s="4" t="s">
        <v>3747</v>
      </c>
      <c r="O2112" s="17">
        <f>INDEX('список ID из СУЭ с должностями'!$A:$F,MATCH(E2112,'список ID из СУЭ с должностями'!$B:$B,0),5)</f>
        <v>0</v>
      </c>
    </row>
    <row r="2113" spans="1:15" ht="409.5">
      <c r="A2113" s="3" t="s">
        <v>10</v>
      </c>
      <c r="B2113" s="3" t="s">
        <v>11</v>
      </c>
      <c r="C2113" s="4">
        <v>2026</v>
      </c>
      <c r="D2113" s="5" t="s">
        <v>12</v>
      </c>
      <c r="E2113" s="4">
        <v>290</v>
      </c>
      <c r="F2113" s="4" t="s">
        <v>44</v>
      </c>
      <c r="G2113" s="4" t="s">
        <v>2335</v>
      </c>
      <c r="H2113" s="4" t="s">
        <v>15</v>
      </c>
      <c r="I2113" s="4" t="s">
        <v>25</v>
      </c>
      <c r="J2113" s="4" t="s">
        <v>1237</v>
      </c>
      <c r="K2113" s="4" t="s">
        <v>25</v>
      </c>
      <c r="L2113" s="4" t="s">
        <v>3743</v>
      </c>
      <c r="M2113" s="4" t="s">
        <v>3746</v>
      </c>
      <c r="N2113" s="4" t="s">
        <v>3747</v>
      </c>
      <c r="O2113" s="17">
        <f>INDEX('список ID из СУЭ с должностями'!$A:$F,MATCH(E2113,'список ID из СУЭ с должностями'!$B:$B,0),5)</f>
        <v>0</v>
      </c>
    </row>
    <row r="2114" spans="1:15" ht="75">
      <c r="A2114" s="3" t="s">
        <v>10</v>
      </c>
      <c r="B2114" s="3" t="s">
        <v>11</v>
      </c>
      <c r="C2114" s="4">
        <v>2026</v>
      </c>
      <c r="D2114" s="5" t="s">
        <v>12</v>
      </c>
      <c r="E2114" s="4">
        <v>291</v>
      </c>
      <c r="F2114" s="4" t="s">
        <v>1543</v>
      </c>
      <c r="G2114" s="4" t="s">
        <v>1540</v>
      </c>
      <c r="H2114" s="4" t="s">
        <v>21</v>
      </c>
      <c r="I2114" s="4" t="s">
        <v>2344</v>
      </c>
      <c r="J2114" s="4" t="s">
        <v>2345</v>
      </c>
      <c r="K2114" s="4" t="s">
        <v>52</v>
      </c>
      <c r="L2114" s="4" t="s">
        <v>3743</v>
      </c>
      <c r="M2114" s="4" t="s">
        <v>3746</v>
      </c>
      <c r="N2114" s="4" t="s">
        <v>3747</v>
      </c>
      <c r="O2114" s="17">
        <f>INDEX('список ID из СУЭ с должностями'!$A:$F,MATCH(E2114,'список ID из СУЭ с должностями'!$B:$B,0),5)</f>
        <v>0</v>
      </c>
    </row>
    <row r="2115" spans="1:15" ht="60">
      <c r="A2115" s="3" t="s">
        <v>10</v>
      </c>
      <c r="B2115" s="3" t="s">
        <v>11</v>
      </c>
      <c r="C2115" s="4">
        <v>2026</v>
      </c>
      <c r="D2115" s="5" t="s">
        <v>12</v>
      </c>
      <c r="E2115" s="4">
        <v>291</v>
      </c>
      <c r="F2115" s="4" t="s">
        <v>1543</v>
      </c>
      <c r="G2115" s="4" t="s">
        <v>1540</v>
      </c>
      <c r="H2115" s="4" t="s">
        <v>21</v>
      </c>
      <c r="I2115" s="4" t="s">
        <v>2346</v>
      </c>
      <c r="J2115" s="4" t="s">
        <v>2347</v>
      </c>
      <c r="K2115" s="4" t="s">
        <v>52</v>
      </c>
      <c r="L2115" s="4" t="s">
        <v>3743</v>
      </c>
      <c r="M2115" s="4" t="s">
        <v>3746</v>
      </c>
      <c r="N2115" s="4" t="s">
        <v>3747</v>
      </c>
      <c r="O2115" s="17">
        <f>INDEX('список ID из СУЭ с должностями'!$A:$F,MATCH(E2115,'список ID из СУЭ с должностями'!$B:$B,0),5)</f>
        <v>0</v>
      </c>
    </row>
    <row r="2116" spans="1:15" ht="135">
      <c r="A2116" s="3" t="s">
        <v>10</v>
      </c>
      <c r="B2116" s="3" t="s">
        <v>11</v>
      </c>
      <c r="C2116" s="4">
        <v>2026</v>
      </c>
      <c r="D2116" s="5" t="s">
        <v>12</v>
      </c>
      <c r="E2116" s="4">
        <v>291</v>
      </c>
      <c r="F2116" s="4" t="s">
        <v>1543</v>
      </c>
      <c r="G2116" s="4" t="s">
        <v>1540</v>
      </c>
      <c r="H2116" s="4" t="s">
        <v>15</v>
      </c>
      <c r="I2116" s="4" t="s">
        <v>2348</v>
      </c>
      <c r="J2116" s="4" t="s">
        <v>2349</v>
      </c>
      <c r="K2116" s="4" t="s">
        <v>35</v>
      </c>
      <c r="L2116" s="4" t="s">
        <v>3743</v>
      </c>
      <c r="M2116" s="4" t="s">
        <v>3746</v>
      </c>
      <c r="N2116" s="4" t="s">
        <v>3747</v>
      </c>
      <c r="O2116" s="17">
        <f>INDEX('список ID из СУЭ с должностями'!$A:$F,MATCH(E2116,'список ID из СУЭ с должностями'!$B:$B,0),5)</f>
        <v>0</v>
      </c>
    </row>
    <row r="2117" spans="1:15" ht="120">
      <c r="A2117" s="3" t="s">
        <v>10</v>
      </c>
      <c r="B2117" s="3" t="s">
        <v>11</v>
      </c>
      <c r="C2117" s="4">
        <v>2026</v>
      </c>
      <c r="D2117" s="5" t="s">
        <v>12</v>
      </c>
      <c r="E2117" s="4">
        <v>291</v>
      </c>
      <c r="F2117" s="4" t="s">
        <v>1543</v>
      </c>
      <c r="G2117" s="4" t="s">
        <v>1540</v>
      </c>
      <c r="H2117" s="4" t="s">
        <v>15</v>
      </c>
      <c r="I2117" s="4" t="s">
        <v>2350</v>
      </c>
      <c r="J2117" s="4" t="s">
        <v>2351</v>
      </c>
      <c r="K2117" s="4" t="s">
        <v>66</v>
      </c>
      <c r="L2117" s="4" t="s">
        <v>3743</v>
      </c>
      <c r="M2117" s="4" t="s">
        <v>3746</v>
      </c>
      <c r="N2117" s="4" t="s">
        <v>3747</v>
      </c>
      <c r="O2117" s="17">
        <f>INDEX('список ID из СУЭ с должностями'!$A:$F,MATCH(E2117,'список ID из СУЭ с должностями'!$B:$B,0),5)</f>
        <v>0</v>
      </c>
    </row>
    <row r="2118" spans="1:15" ht="150">
      <c r="A2118" s="3" t="s">
        <v>10</v>
      </c>
      <c r="B2118" s="3" t="s">
        <v>11</v>
      </c>
      <c r="C2118" s="4">
        <v>2026</v>
      </c>
      <c r="D2118" s="5" t="s">
        <v>12</v>
      </c>
      <c r="E2118" s="4">
        <v>291</v>
      </c>
      <c r="F2118" s="4" t="s">
        <v>1543</v>
      </c>
      <c r="G2118" s="4" t="s">
        <v>1540</v>
      </c>
      <c r="H2118" s="4" t="s">
        <v>15</v>
      </c>
      <c r="I2118" s="4" t="s">
        <v>1548</v>
      </c>
      <c r="J2118" s="4" t="s">
        <v>2352</v>
      </c>
      <c r="K2118" s="4" t="s">
        <v>66</v>
      </c>
      <c r="L2118" s="4" t="s">
        <v>3743</v>
      </c>
      <c r="M2118" s="4" t="s">
        <v>3746</v>
      </c>
      <c r="N2118" s="4" t="s">
        <v>3747</v>
      </c>
      <c r="O2118" s="17">
        <f>INDEX('список ID из СУЭ с должностями'!$A:$F,MATCH(E2118,'список ID из СУЭ с должностями'!$B:$B,0),5)</f>
        <v>0</v>
      </c>
    </row>
    <row r="2119" spans="1:15" ht="60">
      <c r="A2119" s="3" t="s">
        <v>10</v>
      </c>
      <c r="B2119" s="3" t="s">
        <v>11</v>
      </c>
      <c r="C2119" s="4">
        <v>2026</v>
      </c>
      <c r="D2119" s="5" t="s">
        <v>12</v>
      </c>
      <c r="E2119" s="4">
        <v>291</v>
      </c>
      <c r="F2119" s="4" t="s">
        <v>1543</v>
      </c>
      <c r="G2119" s="4" t="s">
        <v>1540</v>
      </c>
      <c r="H2119" s="4" t="s">
        <v>15</v>
      </c>
      <c r="I2119" s="4" t="s">
        <v>2353</v>
      </c>
      <c r="J2119" s="4" t="s">
        <v>2354</v>
      </c>
      <c r="K2119" s="4" t="s">
        <v>25</v>
      </c>
      <c r="L2119" s="4" t="s">
        <v>3743</v>
      </c>
      <c r="M2119" s="4" t="s">
        <v>3746</v>
      </c>
      <c r="N2119" s="4" t="s">
        <v>3747</v>
      </c>
      <c r="O2119" s="17">
        <f>INDEX('список ID из СУЭ с должностями'!$A:$F,MATCH(E2119,'список ID из СУЭ с должностями'!$B:$B,0),5)</f>
        <v>0</v>
      </c>
    </row>
    <row r="2120" spans="1:15" ht="60">
      <c r="A2120" s="3" t="s">
        <v>10</v>
      </c>
      <c r="B2120" s="3" t="s">
        <v>11</v>
      </c>
      <c r="C2120" s="4">
        <v>2026</v>
      </c>
      <c r="D2120" s="5" t="s">
        <v>12</v>
      </c>
      <c r="E2120" s="4">
        <v>291</v>
      </c>
      <c r="F2120" s="4" t="s">
        <v>1543</v>
      </c>
      <c r="G2120" s="4" t="s">
        <v>1540</v>
      </c>
      <c r="H2120" s="4" t="s">
        <v>15</v>
      </c>
      <c r="I2120" s="4" t="s">
        <v>390</v>
      </c>
      <c r="J2120" s="4" t="s">
        <v>182</v>
      </c>
      <c r="K2120" s="4" t="s">
        <v>52</v>
      </c>
      <c r="L2120" s="4" t="s">
        <v>3742</v>
      </c>
      <c r="M2120" s="4" t="s">
        <v>3746</v>
      </c>
      <c r="N2120" s="4" t="s">
        <v>3747</v>
      </c>
      <c r="O2120" s="17">
        <f>INDEX('список ID из СУЭ с должностями'!$A:$F,MATCH(E2120,'список ID из СУЭ с должностями'!$B:$B,0),5)</f>
        <v>0</v>
      </c>
    </row>
    <row r="2121" spans="1:15" ht="409.5">
      <c r="A2121" s="3" t="s">
        <v>10</v>
      </c>
      <c r="B2121" s="3" t="s">
        <v>11</v>
      </c>
      <c r="C2121" s="4">
        <v>2026</v>
      </c>
      <c r="D2121" s="5" t="s">
        <v>12</v>
      </c>
      <c r="E2121" s="4">
        <v>292</v>
      </c>
      <c r="F2121" s="4" t="s">
        <v>2355</v>
      </c>
      <c r="G2121" s="4" t="s">
        <v>2356</v>
      </c>
      <c r="H2121" s="4" t="s">
        <v>21</v>
      </c>
      <c r="I2121" s="4" t="s">
        <v>2357</v>
      </c>
      <c r="J2121" s="4" t="s">
        <v>2358</v>
      </c>
      <c r="K2121" s="4" t="s">
        <v>25</v>
      </c>
      <c r="L2121" s="4" t="s">
        <v>3743</v>
      </c>
      <c r="M2121" s="4" t="s">
        <v>3746</v>
      </c>
      <c r="N2121" s="4" t="s">
        <v>3747</v>
      </c>
      <c r="O2121" s="17">
        <f>INDEX('список ID из СУЭ с должностями'!$A:$F,MATCH(E2121,'список ID из СУЭ с должностями'!$B:$B,0),5)</f>
        <v>0</v>
      </c>
    </row>
    <row r="2122" spans="1:15" ht="135">
      <c r="A2122" s="3" t="s">
        <v>10</v>
      </c>
      <c r="B2122" s="3" t="s">
        <v>11</v>
      </c>
      <c r="C2122" s="4">
        <v>2026</v>
      </c>
      <c r="D2122" s="5" t="s">
        <v>12</v>
      </c>
      <c r="E2122" s="4">
        <v>292</v>
      </c>
      <c r="F2122" s="4" t="s">
        <v>2355</v>
      </c>
      <c r="G2122" s="4" t="s">
        <v>2356</v>
      </c>
      <c r="H2122" s="4" t="s">
        <v>41</v>
      </c>
      <c r="I2122" s="4" t="s">
        <v>2360</v>
      </c>
      <c r="J2122" s="4" t="s">
        <v>2361</v>
      </c>
      <c r="K2122" s="4" t="s">
        <v>30</v>
      </c>
      <c r="L2122" s="4" t="s">
        <v>3743</v>
      </c>
      <c r="M2122" s="4" t="s">
        <v>3746</v>
      </c>
      <c r="N2122" s="4" t="s">
        <v>3747</v>
      </c>
      <c r="O2122" s="17">
        <f>INDEX('список ID из СУЭ с должностями'!$A:$F,MATCH(E2122,'список ID из СУЭ с должностями'!$B:$B,0),5)</f>
        <v>0</v>
      </c>
    </row>
    <row r="2123" spans="1:15" ht="135">
      <c r="A2123" s="3" t="s">
        <v>10</v>
      </c>
      <c r="B2123" s="3" t="s">
        <v>11</v>
      </c>
      <c r="C2123" s="4">
        <v>2026</v>
      </c>
      <c r="D2123" s="5" t="s">
        <v>12</v>
      </c>
      <c r="E2123" s="4">
        <v>292</v>
      </c>
      <c r="F2123" s="4" t="s">
        <v>2355</v>
      </c>
      <c r="G2123" s="4" t="s">
        <v>2356</v>
      </c>
      <c r="H2123" s="4" t="s">
        <v>15</v>
      </c>
      <c r="I2123" s="4" t="s">
        <v>806</v>
      </c>
      <c r="J2123" s="4" t="s">
        <v>2362</v>
      </c>
      <c r="K2123" s="4" t="s">
        <v>38</v>
      </c>
      <c r="L2123" s="4" t="s">
        <v>3743</v>
      </c>
      <c r="M2123" s="4" t="s">
        <v>3746</v>
      </c>
      <c r="N2123" s="4" t="s">
        <v>3747</v>
      </c>
      <c r="O2123" s="17">
        <f>INDEX('список ID из СУЭ с должностями'!$A:$F,MATCH(E2123,'список ID из СУЭ с должностями'!$B:$B,0),5)</f>
        <v>0</v>
      </c>
    </row>
    <row r="2124" spans="1:15" ht="409.5">
      <c r="A2124" s="3" t="s">
        <v>10</v>
      </c>
      <c r="B2124" s="3" t="s">
        <v>11</v>
      </c>
      <c r="C2124" s="4">
        <v>2026</v>
      </c>
      <c r="D2124" s="5" t="s">
        <v>12</v>
      </c>
      <c r="E2124" s="4">
        <v>292</v>
      </c>
      <c r="F2124" s="4" t="s">
        <v>2355</v>
      </c>
      <c r="G2124" s="4" t="s">
        <v>2356</v>
      </c>
      <c r="H2124" s="4" t="s">
        <v>15</v>
      </c>
      <c r="I2124" s="4" t="s">
        <v>303</v>
      </c>
      <c r="J2124" s="4" t="s">
        <v>2363</v>
      </c>
      <c r="K2124" s="4" t="s">
        <v>66</v>
      </c>
      <c r="L2124" s="4" t="s">
        <v>3743</v>
      </c>
      <c r="M2124" s="4" t="s">
        <v>3746</v>
      </c>
      <c r="N2124" s="4" t="s">
        <v>3747</v>
      </c>
      <c r="O2124" s="17">
        <f>INDEX('список ID из СУЭ с должностями'!$A:$F,MATCH(E2124,'список ID из СУЭ с должностями'!$B:$B,0),5)</f>
        <v>0</v>
      </c>
    </row>
    <row r="2125" spans="1:15" ht="255">
      <c r="A2125" s="3" t="s">
        <v>10</v>
      </c>
      <c r="B2125" s="3" t="s">
        <v>11</v>
      </c>
      <c r="C2125" s="4">
        <v>2026</v>
      </c>
      <c r="D2125" s="5" t="s">
        <v>12</v>
      </c>
      <c r="E2125" s="4">
        <v>292</v>
      </c>
      <c r="F2125" s="4" t="s">
        <v>2355</v>
      </c>
      <c r="G2125" s="4" t="s">
        <v>2356</v>
      </c>
      <c r="H2125" s="4" t="s">
        <v>15</v>
      </c>
      <c r="I2125" s="4" t="s">
        <v>149</v>
      </c>
      <c r="J2125" s="4" t="s">
        <v>2364</v>
      </c>
      <c r="K2125" s="4" t="s">
        <v>30</v>
      </c>
      <c r="L2125" s="4" t="s">
        <v>3743</v>
      </c>
      <c r="M2125" s="4" t="s">
        <v>3746</v>
      </c>
      <c r="N2125" s="4" t="s">
        <v>3747</v>
      </c>
      <c r="O2125" s="17">
        <f>INDEX('список ID из СУЭ с должностями'!$A:$F,MATCH(E2125,'список ID из СУЭ с должностями'!$B:$B,0),5)</f>
        <v>0</v>
      </c>
    </row>
    <row r="2126" spans="1:15" ht="180">
      <c r="A2126" s="3" t="s">
        <v>10</v>
      </c>
      <c r="B2126" s="3" t="s">
        <v>11</v>
      </c>
      <c r="C2126" s="4">
        <v>2026</v>
      </c>
      <c r="D2126" s="5" t="s">
        <v>12</v>
      </c>
      <c r="E2126" s="4">
        <v>292</v>
      </c>
      <c r="F2126" s="4" t="s">
        <v>2355</v>
      </c>
      <c r="G2126" s="4" t="s">
        <v>2356</v>
      </c>
      <c r="H2126" s="4" t="s">
        <v>15</v>
      </c>
      <c r="I2126" s="4" t="s">
        <v>2365</v>
      </c>
      <c r="J2126" s="4" t="s">
        <v>2366</v>
      </c>
      <c r="K2126" s="4" t="s">
        <v>35</v>
      </c>
      <c r="L2126" s="4" t="s">
        <v>3743</v>
      </c>
      <c r="M2126" s="4" t="s">
        <v>3746</v>
      </c>
      <c r="N2126" s="4" t="s">
        <v>3747</v>
      </c>
      <c r="O2126" s="17">
        <f>INDEX('список ID из СУЭ с должностями'!$A:$F,MATCH(E2126,'список ID из СУЭ с должностями'!$B:$B,0),5)</f>
        <v>0</v>
      </c>
    </row>
    <row r="2127" spans="1:15" ht="225">
      <c r="A2127" s="3" t="s">
        <v>10</v>
      </c>
      <c r="B2127" s="3" t="s">
        <v>11</v>
      </c>
      <c r="C2127" s="4">
        <v>2026</v>
      </c>
      <c r="D2127" s="5" t="s">
        <v>12</v>
      </c>
      <c r="E2127" s="4">
        <v>292</v>
      </c>
      <c r="F2127" s="4" t="s">
        <v>2355</v>
      </c>
      <c r="G2127" s="4" t="s">
        <v>2356</v>
      </c>
      <c r="H2127" s="4" t="s">
        <v>15</v>
      </c>
      <c r="I2127" s="4" t="s">
        <v>147</v>
      </c>
      <c r="J2127" s="4" t="s">
        <v>2367</v>
      </c>
      <c r="K2127" s="4" t="s">
        <v>35</v>
      </c>
      <c r="L2127" s="4" t="s">
        <v>3743</v>
      </c>
      <c r="M2127" s="4" t="s">
        <v>3746</v>
      </c>
      <c r="N2127" s="4" t="s">
        <v>3747</v>
      </c>
      <c r="O2127" s="17">
        <f>INDEX('список ID из СУЭ с должностями'!$A:$F,MATCH(E2127,'список ID из СУЭ с должностями'!$B:$B,0),5)</f>
        <v>0</v>
      </c>
    </row>
    <row r="2128" spans="1:15" ht="150">
      <c r="A2128" s="3" t="s">
        <v>10</v>
      </c>
      <c r="B2128" s="3" t="s">
        <v>11</v>
      </c>
      <c r="C2128" s="4">
        <v>2026</v>
      </c>
      <c r="D2128" s="5" t="s">
        <v>12</v>
      </c>
      <c r="E2128" s="4">
        <v>293</v>
      </c>
      <c r="F2128" s="4" t="s">
        <v>2355</v>
      </c>
      <c r="G2128" s="4" t="s">
        <v>2368</v>
      </c>
      <c r="H2128" s="4" t="s">
        <v>15</v>
      </c>
      <c r="I2128" s="4" t="s">
        <v>437</v>
      </c>
      <c r="J2128" s="4" t="s">
        <v>930</v>
      </c>
      <c r="K2128" s="4" t="s">
        <v>25</v>
      </c>
      <c r="L2128" s="4" t="s">
        <v>3743</v>
      </c>
      <c r="M2128" s="4" t="s">
        <v>3746</v>
      </c>
      <c r="N2128" s="4" t="s">
        <v>3747</v>
      </c>
      <c r="O2128" s="17">
        <f>INDEX('список ID из СУЭ с должностями'!$A:$F,MATCH(E2128,'список ID из СУЭ с должностями'!$B:$B,0),5)</f>
        <v>0</v>
      </c>
    </row>
    <row r="2129" spans="1:15" ht="150">
      <c r="A2129" s="3" t="s">
        <v>10</v>
      </c>
      <c r="B2129" s="3" t="s">
        <v>11</v>
      </c>
      <c r="C2129" s="4">
        <v>2026</v>
      </c>
      <c r="D2129" s="5" t="s">
        <v>12</v>
      </c>
      <c r="E2129" s="4">
        <v>293</v>
      </c>
      <c r="F2129" s="4" t="s">
        <v>2355</v>
      </c>
      <c r="G2129" s="4" t="s">
        <v>2368</v>
      </c>
      <c r="H2129" s="4" t="s">
        <v>15</v>
      </c>
      <c r="I2129" s="4" t="s">
        <v>806</v>
      </c>
      <c r="J2129" s="4" t="s">
        <v>2362</v>
      </c>
      <c r="K2129" s="4" t="s">
        <v>38</v>
      </c>
      <c r="L2129" s="4" t="s">
        <v>3743</v>
      </c>
      <c r="M2129" s="4" t="s">
        <v>3746</v>
      </c>
      <c r="N2129" s="4" t="s">
        <v>3747</v>
      </c>
      <c r="O2129" s="17">
        <f>INDEX('список ID из СУЭ с должностями'!$A:$F,MATCH(E2129,'список ID из СУЭ с должностями'!$B:$B,0),5)</f>
        <v>0</v>
      </c>
    </row>
    <row r="2130" spans="1:15" ht="409.5">
      <c r="A2130" s="3" t="s">
        <v>10</v>
      </c>
      <c r="B2130" s="3" t="s">
        <v>11</v>
      </c>
      <c r="C2130" s="4">
        <v>2026</v>
      </c>
      <c r="D2130" s="5" t="s">
        <v>12</v>
      </c>
      <c r="E2130" s="4">
        <v>293</v>
      </c>
      <c r="F2130" s="4" t="s">
        <v>2355</v>
      </c>
      <c r="G2130" s="4" t="s">
        <v>2368</v>
      </c>
      <c r="H2130" s="4" t="s">
        <v>21</v>
      </c>
      <c r="I2130" s="4" t="s">
        <v>2357</v>
      </c>
      <c r="J2130" s="4" t="s">
        <v>2369</v>
      </c>
      <c r="K2130" s="4" t="s">
        <v>25</v>
      </c>
      <c r="L2130" s="4" t="s">
        <v>3743</v>
      </c>
      <c r="M2130" s="4" t="s">
        <v>3746</v>
      </c>
      <c r="N2130" s="4" t="s">
        <v>3747</v>
      </c>
      <c r="O2130" s="17">
        <f>INDEX('список ID из СУЭ с должностями'!$A:$F,MATCH(E2130,'список ID из СУЭ с должностями'!$B:$B,0),5)</f>
        <v>0</v>
      </c>
    </row>
    <row r="2131" spans="1:15" ht="225">
      <c r="A2131" s="3" t="s">
        <v>10</v>
      </c>
      <c r="B2131" s="3" t="s">
        <v>11</v>
      </c>
      <c r="C2131" s="4">
        <v>2026</v>
      </c>
      <c r="D2131" s="5" t="s">
        <v>12</v>
      </c>
      <c r="E2131" s="4">
        <v>293</v>
      </c>
      <c r="F2131" s="4" t="s">
        <v>2355</v>
      </c>
      <c r="G2131" s="4" t="s">
        <v>2368</v>
      </c>
      <c r="H2131" s="4" t="s">
        <v>15</v>
      </c>
      <c r="I2131" s="4" t="s">
        <v>147</v>
      </c>
      <c r="J2131" s="4" t="s">
        <v>2367</v>
      </c>
      <c r="K2131" s="4" t="s">
        <v>35</v>
      </c>
      <c r="L2131" s="4" t="s">
        <v>3743</v>
      </c>
      <c r="M2131" s="4" t="s">
        <v>3746</v>
      </c>
      <c r="N2131" s="4" t="s">
        <v>3747</v>
      </c>
      <c r="O2131" s="17">
        <f>INDEX('список ID из СУЭ с должностями'!$A:$F,MATCH(E2131,'список ID из СУЭ с должностями'!$B:$B,0),5)</f>
        <v>0</v>
      </c>
    </row>
    <row r="2132" spans="1:15" ht="409.5">
      <c r="A2132" s="3" t="s">
        <v>10</v>
      </c>
      <c r="B2132" s="3" t="s">
        <v>11</v>
      </c>
      <c r="C2132" s="4">
        <v>2026</v>
      </c>
      <c r="D2132" s="5" t="s">
        <v>12</v>
      </c>
      <c r="E2132" s="4">
        <v>293</v>
      </c>
      <c r="F2132" s="4" t="s">
        <v>2355</v>
      </c>
      <c r="G2132" s="4" t="s">
        <v>2368</v>
      </c>
      <c r="H2132" s="4" t="s">
        <v>15</v>
      </c>
      <c r="I2132" s="4" t="s">
        <v>303</v>
      </c>
      <c r="J2132" s="4" t="s">
        <v>2370</v>
      </c>
      <c r="K2132" s="4" t="s">
        <v>66</v>
      </c>
      <c r="L2132" s="4" t="s">
        <v>3743</v>
      </c>
      <c r="M2132" s="4" t="s">
        <v>3746</v>
      </c>
      <c r="N2132" s="4" t="s">
        <v>3747</v>
      </c>
      <c r="O2132" s="17">
        <f>INDEX('список ID из СУЭ с должностями'!$A:$F,MATCH(E2132,'список ID из СУЭ с должностями'!$B:$B,0),5)</f>
        <v>0</v>
      </c>
    </row>
    <row r="2133" spans="1:15" ht="255">
      <c r="A2133" s="3" t="s">
        <v>10</v>
      </c>
      <c r="B2133" s="3" t="s">
        <v>11</v>
      </c>
      <c r="C2133" s="4">
        <v>2026</v>
      </c>
      <c r="D2133" s="5" t="s">
        <v>12</v>
      </c>
      <c r="E2133" s="4">
        <v>293</v>
      </c>
      <c r="F2133" s="4" t="s">
        <v>2355</v>
      </c>
      <c r="G2133" s="4" t="s">
        <v>2368</v>
      </c>
      <c r="H2133" s="4" t="s">
        <v>15</v>
      </c>
      <c r="I2133" s="4" t="s">
        <v>149</v>
      </c>
      <c r="J2133" s="4" t="s">
        <v>2364</v>
      </c>
      <c r="K2133" s="4" t="s">
        <v>30</v>
      </c>
      <c r="L2133" s="4" t="s">
        <v>3743</v>
      </c>
      <c r="M2133" s="4" t="s">
        <v>3746</v>
      </c>
      <c r="N2133" s="4" t="s">
        <v>3747</v>
      </c>
      <c r="O2133" s="17">
        <f>INDEX('список ID из СУЭ с должностями'!$A:$F,MATCH(E2133,'список ID из СУЭ с должностями'!$B:$B,0),5)</f>
        <v>0</v>
      </c>
    </row>
    <row r="2134" spans="1:15" ht="180">
      <c r="A2134" s="3" t="s">
        <v>10</v>
      </c>
      <c r="B2134" s="3" t="s">
        <v>11</v>
      </c>
      <c r="C2134" s="4">
        <v>2026</v>
      </c>
      <c r="D2134" s="5" t="s">
        <v>12</v>
      </c>
      <c r="E2134" s="4">
        <v>293</v>
      </c>
      <c r="F2134" s="4" t="s">
        <v>2355</v>
      </c>
      <c r="G2134" s="4" t="s">
        <v>2368</v>
      </c>
      <c r="H2134" s="4" t="s">
        <v>15</v>
      </c>
      <c r="I2134" s="4" t="s">
        <v>2365</v>
      </c>
      <c r="J2134" s="4" t="s">
        <v>2366</v>
      </c>
      <c r="K2134" s="4" t="s">
        <v>35</v>
      </c>
      <c r="L2134" s="4" t="s">
        <v>3743</v>
      </c>
      <c r="M2134" s="4" t="s">
        <v>3746</v>
      </c>
      <c r="N2134" s="4" t="s">
        <v>3747</v>
      </c>
      <c r="O2134" s="17">
        <f>INDEX('список ID из СУЭ с должностями'!$A:$F,MATCH(E2134,'список ID из СУЭ с должностями'!$B:$B,0),5)</f>
        <v>0</v>
      </c>
    </row>
    <row r="2135" spans="1:15" ht="409.5">
      <c r="A2135" s="3" t="s">
        <v>10</v>
      </c>
      <c r="B2135" s="3" t="s">
        <v>11</v>
      </c>
      <c r="C2135" s="4">
        <v>2026</v>
      </c>
      <c r="D2135" s="5" t="s">
        <v>12</v>
      </c>
      <c r="E2135" s="4">
        <v>294</v>
      </c>
      <c r="F2135" s="4" t="s">
        <v>2371</v>
      </c>
      <c r="G2135" s="4" t="s">
        <v>2356</v>
      </c>
      <c r="H2135" s="4" t="s">
        <v>21</v>
      </c>
      <c r="I2135" s="4" t="s">
        <v>2357</v>
      </c>
      <c r="J2135" s="4" t="s">
        <v>2372</v>
      </c>
      <c r="K2135" s="4" t="s">
        <v>25</v>
      </c>
      <c r="L2135" s="4" t="s">
        <v>3743</v>
      </c>
      <c r="M2135" s="4" t="s">
        <v>3746</v>
      </c>
      <c r="N2135" s="4" t="s">
        <v>3747</v>
      </c>
      <c r="O2135" s="17">
        <f>INDEX('список ID из СУЭ с должностями'!$A:$F,MATCH(E2135,'список ID из СУЭ с должностями'!$B:$B,0),5)</f>
        <v>0</v>
      </c>
    </row>
    <row r="2136" spans="1:15" ht="135">
      <c r="A2136" s="3" t="s">
        <v>10</v>
      </c>
      <c r="B2136" s="3" t="s">
        <v>11</v>
      </c>
      <c r="C2136" s="4">
        <v>2026</v>
      </c>
      <c r="D2136" s="5" t="s">
        <v>12</v>
      </c>
      <c r="E2136" s="4">
        <v>294</v>
      </c>
      <c r="F2136" s="4" t="s">
        <v>2371</v>
      </c>
      <c r="G2136" s="4" t="s">
        <v>2356</v>
      </c>
      <c r="H2136" s="4" t="s">
        <v>15</v>
      </c>
      <c r="I2136" s="4" t="s">
        <v>806</v>
      </c>
      <c r="J2136" s="4" t="s">
        <v>2373</v>
      </c>
      <c r="K2136" s="4" t="s">
        <v>38</v>
      </c>
      <c r="L2136" s="4" t="s">
        <v>3743</v>
      </c>
      <c r="M2136" s="4" t="s">
        <v>3746</v>
      </c>
      <c r="N2136" s="4" t="s">
        <v>3747</v>
      </c>
      <c r="O2136" s="17">
        <f>INDEX('список ID из СУЭ с должностями'!$A:$F,MATCH(E2136,'список ID из СУЭ с должностями'!$B:$B,0),5)</f>
        <v>0</v>
      </c>
    </row>
    <row r="2137" spans="1:15" ht="195">
      <c r="A2137" s="3" t="s">
        <v>10</v>
      </c>
      <c r="B2137" s="3" t="s">
        <v>11</v>
      </c>
      <c r="C2137" s="4">
        <v>2026</v>
      </c>
      <c r="D2137" s="5" t="s">
        <v>12</v>
      </c>
      <c r="E2137" s="4">
        <v>294</v>
      </c>
      <c r="F2137" s="4" t="s">
        <v>2371</v>
      </c>
      <c r="G2137" s="4" t="s">
        <v>2356</v>
      </c>
      <c r="H2137" s="4" t="s">
        <v>15</v>
      </c>
      <c r="I2137" s="4" t="s">
        <v>147</v>
      </c>
      <c r="J2137" s="4" t="s">
        <v>2374</v>
      </c>
      <c r="K2137" s="4" t="s">
        <v>35</v>
      </c>
      <c r="L2137" s="4" t="s">
        <v>3743</v>
      </c>
      <c r="M2137" s="4" t="s">
        <v>3746</v>
      </c>
      <c r="N2137" s="4" t="s">
        <v>3747</v>
      </c>
      <c r="O2137" s="17">
        <f>INDEX('список ID из СУЭ с должностями'!$A:$F,MATCH(E2137,'список ID из СУЭ с должностями'!$B:$B,0),5)</f>
        <v>0</v>
      </c>
    </row>
    <row r="2138" spans="1:15" ht="390">
      <c r="A2138" s="3" t="s">
        <v>10</v>
      </c>
      <c r="B2138" s="3" t="s">
        <v>11</v>
      </c>
      <c r="C2138" s="4">
        <v>2026</v>
      </c>
      <c r="D2138" s="5" t="s">
        <v>12</v>
      </c>
      <c r="E2138" s="4">
        <v>294</v>
      </c>
      <c r="F2138" s="4" t="s">
        <v>2371</v>
      </c>
      <c r="G2138" s="4" t="s">
        <v>2356</v>
      </c>
      <c r="H2138" s="4" t="s">
        <v>15</v>
      </c>
      <c r="I2138" s="4" t="s">
        <v>303</v>
      </c>
      <c r="J2138" s="4" t="s">
        <v>2375</v>
      </c>
      <c r="K2138" s="4" t="s">
        <v>66</v>
      </c>
      <c r="L2138" s="4" t="s">
        <v>3743</v>
      </c>
      <c r="M2138" s="4" t="s">
        <v>3746</v>
      </c>
      <c r="N2138" s="4" t="s">
        <v>3747</v>
      </c>
      <c r="O2138" s="17">
        <f>INDEX('список ID из СУЭ с должностями'!$A:$F,MATCH(E2138,'список ID из СУЭ с должностями'!$B:$B,0),5)</f>
        <v>0</v>
      </c>
    </row>
    <row r="2139" spans="1:15" ht="409.5">
      <c r="A2139" s="3" t="s">
        <v>10</v>
      </c>
      <c r="B2139" s="3" t="s">
        <v>11</v>
      </c>
      <c r="C2139" s="4">
        <v>2026</v>
      </c>
      <c r="D2139" s="5" t="s">
        <v>12</v>
      </c>
      <c r="E2139" s="4">
        <v>294</v>
      </c>
      <c r="F2139" s="4" t="s">
        <v>2371</v>
      </c>
      <c r="G2139" s="4" t="s">
        <v>2356</v>
      </c>
      <c r="H2139" s="4" t="s">
        <v>21</v>
      </c>
      <c r="I2139" s="4" t="s">
        <v>149</v>
      </c>
      <c r="J2139" s="4" t="s">
        <v>2376</v>
      </c>
      <c r="K2139" s="4" t="s">
        <v>30</v>
      </c>
      <c r="L2139" s="4" t="s">
        <v>3743</v>
      </c>
      <c r="M2139" s="4" t="s">
        <v>3746</v>
      </c>
      <c r="N2139" s="4" t="s">
        <v>3747</v>
      </c>
      <c r="O2139" s="17">
        <f>INDEX('список ID из СУЭ с должностями'!$A:$F,MATCH(E2139,'список ID из СУЭ с должностями'!$B:$B,0),5)</f>
        <v>0</v>
      </c>
    </row>
    <row r="2140" spans="1:15" ht="409.5">
      <c r="A2140" s="3" t="s">
        <v>10</v>
      </c>
      <c r="B2140" s="3" t="s">
        <v>11</v>
      </c>
      <c r="C2140" s="4">
        <v>2026</v>
      </c>
      <c r="D2140" s="5" t="s">
        <v>12</v>
      </c>
      <c r="E2140" s="4">
        <v>295</v>
      </c>
      <c r="F2140" s="4" t="s">
        <v>458</v>
      </c>
      <c r="G2140" s="4" t="s">
        <v>2359</v>
      </c>
      <c r="H2140" s="4" t="s">
        <v>21</v>
      </c>
      <c r="I2140" s="4" t="s">
        <v>2357</v>
      </c>
      <c r="J2140" s="4" t="s">
        <v>2377</v>
      </c>
      <c r="K2140" s="4" t="s">
        <v>25</v>
      </c>
      <c r="L2140" s="4" t="s">
        <v>3743</v>
      </c>
      <c r="M2140" s="4" t="s">
        <v>3746</v>
      </c>
      <c r="N2140" s="4" t="s">
        <v>3747</v>
      </c>
      <c r="O2140" s="17">
        <f>INDEX('список ID из СУЭ с должностями'!$A:$F,MATCH(E2140,'список ID из СУЭ с должностями'!$B:$B,0),5)</f>
        <v>0</v>
      </c>
    </row>
    <row r="2141" spans="1:15" ht="105">
      <c r="A2141" s="3" t="s">
        <v>10</v>
      </c>
      <c r="B2141" s="3" t="s">
        <v>11</v>
      </c>
      <c r="C2141" s="4">
        <v>2026</v>
      </c>
      <c r="D2141" s="5" t="s">
        <v>12</v>
      </c>
      <c r="E2141" s="4">
        <v>295</v>
      </c>
      <c r="F2141" s="4" t="s">
        <v>458</v>
      </c>
      <c r="G2141" s="4" t="s">
        <v>2359</v>
      </c>
      <c r="H2141" s="4" t="s">
        <v>15</v>
      </c>
      <c r="I2141" s="4" t="s">
        <v>437</v>
      </c>
      <c r="J2141" s="4" t="s">
        <v>930</v>
      </c>
      <c r="K2141" s="4" t="s">
        <v>25</v>
      </c>
      <c r="L2141" s="4" t="s">
        <v>3743</v>
      </c>
      <c r="M2141" s="4" t="s">
        <v>3746</v>
      </c>
      <c r="N2141" s="4" t="s">
        <v>3747</v>
      </c>
      <c r="O2141" s="17">
        <f>INDEX('список ID из СУЭ с должностями'!$A:$F,MATCH(E2141,'список ID из СУЭ с должностями'!$B:$B,0),5)</f>
        <v>0</v>
      </c>
    </row>
    <row r="2142" spans="1:15" ht="105">
      <c r="A2142" s="3" t="s">
        <v>10</v>
      </c>
      <c r="B2142" s="3" t="s">
        <v>11</v>
      </c>
      <c r="C2142" s="4">
        <v>2026</v>
      </c>
      <c r="D2142" s="5" t="s">
        <v>12</v>
      </c>
      <c r="E2142" s="4">
        <v>295</v>
      </c>
      <c r="F2142" s="4" t="s">
        <v>458</v>
      </c>
      <c r="G2142" s="4" t="s">
        <v>2359</v>
      </c>
      <c r="H2142" s="4" t="s">
        <v>15</v>
      </c>
      <c r="I2142" s="4" t="s">
        <v>301</v>
      </c>
      <c r="J2142" s="4" t="s">
        <v>463</v>
      </c>
      <c r="K2142" s="4" t="s">
        <v>66</v>
      </c>
      <c r="L2142" s="4" t="s">
        <v>3742</v>
      </c>
      <c r="M2142" s="4" t="s">
        <v>3746</v>
      </c>
      <c r="N2142" s="4" t="s">
        <v>3747</v>
      </c>
      <c r="O2142" s="17">
        <f>INDEX('список ID из СУЭ с должностями'!$A:$F,MATCH(E2142,'список ID из СУЭ с должностями'!$B:$B,0),5)</f>
        <v>0</v>
      </c>
    </row>
    <row r="2143" spans="1:15" ht="409.5">
      <c r="A2143" s="3" t="s">
        <v>10</v>
      </c>
      <c r="B2143" s="3" t="s">
        <v>11</v>
      </c>
      <c r="C2143" s="4">
        <v>2026</v>
      </c>
      <c r="D2143" s="5" t="s">
        <v>12</v>
      </c>
      <c r="E2143" s="4">
        <v>295</v>
      </c>
      <c r="F2143" s="4" t="s">
        <v>458</v>
      </c>
      <c r="G2143" s="4" t="s">
        <v>2359</v>
      </c>
      <c r="H2143" s="4" t="s">
        <v>15</v>
      </c>
      <c r="I2143" s="4" t="s">
        <v>2378</v>
      </c>
      <c r="J2143" s="4" t="s">
        <v>2379</v>
      </c>
      <c r="K2143" s="4" t="s">
        <v>38</v>
      </c>
      <c r="L2143" s="4" t="s">
        <v>3743</v>
      </c>
      <c r="M2143" s="4" t="s">
        <v>3746</v>
      </c>
      <c r="N2143" s="4" t="s">
        <v>3747</v>
      </c>
      <c r="O2143" s="17">
        <f>INDEX('список ID из СУЭ с должностями'!$A:$F,MATCH(E2143,'список ID из СУЭ с должностями'!$B:$B,0),5)</f>
        <v>0</v>
      </c>
    </row>
    <row r="2144" spans="1:15" ht="150">
      <c r="A2144" s="3" t="s">
        <v>10</v>
      </c>
      <c r="B2144" s="3" t="s">
        <v>11</v>
      </c>
      <c r="C2144" s="4">
        <v>2026</v>
      </c>
      <c r="D2144" s="5" t="s">
        <v>12</v>
      </c>
      <c r="E2144" s="4">
        <v>295</v>
      </c>
      <c r="F2144" s="4" t="s">
        <v>458</v>
      </c>
      <c r="G2144" s="4" t="s">
        <v>2359</v>
      </c>
      <c r="H2144" s="4" t="s">
        <v>15</v>
      </c>
      <c r="I2144" s="4" t="s">
        <v>2380</v>
      </c>
      <c r="J2144" s="4" t="s">
        <v>2381</v>
      </c>
      <c r="K2144" s="4" t="s">
        <v>55</v>
      </c>
      <c r="L2144" s="4" t="s">
        <v>3743</v>
      </c>
      <c r="M2144" s="4" t="s">
        <v>3746</v>
      </c>
      <c r="N2144" s="4" t="s">
        <v>3747</v>
      </c>
      <c r="O2144" s="17">
        <f>INDEX('список ID из СУЭ с должностями'!$A:$F,MATCH(E2144,'список ID из СУЭ с должностями'!$B:$B,0),5)</f>
        <v>0</v>
      </c>
    </row>
    <row r="2145" spans="1:15" ht="330">
      <c r="A2145" s="3" t="s">
        <v>10</v>
      </c>
      <c r="B2145" s="3" t="s">
        <v>11</v>
      </c>
      <c r="C2145" s="4">
        <v>2026</v>
      </c>
      <c r="D2145" s="5" t="s">
        <v>12</v>
      </c>
      <c r="E2145" s="4">
        <v>295</v>
      </c>
      <c r="F2145" s="4" t="s">
        <v>458</v>
      </c>
      <c r="G2145" s="4" t="s">
        <v>2359</v>
      </c>
      <c r="H2145" s="4" t="s">
        <v>15</v>
      </c>
      <c r="I2145" s="4" t="s">
        <v>1002</v>
      </c>
      <c r="J2145" s="4" t="s">
        <v>2382</v>
      </c>
      <c r="K2145" s="4" t="s">
        <v>52</v>
      </c>
      <c r="L2145" s="4" t="s">
        <v>3743</v>
      </c>
      <c r="M2145" s="4" t="s">
        <v>3746</v>
      </c>
      <c r="N2145" s="4" t="s">
        <v>3747</v>
      </c>
      <c r="O2145" s="17">
        <f>INDEX('список ID из СУЭ с должностями'!$A:$F,MATCH(E2145,'список ID из СУЭ с должностями'!$B:$B,0),5)</f>
        <v>0</v>
      </c>
    </row>
    <row r="2146" spans="1:15" ht="225">
      <c r="A2146" s="3" t="s">
        <v>10</v>
      </c>
      <c r="B2146" s="3" t="s">
        <v>11</v>
      </c>
      <c r="C2146" s="4">
        <v>2026</v>
      </c>
      <c r="D2146" s="5" t="s">
        <v>12</v>
      </c>
      <c r="E2146" s="4">
        <v>295</v>
      </c>
      <c r="F2146" s="4" t="s">
        <v>458</v>
      </c>
      <c r="G2146" s="4" t="s">
        <v>2359</v>
      </c>
      <c r="H2146" s="4" t="s">
        <v>15</v>
      </c>
      <c r="I2146" s="4" t="s">
        <v>907</v>
      </c>
      <c r="J2146" s="4" t="s">
        <v>2383</v>
      </c>
      <c r="K2146" s="4" t="s">
        <v>55</v>
      </c>
      <c r="L2146" s="4" t="s">
        <v>3743</v>
      </c>
      <c r="M2146" s="4" t="s">
        <v>3746</v>
      </c>
      <c r="N2146" s="4" t="s">
        <v>3747</v>
      </c>
      <c r="O2146" s="17">
        <f>INDEX('список ID из СУЭ с должностями'!$A:$F,MATCH(E2146,'список ID из СУЭ с должностями'!$B:$B,0),5)</f>
        <v>0</v>
      </c>
    </row>
    <row r="2147" spans="1:15" ht="375">
      <c r="A2147" s="3" t="s">
        <v>10</v>
      </c>
      <c r="B2147" s="3" t="s">
        <v>11</v>
      </c>
      <c r="C2147" s="4">
        <v>2026</v>
      </c>
      <c r="D2147" s="5" t="s">
        <v>12</v>
      </c>
      <c r="E2147" s="4">
        <v>295</v>
      </c>
      <c r="F2147" s="4" t="s">
        <v>458</v>
      </c>
      <c r="G2147" s="4" t="s">
        <v>2359</v>
      </c>
      <c r="H2147" s="4" t="s">
        <v>15</v>
      </c>
      <c r="I2147" s="4" t="s">
        <v>147</v>
      </c>
      <c r="J2147" s="4" t="s">
        <v>2384</v>
      </c>
      <c r="K2147" s="4" t="s">
        <v>35</v>
      </c>
      <c r="L2147" s="4" t="s">
        <v>3743</v>
      </c>
      <c r="M2147" s="4" t="s">
        <v>3746</v>
      </c>
      <c r="N2147" s="4" t="s">
        <v>3747</v>
      </c>
      <c r="O2147" s="17">
        <f>INDEX('список ID из СУЭ с должностями'!$A:$F,MATCH(E2147,'список ID из СУЭ с должностями'!$B:$B,0),5)</f>
        <v>0</v>
      </c>
    </row>
    <row r="2148" spans="1:15" ht="345">
      <c r="A2148" s="3" t="s">
        <v>10</v>
      </c>
      <c r="B2148" s="3" t="s">
        <v>11</v>
      </c>
      <c r="C2148" s="4">
        <v>2026</v>
      </c>
      <c r="D2148" s="5" t="s">
        <v>12</v>
      </c>
      <c r="E2148" s="4">
        <v>295</v>
      </c>
      <c r="F2148" s="4" t="s">
        <v>458</v>
      </c>
      <c r="G2148" s="4" t="s">
        <v>2359</v>
      </c>
      <c r="H2148" s="4" t="s">
        <v>15</v>
      </c>
      <c r="I2148" s="4" t="s">
        <v>149</v>
      </c>
      <c r="J2148" s="4" t="s">
        <v>2385</v>
      </c>
      <c r="K2148" s="4" t="s">
        <v>151</v>
      </c>
      <c r="L2148" s="4" t="s">
        <v>3743</v>
      </c>
      <c r="M2148" s="4" t="s">
        <v>3746</v>
      </c>
      <c r="N2148" s="4" t="s">
        <v>3747</v>
      </c>
      <c r="O2148" s="17">
        <f>INDEX('список ID из СУЭ с должностями'!$A:$F,MATCH(E2148,'список ID из СУЭ с должностями'!$B:$B,0),5)</f>
        <v>0</v>
      </c>
    </row>
    <row r="2149" spans="1:15" ht="409.5">
      <c r="A2149" s="3" t="s">
        <v>10</v>
      </c>
      <c r="B2149" s="3" t="s">
        <v>11</v>
      </c>
      <c r="C2149" s="4">
        <v>2026</v>
      </c>
      <c r="D2149" s="5" t="s">
        <v>12</v>
      </c>
      <c r="E2149" s="4">
        <v>296</v>
      </c>
      <c r="F2149" s="4" t="s">
        <v>2371</v>
      </c>
      <c r="G2149" s="4" t="s">
        <v>2386</v>
      </c>
      <c r="H2149" s="4" t="s">
        <v>21</v>
      </c>
      <c r="I2149" s="4" t="s">
        <v>2357</v>
      </c>
      <c r="J2149" s="4" t="s">
        <v>2387</v>
      </c>
      <c r="K2149" s="4" t="s">
        <v>25</v>
      </c>
      <c r="L2149" s="4" t="s">
        <v>3743</v>
      </c>
      <c r="M2149" s="4" t="s">
        <v>3746</v>
      </c>
      <c r="N2149" s="4" t="s">
        <v>3747</v>
      </c>
      <c r="O2149" s="17">
        <f>INDEX('список ID из СУЭ с должностями'!$A:$F,MATCH(E2149,'список ID из СУЭ с должностями'!$B:$B,0),5)</f>
        <v>0</v>
      </c>
    </row>
    <row r="2150" spans="1:15" ht="195">
      <c r="A2150" s="3" t="s">
        <v>10</v>
      </c>
      <c r="B2150" s="3" t="s">
        <v>11</v>
      </c>
      <c r="C2150" s="4">
        <v>2026</v>
      </c>
      <c r="D2150" s="5" t="s">
        <v>12</v>
      </c>
      <c r="E2150" s="4">
        <v>296</v>
      </c>
      <c r="F2150" s="4" t="s">
        <v>2371</v>
      </c>
      <c r="G2150" s="4" t="s">
        <v>2386</v>
      </c>
      <c r="H2150" s="4" t="s">
        <v>15</v>
      </c>
      <c r="I2150" s="4" t="s">
        <v>147</v>
      </c>
      <c r="J2150" s="4" t="s">
        <v>2388</v>
      </c>
      <c r="K2150" s="4" t="s">
        <v>35</v>
      </c>
      <c r="L2150" s="4" t="s">
        <v>3743</v>
      </c>
      <c r="M2150" s="4" t="s">
        <v>3746</v>
      </c>
      <c r="N2150" s="4" t="s">
        <v>3747</v>
      </c>
      <c r="O2150" s="17">
        <f>INDEX('список ID из СУЭ с должностями'!$A:$F,MATCH(E2150,'список ID из СУЭ с должностями'!$B:$B,0),5)</f>
        <v>0</v>
      </c>
    </row>
    <row r="2151" spans="1:15" ht="330">
      <c r="A2151" s="3" t="s">
        <v>10</v>
      </c>
      <c r="B2151" s="3" t="s">
        <v>11</v>
      </c>
      <c r="C2151" s="4">
        <v>2026</v>
      </c>
      <c r="D2151" s="5" t="s">
        <v>12</v>
      </c>
      <c r="E2151" s="4">
        <v>296</v>
      </c>
      <c r="F2151" s="4" t="s">
        <v>2371</v>
      </c>
      <c r="G2151" s="4" t="s">
        <v>2386</v>
      </c>
      <c r="H2151" s="4" t="s">
        <v>15</v>
      </c>
      <c r="I2151" s="4" t="s">
        <v>149</v>
      </c>
      <c r="J2151" s="4" t="s">
        <v>2389</v>
      </c>
      <c r="K2151" s="4" t="s">
        <v>66</v>
      </c>
      <c r="L2151" s="4" t="s">
        <v>3743</v>
      </c>
      <c r="M2151" s="4" t="s">
        <v>3746</v>
      </c>
      <c r="N2151" s="4" t="s">
        <v>3747</v>
      </c>
      <c r="O2151" s="17">
        <f>INDEX('список ID из СУЭ с должностями'!$A:$F,MATCH(E2151,'список ID из СУЭ с должностями'!$B:$B,0),5)</f>
        <v>0</v>
      </c>
    </row>
    <row r="2152" spans="1:15" ht="135">
      <c r="A2152" s="3" t="s">
        <v>10</v>
      </c>
      <c r="B2152" s="3" t="s">
        <v>11</v>
      </c>
      <c r="C2152" s="4">
        <v>2026</v>
      </c>
      <c r="D2152" s="5" t="s">
        <v>12</v>
      </c>
      <c r="E2152" s="4">
        <v>296</v>
      </c>
      <c r="F2152" s="4" t="s">
        <v>2371</v>
      </c>
      <c r="G2152" s="4" t="s">
        <v>2386</v>
      </c>
      <c r="H2152" s="4" t="s">
        <v>15</v>
      </c>
      <c r="I2152" s="4" t="s">
        <v>806</v>
      </c>
      <c r="J2152" s="4" t="s">
        <v>2390</v>
      </c>
      <c r="K2152" s="4" t="s">
        <v>38</v>
      </c>
      <c r="L2152" s="4" t="s">
        <v>3743</v>
      </c>
      <c r="M2152" s="4" t="s">
        <v>3746</v>
      </c>
      <c r="N2152" s="4" t="s">
        <v>3747</v>
      </c>
      <c r="O2152" s="17">
        <f>INDEX('список ID из СУЭ с должностями'!$A:$F,MATCH(E2152,'список ID из СУЭ с должностями'!$B:$B,0),5)</f>
        <v>0</v>
      </c>
    </row>
    <row r="2153" spans="1:15" ht="330">
      <c r="A2153" s="3" t="s">
        <v>10</v>
      </c>
      <c r="B2153" s="3" t="s">
        <v>11</v>
      </c>
      <c r="C2153" s="4">
        <v>2026</v>
      </c>
      <c r="D2153" s="5" t="s">
        <v>12</v>
      </c>
      <c r="E2153" s="4">
        <v>296</v>
      </c>
      <c r="F2153" s="4" t="s">
        <v>2371</v>
      </c>
      <c r="G2153" s="4" t="s">
        <v>2386</v>
      </c>
      <c r="H2153" s="4" t="s">
        <v>15</v>
      </c>
      <c r="I2153" s="4" t="s">
        <v>303</v>
      </c>
      <c r="J2153" s="4" t="s">
        <v>2391</v>
      </c>
      <c r="K2153" s="4" t="s">
        <v>66</v>
      </c>
      <c r="L2153" s="4" t="s">
        <v>3743</v>
      </c>
      <c r="M2153" s="4" t="s">
        <v>3746</v>
      </c>
      <c r="N2153" s="4" t="s">
        <v>3747</v>
      </c>
      <c r="O2153" s="17">
        <f>INDEX('список ID из СУЭ с должностями'!$A:$F,MATCH(E2153,'список ID из СУЭ с должностями'!$B:$B,0),5)</f>
        <v>0</v>
      </c>
    </row>
    <row r="2154" spans="1:15" ht="409.5">
      <c r="A2154" s="3" t="s">
        <v>10</v>
      </c>
      <c r="B2154" s="3" t="s">
        <v>11</v>
      </c>
      <c r="C2154" s="4">
        <v>2026</v>
      </c>
      <c r="D2154" s="5" t="s">
        <v>12</v>
      </c>
      <c r="E2154" s="4">
        <v>297</v>
      </c>
      <c r="F2154" s="4" t="s">
        <v>2371</v>
      </c>
      <c r="G2154" s="4" t="s">
        <v>2386</v>
      </c>
      <c r="H2154" s="4" t="s">
        <v>15</v>
      </c>
      <c r="I2154" s="4" t="s">
        <v>2357</v>
      </c>
      <c r="J2154" s="4" t="s">
        <v>2392</v>
      </c>
      <c r="K2154" s="4" t="s">
        <v>25</v>
      </c>
      <c r="L2154" s="4" t="s">
        <v>3743</v>
      </c>
      <c r="M2154" s="4" t="s">
        <v>3746</v>
      </c>
      <c r="N2154" s="4" t="s">
        <v>3747</v>
      </c>
      <c r="O2154" s="17">
        <f>INDEX('список ID из СУЭ с должностями'!$A:$F,MATCH(E2154,'список ID из СУЭ с должностями'!$B:$B,0),5)</f>
        <v>0</v>
      </c>
    </row>
    <row r="2155" spans="1:15" ht="135">
      <c r="A2155" s="3" t="s">
        <v>10</v>
      </c>
      <c r="B2155" s="3" t="s">
        <v>11</v>
      </c>
      <c r="C2155" s="4">
        <v>2026</v>
      </c>
      <c r="D2155" s="5" t="s">
        <v>12</v>
      </c>
      <c r="E2155" s="4">
        <v>297</v>
      </c>
      <c r="F2155" s="4" t="s">
        <v>2371</v>
      </c>
      <c r="G2155" s="4" t="s">
        <v>2386</v>
      </c>
      <c r="H2155" s="4" t="s">
        <v>15</v>
      </c>
      <c r="I2155" s="4" t="s">
        <v>806</v>
      </c>
      <c r="J2155" s="4" t="s">
        <v>2393</v>
      </c>
      <c r="K2155" s="4" t="s">
        <v>38</v>
      </c>
      <c r="L2155" s="4" t="s">
        <v>3743</v>
      </c>
      <c r="M2155" s="4" t="s">
        <v>3746</v>
      </c>
      <c r="N2155" s="4" t="s">
        <v>3747</v>
      </c>
      <c r="O2155" s="17">
        <f>INDEX('список ID из СУЭ с должностями'!$A:$F,MATCH(E2155,'список ID из СУЭ с должностями'!$B:$B,0),5)</f>
        <v>0</v>
      </c>
    </row>
    <row r="2156" spans="1:15" ht="255">
      <c r="A2156" s="3" t="s">
        <v>10</v>
      </c>
      <c r="B2156" s="3" t="s">
        <v>11</v>
      </c>
      <c r="C2156" s="4">
        <v>2026</v>
      </c>
      <c r="D2156" s="5" t="s">
        <v>12</v>
      </c>
      <c r="E2156" s="4">
        <v>297</v>
      </c>
      <c r="F2156" s="4" t="s">
        <v>2371</v>
      </c>
      <c r="G2156" s="4" t="s">
        <v>2386</v>
      </c>
      <c r="H2156" s="4" t="s">
        <v>15</v>
      </c>
      <c r="I2156" s="4" t="s">
        <v>147</v>
      </c>
      <c r="J2156" s="4" t="s">
        <v>2394</v>
      </c>
      <c r="K2156" s="4" t="s">
        <v>35</v>
      </c>
      <c r="L2156" s="4" t="s">
        <v>3743</v>
      </c>
      <c r="M2156" s="4" t="s">
        <v>3746</v>
      </c>
      <c r="N2156" s="4" t="s">
        <v>3747</v>
      </c>
      <c r="O2156" s="17">
        <f>INDEX('список ID из СУЭ с должностями'!$A:$F,MATCH(E2156,'список ID из СУЭ с должностями'!$B:$B,0),5)</f>
        <v>0</v>
      </c>
    </row>
    <row r="2157" spans="1:15" ht="225">
      <c r="A2157" s="3" t="s">
        <v>10</v>
      </c>
      <c r="B2157" s="3" t="s">
        <v>11</v>
      </c>
      <c r="C2157" s="4">
        <v>2026</v>
      </c>
      <c r="D2157" s="5" t="s">
        <v>12</v>
      </c>
      <c r="E2157" s="4">
        <v>297</v>
      </c>
      <c r="F2157" s="4" t="s">
        <v>2371</v>
      </c>
      <c r="G2157" s="4" t="s">
        <v>2386</v>
      </c>
      <c r="H2157" s="4" t="s">
        <v>15</v>
      </c>
      <c r="I2157" s="4" t="s">
        <v>149</v>
      </c>
      <c r="J2157" s="4" t="s">
        <v>2395</v>
      </c>
      <c r="K2157" s="4" t="s">
        <v>30</v>
      </c>
      <c r="L2157" s="4" t="s">
        <v>3743</v>
      </c>
      <c r="M2157" s="4" t="s">
        <v>3746</v>
      </c>
      <c r="N2157" s="4" t="s">
        <v>3747</v>
      </c>
      <c r="O2157" s="17">
        <f>INDEX('список ID из СУЭ с должностями'!$A:$F,MATCH(E2157,'список ID из СУЭ с должностями'!$B:$B,0),5)</f>
        <v>0</v>
      </c>
    </row>
    <row r="2158" spans="1:15" ht="135">
      <c r="A2158" s="3" t="s">
        <v>10</v>
      </c>
      <c r="B2158" s="3" t="s">
        <v>11</v>
      </c>
      <c r="C2158" s="4">
        <v>2026</v>
      </c>
      <c r="D2158" s="5" t="s">
        <v>12</v>
      </c>
      <c r="E2158" s="4">
        <v>297</v>
      </c>
      <c r="F2158" s="4" t="s">
        <v>2371</v>
      </c>
      <c r="G2158" s="4" t="s">
        <v>2386</v>
      </c>
      <c r="H2158" s="4" t="s">
        <v>15</v>
      </c>
      <c r="I2158" s="4" t="s">
        <v>303</v>
      </c>
      <c r="J2158" s="4" t="s">
        <v>2396</v>
      </c>
      <c r="K2158" s="4" t="s">
        <v>66</v>
      </c>
      <c r="L2158" s="4" t="s">
        <v>3743</v>
      </c>
      <c r="M2158" s="4" t="s">
        <v>3746</v>
      </c>
      <c r="N2158" s="4" t="s">
        <v>3747</v>
      </c>
      <c r="O2158" s="17">
        <f>INDEX('список ID из СУЭ с должностями'!$A:$F,MATCH(E2158,'список ID из СУЭ с должностями'!$B:$B,0),5)</f>
        <v>0</v>
      </c>
    </row>
    <row r="2159" spans="1:15" ht="135">
      <c r="A2159" s="3" t="s">
        <v>10</v>
      </c>
      <c r="B2159" s="3" t="s">
        <v>11</v>
      </c>
      <c r="C2159" s="4">
        <v>2026</v>
      </c>
      <c r="D2159" s="5" t="s">
        <v>12</v>
      </c>
      <c r="E2159" s="4">
        <v>297</v>
      </c>
      <c r="F2159" s="4" t="s">
        <v>2371</v>
      </c>
      <c r="G2159" s="4" t="s">
        <v>2386</v>
      </c>
      <c r="H2159" s="4" t="s">
        <v>41</v>
      </c>
      <c r="I2159" s="4" t="s">
        <v>2397</v>
      </c>
      <c r="J2159" s="4" t="s">
        <v>2398</v>
      </c>
      <c r="K2159" s="4" t="s">
        <v>30</v>
      </c>
      <c r="L2159" s="4" t="s">
        <v>3743</v>
      </c>
      <c r="M2159" s="4" t="s">
        <v>3746</v>
      </c>
      <c r="N2159" s="4" t="s">
        <v>3747</v>
      </c>
      <c r="O2159" s="17">
        <f>INDEX('список ID из СУЭ с должностями'!$A:$F,MATCH(E2159,'список ID из СУЭ с должностями'!$B:$B,0),5)</f>
        <v>0</v>
      </c>
    </row>
    <row r="2160" spans="1:15" ht="409.5">
      <c r="A2160" s="3" t="s">
        <v>10</v>
      </c>
      <c r="B2160" s="3" t="s">
        <v>11</v>
      </c>
      <c r="C2160" s="4">
        <v>2026</v>
      </c>
      <c r="D2160" s="5" t="s">
        <v>12</v>
      </c>
      <c r="E2160" s="4">
        <v>298</v>
      </c>
      <c r="F2160" s="4" t="s">
        <v>2371</v>
      </c>
      <c r="G2160" s="4" t="s">
        <v>2356</v>
      </c>
      <c r="H2160" s="4" t="s">
        <v>21</v>
      </c>
      <c r="I2160" s="4" t="s">
        <v>2357</v>
      </c>
      <c r="J2160" s="4" t="s">
        <v>2372</v>
      </c>
      <c r="K2160" s="4" t="s">
        <v>25</v>
      </c>
      <c r="L2160" s="4" t="s">
        <v>3743</v>
      </c>
      <c r="M2160" s="4" t="s">
        <v>3746</v>
      </c>
      <c r="N2160" s="4" t="s">
        <v>3747</v>
      </c>
      <c r="O2160" s="17">
        <f>INDEX('список ID из СУЭ с должностями'!$A:$F,MATCH(E2160,'список ID из СУЭ с должностями'!$B:$B,0),5)</f>
        <v>0</v>
      </c>
    </row>
    <row r="2161" spans="1:15" ht="135">
      <c r="A2161" s="3" t="s">
        <v>10</v>
      </c>
      <c r="B2161" s="3" t="s">
        <v>11</v>
      </c>
      <c r="C2161" s="4">
        <v>2026</v>
      </c>
      <c r="D2161" s="5" t="s">
        <v>12</v>
      </c>
      <c r="E2161" s="4">
        <v>298</v>
      </c>
      <c r="F2161" s="4" t="s">
        <v>2371</v>
      </c>
      <c r="G2161" s="4" t="s">
        <v>2356</v>
      </c>
      <c r="H2161" s="4" t="s">
        <v>15</v>
      </c>
      <c r="I2161" s="4" t="s">
        <v>806</v>
      </c>
      <c r="J2161" s="4" t="s">
        <v>2393</v>
      </c>
      <c r="K2161" s="4" t="s">
        <v>38</v>
      </c>
      <c r="L2161" s="4" t="s">
        <v>3743</v>
      </c>
      <c r="M2161" s="4" t="s">
        <v>3746</v>
      </c>
      <c r="N2161" s="4" t="s">
        <v>3747</v>
      </c>
      <c r="O2161" s="17">
        <f>INDEX('список ID из СУЭ с должностями'!$A:$F,MATCH(E2161,'список ID из СУЭ с должностями'!$B:$B,0),5)</f>
        <v>0</v>
      </c>
    </row>
    <row r="2162" spans="1:15" ht="195">
      <c r="A2162" s="3" t="s">
        <v>10</v>
      </c>
      <c r="B2162" s="3" t="s">
        <v>11</v>
      </c>
      <c r="C2162" s="4">
        <v>2026</v>
      </c>
      <c r="D2162" s="5" t="s">
        <v>12</v>
      </c>
      <c r="E2162" s="4">
        <v>298</v>
      </c>
      <c r="F2162" s="4" t="s">
        <v>2371</v>
      </c>
      <c r="G2162" s="4" t="s">
        <v>2356</v>
      </c>
      <c r="H2162" s="4" t="s">
        <v>15</v>
      </c>
      <c r="I2162" s="4" t="s">
        <v>147</v>
      </c>
      <c r="J2162" s="4" t="s">
        <v>2374</v>
      </c>
      <c r="K2162" s="4" t="s">
        <v>35</v>
      </c>
      <c r="L2162" s="4" t="s">
        <v>3743</v>
      </c>
      <c r="M2162" s="4" t="s">
        <v>3746</v>
      </c>
      <c r="N2162" s="4" t="s">
        <v>3747</v>
      </c>
      <c r="O2162" s="17">
        <f>INDEX('список ID из СУЭ с должностями'!$A:$F,MATCH(E2162,'список ID из СУЭ с должностями'!$B:$B,0),5)</f>
        <v>0</v>
      </c>
    </row>
    <row r="2163" spans="1:15" ht="390">
      <c r="A2163" s="3" t="s">
        <v>10</v>
      </c>
      <c r="B2163" s="3" t="s">
        <v>11</v>
      </c>
      <c r="C2163" s="4">
        <v>2026</v>
      </c>
      <c r="D2163" s="5" t="s">
        <v>12</v>
      </c>
      <c r="E2163" s="4">
        <v>298</v>
      </c>
      <c r="F2163" s="4" t="s">
        <v>2371</v>
      </c>
      <c r="G2163" s="4" t="s">
        <v>2356</v>
      </c>
      <c r="H2163" s="4" t="s">
        <v>15</v>
      </c>
      <c r="I2163" s="4" t="s">
        <v>303</v>
      </c>
      <c r="J2163" s="4" t="s">
        <v>2399</v>
      </c>
      <c r="K2163" s="4" t="s">
        <v>66</v>
      </c>
      <c r="L2163" s="4" t="s">
        <v>3743</v>
      </c>
      <c r="M2163" s="4" t="s">
        <v>3746</v>
      </c>
      <c r="N2163" s="4" t="s">
        <v>3747</v>
      </c>
      <c r="O2163" s="17">
        <f>INDEX('список ID из СУЭ с должностями'!$A:$F,MATCH(E2163,'список ID из СУЭ с должностями'!$B:$B,0),5)</f>
        <v>0</v>
      </c>
    </row>
    <row r="2164" spans="1:15" ht="375">
      <c r="A2164" s="3" t="s">
        <v>10</v>
      </c>
      <c r="B2164" s="3" t="s">
        <v>11</v>
      </c>
      <c r="C2164" s="4">
        <v>2026</v>
      </c>
      <c r="D2164" s="5" t="s">
        <v>12</v>
      </c>
      <c r="E2164" s="4">
        <v>298</v>
      </c>
      <c r="F2164" s="4" t="s">
        <v>2371</v>
      </c>
      <c r="G2164" s="4" t="s">
        <v>2356</v>
      </c>
      <c r="H2164" s="4" t="s">
        <v>15</v>
      </c>
      <c r="I2164" s="4" t="s">
        <v>149</v>
      </c>
      <c r="J2164" s="4" t="s">
        <v>2400</v>
      </c>
      <c r="K2164" s="4" t="s">
        <v>30</v>
      </c>
      <c r="L2164" s="4" t="s">
        <v>3743</v>
      </c>
      <c r="M2164" s="4" t="s">
        <v>3746</v>
      </c>
      <c r="N2164" s="4" t="s">
        <v>3747</v>
      </c>
      <c r="O2164" s="17">
        <f>INDEX('список ID из СУЭ с должностями'!$A:$F,MATCH(E2164,'список ID из СУЭ с должностями'!$B:$B,0),5)</f>
        <v>0</v>
      </c>
    </row>
    <row r="2165" spans="1:15" ht="409.5">
      <c r="A2165" s="3" t="s">
        <v>10</v>
      </c>
      <c r="B2165" s="3" t="s">
        <v>11</v>
      </c>
      <c r="C2165" s="4">
        <v>2026</v>
      </c>
      <c r="D2165" s="5" t="s">
        <v>12</v>
      </c>
      <c r="E2165" s="4">
        <v>299</v>
      </c>
      <c r="F2165" s="4" t="s">
        <v>146</v>
      </c>
      <c r="G2165" s="4" t="s">
        <v>143</v>
      </c>
      <c r="H2165" s="4" t="s">
        <v>15</v>
      </c>
      <c r="I2165" s="4" t="s">
        <v>2401</v>
      </c>
      <c r="J2165" s="4" t="s">
        <v>2402</v>
      </c>
      <c r="K2165" s="4" t="s">
        <v>38</v>
      </c>
      <c r="L2165" s="4" t="s">
        <v>3743</v>
      </c>
      <c r="M2165" s="4" t="s">
        <v>3746</v>
      </c>
      <c r="N2165" s="4" t="s">
        <v>3747</v>
      </c>
      <c r="O2165" s="17">
        <f>INDEX('список ID из СУЭ с должностями'!$A:$F,MATCH(E2165,'список ID из СУЭ с должностями'!$B:$B,0),5)</f>
        <v>0</v>
      </c>
    </row>
    <row r="2166" spans="1:15" ht="105">
      <c r="A2166" s="3" t="s">
        <v>10</v>
      </c>
      <c r="B2166" s="3" t="s">
        <v>11</v>
      </c>
      <c r="C2166" s="4">
        <v>2026</v>
      </c>
      <c r="D2166" s="5" t="s">
        <v>12</v>
      </c>
      <c r="E2166" s="4">
        <v>299</v>
      </c>
      <c r="F2166" s="4" t="s">
        <v>146</v>
      </c>
      <c r="G2166" s="4" t="s">
        <v>143</v>
      </c>
      <c r="H2166" s="4" t="s">
        <v>15</v>
      </c>
      <c r="I2166" s="4" t="s">
        <v>2403</v>
      </c>
      <c r="J2166" s="4" t="s">
        <v>2404</v>
      </c>
      <c r="K2166" s="4" t="s">
        <v>52</v>
      </c>
      <c r="L2166" s="4" t="s">
        <v>3743</v>
      </c>
      <c r="M2166" s="4" t="s">
        <v>3746</v>
      </c>
      <c r="N2166" s="4" t="s">
        <v>3747</v>
      </c>
      <c r="O2166" s="17">
        <f>INDEX('список ID из СУЭ с должностями'!$A:$F,MATCH(E2166,'список ID из СУЭ с должностями'!$B:$B,0),5)</f>
        <v>0</v>
      </c>
    </row>
    <row r="2167" spans="1:15" ht="105">
      <c r="A2167" s="3" t="s">
        <v>10</v>
      </c>
      <c r="B2167" s="3" t="s">
        <v>11</v>
      </c>
      <c r="C2167" s="4">
        <v>2026</v>
      </c>
      <c r="D2167" s="5" t="s">
        <v>12</v>
      </c>
      <c r="E2167" s="4">
        <v>299</v>
      </c>
      <c r="F2167" s="4" t="s">
        <v>146</v>
      </c>
      <c r="G2167" s="4" t="s">
        <v>143</v>
      </c>
      <c r="H2167" s="4" t="s">
        <v>15</v>
      </c>
      <c r="I2167" s="4" t="s">
        <v>2342</v>
      </c>
      <c r="J2167" s="4" t="s">
        <v>1010</v>
      </c>
      <c r="K2167" s="4" t="s">
        <v>66</v>
      </c>
      <c r="L2167" s="4" t="s">
        <v>3742</v>
      </c>
      <c r="M2167" s="4" t="s">
        <v>3746</v>
      </c>
      <c r="N2167" s="4" t="s">
        <v>3747</v>
      </c>
      <c r="O2167" s="17">
        <f>INDEX('список ID из СУЭ с должностями'!$A:$F,MATCH(E2167,'список ID из СУЭ с должностями'!$B:$B,0),5)</f>
        <v>0</v>
      </c>
    </row>
    <row r="2168" spans="1:15" ht="180">
      <c r="A2168" s="3" t="s">
        <v>10</v>
      </c>
      <c r="B2168" s="3" t="s">
        <v>11</v>
      </c>
      <c r="C2168" s="4">
        <v>2026</v>
      </c>
      <c r="D2168" s="5" t="s">
        <v>12</v>
      </c>
      <c r="E2168" s="4">
        <v>299</v>
      </c>
      <c r="F2168" s="4" t="s">
        <v>146</v>
      </c>
      <c r="G2168" s="4" t="s">
        <v>143</v>
      </c>
      <c r="H2168" s="4" t="s">
        <v>15</v>
      </c>
      <c r="I2168" s="4" t="s">
        <v>1002</v>
      </c>
      <c r="J2168" s="4" t="s">
        <v>2405</v>
      </c>
      <c r="K2168" s="4" t="s">
        <v>38</v>
      </c>
      <c r="L2168" s="4" t="s">
        <v>3743</v>
      </c>
      <c r="M2168" s="4" t="s">
        <v>3746</v>
      </c>
      <c r="N2168" s="4" t="s">
        <v>3747</v>
      </c>
      <c r="O2168" s="17">
        <f>INDEX('список ID из СУЭ с должностями'!$A:$F,MATCH(E2168,'список ID из СУЭ с должностями'!$B:$B,0),5)</f>
        <v>0</v>
      </c>
    </row>
    <row r="2169" spans="1:15" ht="210">
      <c r="A2169" s="3" t="s">
        <v>10</v>
      </c>
      <c r="B2169" s="3" t="s">
        <v>11</v>
      </c>
      <c r="C2169" s="4">
        <v>2026</v>
      </c>
      <c r="D2169" s="5" t="s">
        <v>12</v>
      </c>
      <c r="E2169" s="4">
        <v>299</v>
      </c>
      <c r="F2169" s="4" t="s">
        <v>146</v>
      </c>
      <c r="G2169" s="4" t="s">
        <v>143</v>
      </c>
      <c r="H2169" s="4" t="s">
        <v>15</v>
      </c>
      <c r="I2169" s="4" t="s">
        <v>147</v>
      </c>
      <c r="J2169" s="4" t="s">
        <v>2406</v>
      </c>
      <c r="K2169" s="4" t="s">
        <v>35</v>
      </c>
      <c r="L2169" s="4" t="s">
        <v>3743</v>
      </c>
      <c r="M2169" s="4" t="s">
        <v>3746</v>
      </c>
      <c r="N2169" s="4" t="s">
        <v>3747</v>
      </c>
      <c r="O2169" s="17">
        <f>INDEX('список ID из СУЭ с должностями'!$A:$F,MATCH(E2169,'список ID из СУЭ с должностями'!$B:$B,0),5)</f>
        <v>0</v>
      </c>
    </row>
    <row r="2170" spans="1:15" ht="409.5">
      <c r="A2170" s="3" t="s">
        <v>10</v>
      </c>
      <c r="B2170" s="3" t="s">
        <v>11</v>
      </c>
      <c r="C2170" s="4">
        <v>2026</v>
      </c>
      <c r="D2170" s="5" t="s">
        <v>12</v>
      </c>
      <c r="E2170" s="4">
        <v>299</v>
      </c>
      <c r="F2170" s="4" t="s">
        <v>146</v>
      </c>
      <c r="G2170" s="4" t="s">
        <v>143</v>
      </c>
      <c r="H2170" s="4" t="s">
        <v>15</v>
      </c>
      <c r="I2170" s="4" t="s">
        <v>2407</v>
      </c>
      <c r="J2170" s="4" t="s">
        <v>2408</v>
      </c>
      <c r="K2170" s="4" t="s">
        <v>25</v>
      </c>
      <c r="L2170" s="4" t="s">
        <v>3743</v>
      </c>
      <c r="M2170" s="4" t="s">
        <v>3746</v>
      </c>
      <c r="N2170" s="4" t="s">
        <v>3747</v>
      </c>
      <c r="O2170" s="17">
        <f>INDEX('список ID из СУЭ с должностями'!$A:$F,MATCH(E2170,'список ID из СУЭ с должностями'!$B:$B,0),5)</f>
        <v>0</v>
      </c>
    </row>
    <row r="2171" spans="1:15" ht="330">
      <c r="A2171" s="3" t="s">
        <v>10</v>
      </c>
      <c r="B2171" s="3" t="s">
        <v>11</v>
      </c>
      <c r="C2171" s="4">
        <v>2026</v>
      </c>
      <c r="D2171" s="5" t="s">
        <v>12</v>
      </c>
      <c r="E2171" s="4">
        <v>299</v>
      </c>
      <c r="F2171" s="4" t="s">
        <v>146</v>
      </c>
      <c r="G2171" s="4" t="s">
        <v>143</v>
      </c>
      <c r="H2171" s="4" t="s">
        <v>15</v>
      </c>
      <c r="I2171" s="4" t="s">
        <v>149</v>
      </c>
      <c r="J2171" s="4" t="s">
        <v>2409</v>
      </c>
      <c r="K2171" s="4" t="s">
        <v>30</v>
      </c>
      <c r="L2171" s="4" t="s">
        <v>3743</v>
      </c>
      <c r="M2171" s="4" t="s">
        <v>3746</v>
      </c>
      <c r="N2171" s="4" t="s">
        <v>3747</v>
      </c>
      <c r="O2171" s="17">
        <f>INDEX('список ID из СУЭ с должностями'!$A:$F,MATCH(E2171,'список ID из СУЭ с должностями'!$B:$B,0),5)</f>
        <v>0</v>
      </c>
    </row>
    <row r="2172" spans="1:15" ht="135">
      <c r="A2172" s="3" t="s">
        <v>10</v>
      </c>
      <c r="B2172" s="3" t="s">
        <v>11</v>
      </c>
      <c r="C2172" s="4">
        <v>2026</v>
      </c>
      <c r="D2172" s="5" t="s">
        <v>12</v>
      </c>
      <c r="E2172" s="4">
        <v>300</v>
      </c>
      <c r="F2172" s="4" t="s">
        <v>2355</v>
      </c>
      <c r="G2172" s="4" t="s">
        <v>2386</v>
      </c>
      <c r="H2172" s="4" t="s">
        <v>15</v>
      </c>
      <c r="I2172" s="4" t="s">
        <v>437</v>
      </c>
      <c r="J2172" s="4" t="s">
        <v>930</v>
      </c>
      <c r="K2172" s="4" t="s">
        <v>25</v>
      </c>
      <c r="L2172" s="4" t="s">
        <v>3743</v>
      </c>
      <c r="M2172" s="4" t="s">
        <v>3746</v>
      </c>
      <c r="N2172" s="4" t="s">
        <v>3747</v>
      </c>
      <c r="O2172" s="17">
        <f>INDEX('список ID из СУЭ с должностями'!$A:$F,MATCH(E2172,'список ID из СУЭ с должностями'!$B:$B,0),5)</f>
        <v>0</v>
      </c>
    </row>
    <row r="2173" spans="1:15" ht="409.5">
      <c r="A2173" s="3" t="s">
        <v>10</v>
      </c>
      <c r="B2173" s="3" t="s">
        <v>11</v>
      </c>
      <c r="C2173" s="4">
        <v>2026</v>
      </c>
      <c r="D2173" s="5" t="s">
        <v>12</v>
      </c>
      <c r="E2173" s="4">
        <v>300</v>
      </c>
      <c r="F2173" s="4" t="s">
        <v>2355</v>
      </c>
      <c r="G2173" s="4" t="s">
        <v>2386</v>
      </c>
      <c r="H2173" s="4" t="s">
        <v>21</v>
      </c>
      <c r="I2173" s="4" t="s">
        <v>2357</v>
      </c>
      <c r="J2173" s="4" t="s">
        <v>2369</v>
      </c>
      <c r="K2173" s="4" t="s">
        <v>25</v>
      </c>
      <c r="L2173" s="4" t="s">
        <v>3743</v>
      </c>
      <c r="M2173" s="4" t="s">
        <v>3746</v>
      </c>
      <c r="N2173" s="4" t="s">
        <v>3747</v>
      </c>
      <c r="O2173" s="17">
        <f>INDEX('список ID из СУЭ с должностями'!$A:$F,MATCH(E2173,'список ID из СУЭ с должностями'!$B:$B,0),5)</f>
        <v>0</v>
      </c>
    </row>
    <row r="2174" spans="1:15" ht="135">
      <c r="A2174" s="3" t="s">
        <v>10</v>
      </c>
      <c r="B2174" s="3" t="s">
        <v>11</v>
      </c>
      <c r="C2174" s="4">
        <v>2026</v>
      </c>
      <c r="D2174" s="5" t="s">
        <v>12</v>
      </c>
      <c r="E2174" s="4">
        <v>300</v>
      </c>
      <c r="F2174" s="4" t="s">
        <v>2355</v>
      </c>
      <c r="G2174" s="4" t="s">
        <v>2386</v>
      </c>
      <c r="H2174" s="4" t="s">
        <v>15</v>
      </c>
      <c r="I2174" s="4" t="s">
        <v>806</v>
      </c>
      <c r="J2174" s="4" t="s">
        <v>2362</v>
      </c>
      <c r="K2174" s="4" t="s">
        <v>38</v>
      </c>
      <c r="L2174" s="4" t="s">
        <v>3743</v>
      </c>
      <c r="M2174" s="4" t="s">
        <v>3746</v>
      </c>
      <c r="N2174" s="4" t="s">
        <v>3747</v>
      </c>
      <c r="O2174" s="17">
        <f>INDEX('список ID из СУЭ с должностями'!$A:$F,MATCH(E2174,'список ID из СУЭ с должностями'!$B:$B,0),5)</f>
        <v>0</v>
      </c>
    </row>
    <row r="2175" spans="1:15" ht="225">
      <c r="A2175" s="3" t="s">
        <v>10</v>
      </c>
      <c r="B2175" s="3" t="s">
        <v>11</v>
      </c>
      <c r="C2175" s="4">
        <v>2026</v>
      </c>
      <c r="D2175" s="5" t="s">
        <v>12</v>
      </c>
      <c r="E2175" s="4">
        <v>300</v>
      </c>
      <c r="F2175" s="4" t="s">
        <v>2355</v>
      </c>
      <c r="G2175" s="4" t="s">
        <v>2386</v>
      </c>
      <c r="H2175" s="4" t="s">
        <v>15</v>
      </c>
      <c r="I2175" s="4" t="s">
        <v>147</v>
      </c>
      <c r="J2175" s="4" t="s">
        <v>2367</v>
      </c>
      <c r="K2175" s="4" t="s">
        <v>35</v>
      </c>
      <c r="L2175" s="4" t="s">
        <v>3743</v>
      </c>
      <c r="M2175" s="4" t="s">
        <v>3746</v>
      </c>
      <c r="N2175" s="4" t="s">
        <v>3747</v>
      </c>
      <c r="O2175" s="17">
        <f>INDEX('список ID из СУЭ с должностями'!$A:$F,MATCH(E2175,'список ID из СУЭ с должностями'!$B:$B,0),5)</f>
        <v>0</v>
      </c>
    </row>
    <row r="2176" spans="1:15" ht="409.5">
      <c r="A2176" s="3" t="s">
        <v>10</v>
      </c>
      <c r="B2176" s="3" t="s">
        <v>11</v>
      </c>
      <c r="C2176" s="4">
        <v>2026</v>
      </c>
      <c r="D2176" s="5" t="s">
        <v>12</v>
      </c>
      <c r="E2176" s="4">
        <v>300</v>
      </c>
      <c r="F2176" s="4" t="s">
        <v>2355</v>
      </c>
      <c r="G2176" s="4" t="s">
        <v>2386</v>
      </c>
      <c r="H2176" s="4" t="s">
        <v>15</v>
      </c>
      <c r="I2176" s="4" t="s">
        <v>303</v>
      </c>
      <c r="J2176" s="4" t="s">
        <v>2410</v>
      </c>
      <c r="K2176" s="4" t="s">
        <v>66</v>
      </c>
      <c r="L2176" s="4" t="s">
        <v>3743</v>
      </c>
      <c r="M2176" s="4" t="s">
        <v>3746</v>
      </c>
      <c r="N2176" s="4" t="s">
        <v>3747</v>
      </c>
      <c r="O2176" s="17">
        <f>INDEX('список ID из СУЭ с должностями'!$A:$F,MATCH(E2176,'список ID из СУЭ с должностями'!$B:$B,0),5)</f>
        <v>0</v>
      </c>
    </row>
    <row r="2177" spans="1:15" ht="255">
      <c r="A2177" s="3" t="s">
        <v>10</v>
      </c>
      <c r="B2177" s="3" t="s">
        <v>11</v>
      </c>
      <c r="C2177" s="4">
        <v>2026</v>
      </c>
      <c r="D2177" s="5" t="s">
        <v>12</v>
      </c>
      <c r="E2177" s="4">
        <v>300</v>
      </c>
      <c r="F2177" s="4" t="s">
        <v>2355</v>
      </c>
      <c r="G2177" s="4" t="s">
        <v>2386</v>
      </c>
      <c r="H2177" s="4" t="s">
        <v>15</v>
      </c>
      <c r="I2177" s="4" t="s">
        <v>149</v>
      </c>
      <c r="J2177" s="4" t="s">
        <v>2364</v>
      </c>
      <c r="K2177" s="4" t="s">
        <v>30</v>
      </c>
      <c r="L2177" s="4" t="s">
        <v>3743</v>
      </c>
      <c r="M2177" s="4" t="s">
        <v>3746</v>
      </c>
      <c r="N2177" s="4" t="s">
        <v>3747</v>
      </c>
      <c r="O2177" s="17">
        <f>INDEX('список ID из СУЭ с должностями'!$A:$F,MATCH(E2177,'список ID из СУЭ с должностями'!$B:$B,0),5)</f>
        <v>0</v>
      </c>
    </row>
    <row r="2178" spans="1:15" ht="180">
      <c r="A2178" s="3" t="s">
        <v>10</v>
      </c>
      <c r="B2178" s="3" t="s">
        <v>11</v>
      </c>
      <c r="C2178" s="4">
        <v>2026</v>
      </c>
      <c r="D2178" s="5" t="s">
        <v>12</v>
      </c>
      <c r="E2178" s="4">
        <v>300</v>
      </c>
      <c r="F2178" s="4" t="s">
        <v>2355</v>
      </c>
      <c r="G2178" s="4" t="s">
        <v>2386</v>
      </c>
      <c r="H2178" s="4" t="s">
        <v>15</v>
      </c>
      <c r="I2178" s="4" t="s">
        <v>2365</v>
      </c>
      <c r="J2178" s="4" t="s">
        <v>2366</v>
      </c>
      <c r="K2178" s="4" t="s">
        <v>35</v>
      </c>
      <c r="L2178" s="4" t="s">
        <v>3743</v>
      </c>
      <c r="M2178" s="4" t="s">
        <v>3746</v>
      </c>
      <c r="N2178" s="4" t="s">
        <v>3747</v>
      </c>
      <c r="O2178" s="17">
        <f>INDEX('список ID из СУЭ с должностями'!$A:$F,MATCH(E2178,'список ID из СУЭ с должностями'!$B:$B,0),5)</f>
        <v>0</v>
      </c>
    </row>
    <row r="2179" spans="1:15" ht="120">
      <c r="A2179" s="3" t="s">
        <v>10</v>
      </c>
      <c r="B2179" s="3" t="s">
        <v>11</v>
      </c>
      <c r="C2179" s="4">
        <v>2026</v>
      </c>
      <c r="D2179" s="5" t="s">
        <v>12</v>
      </c>
      <c r="E2179" s="4">
        <v>301</v>
      </c>
      <c r="F2179" s="4" t="s">
        <v>577</v>
      </c>
      <c r="G2179" s="4" t="s">
        <v>2335</v>
      </c>
      <c r="H2179" s="4" t="s">
        <v>15</v>
      </c>
      <c r="I2179" s="4" t="s">
        <v>147</v>
      </c>
      <c r="J2179" s="4" t="s">
        <v>1997</v>
      </c>
      <c r="K2179" s="4" t="s">
        <v>35</v>
      </c>
      <c r="L2179" s="4" t="s">
        <v>3743</v>
      </c>
      <c r="M2179" s="4" t="s">
        <v>3746</v>
      </c>
      <c r="N2179" s="4" t="s">
        <v>3747</v>
      </c>
      <c r="O2179" s="17">
        <f>INDEX('список ID из СУЭ с должностями'!$A:$F,MATCH(E2179,'список ID из СУЭ с должностями'!$B:$B,0),5)</f>
        <v>0</v>
      </c>
    </row>
    <row r="2180" spans="1:15" ht="105">
      <c r="A2180" s="3" t="s">
        <v>10</v>
      </c>
      <c r="B2180" s="3" t="s">
        <v>11</v>
      </c>
      <c r="C2180" s="4">
        <v>2026</v>
      </c>
      <c r="D2180" s="5" t="s">
        <v>12</v>
      </c>
      <c r="E2180" s="4">
        <v>301</v>
      </c>
      <c r="F2180" s="4" t="s">
        <v>577</v>
      </c>
      <c r="G2180" s="4" t="s">
        <v>2335</v>
      </c>
      <c r="H2180" s="4" t="s">
        <v>21</v>
      </c>
      <c r="I2180" s="4" t="s">
        <v>2411</v>
      </c>
      <c r="J2180" s="4" t="s">
        <v>2412</v>
      </c>
      <c r="K2180" s="4" t="s">
        <v>66</v>
      </c>
      <c r="L2180" s="4" t="s">
        <v>3743</v>
      </c>
      <c r="M2180" s="4" t="s">
        <v>3746</v>
      </c>
      <c r="N2180" s="4" t="s">
        <v>3747</v>
      </c>
      <c r="O2180" s="17">
        <f>INDEX('список ID из СУЭ с должностями'!$A:$F,MATCH(E2180,'список ID из СУЭ с должностями'!$B:$B,0),5)</f>
        <v>0</v>
      </c>
    </row>
    <row r="2181" spans="1:15" ht="90">
      <c r="A2181" s="3" t="s">
        <v>10</v>
      </c>
      <c r="B2181" s="3" t="s">
        <v>11</v>
      </c>
      <c r="C2181" s="4">
        <v>2026</v>
      </c>
      <c r="D2181" s="5" t="s">
        <v>12</v>
      </c>
      <c r="E2181" s="4">
        <v>301</v>
      </c>
      <c r="F2181" s="4" t="s">
        <v>577</v>
      </c>
      <c r="G2181" s="4" t="s">
        <v>2335</v>
      </c>
      <c r="H2181" s="4" t="s">
        <v>41</v>
      </c>
      <c r="I2181" s="4" t="s">
        <v>2000</v>
      </c>
      <c r="J2181" s="4" t="s">
        <v>2001</v>
      </c>
      <c r="K2181" s="4" t="s">
        <v>66</v>
      </c>
      <c r="L2181" s="4" t="s">
        <v>3743</v>
      </c>
      <c r="M2181" s="4" t="s">
        <v>3746</v>
      </c>
      <c r="N2181" s="4" t="s">
        <v>3747</v>
      </c>
      <c r="O2181" s="17">
        <f>INDEX('список ID из СУЭ с должностями'!$A:$F,MATCH(E2181,'список ID из СУЭ с должностями'!$B:$B,0),5)</f>
        <v>0</v>
      </c>
    </row>
    <row r="2182" spans="1:15" ht="409.5">
      <c r="A2182" s="3" t="s">
        <v>10</v>
      </c>
      <c r="B2182" s="3" t="s">
        <v>11</v>
      </c>
      <c r="C2182" s="4">
        <v>2026</v>
      </c>
      <c r="D2182" s="5" t="s">
        <v>12</v>
      </c>
      <c r="E2182" s="4">
        <v>301</v>
      </c>
      <c r="F2182" s="4" t="s">
        <v>577</v>
      </c>
      <c r="G2182" s="4" t="s">
        <v>2335</v>
      </c>
      <c r="H2182" s="4" t="s">
        <v>15</v>
      </c>
      <c r="I2182" s="4" t="s">
        <v>2413</v>
      </c>
      <c r="J2182" s="4" t="s">
        <v>2414</v>
      </c>
      <c r="K2182" s="4" t="s">
        <v>66</v>
      </c>
      <c r="L2182" s="4" t="s">
        <v>3743</v>
      </c>
      <c r="M2182" s="4" t="s">
        <v>3746</v>
      </c>
      <c r="N2182" s="4" t="s">
        <v>3747</v>
      </c>
      <c r="O2182" s="17">
        <f>INDEX('список ID из СУЭ с должностями'!$A:$F,MATCH(E2182,'список ID из СУЭ с должностями'!$B:$B,0),5)</f>
        <v>0</v>
      </c>
    </row>
    <row r="2183" spans="1:15" ht="90">
      <c r="A2183" s="3" t="s">
        <v>10</v>
      </c>
      <c r="B2183" s="3" t="s">
        <v>11</v>
      </c>
      <c r="C2183" s="4">
        <v>2026</v>
      </c>
      <c r="D2183" s="5" t="s">
        <v>12</v>
      </c>
      <c r="E2183" s="4">
        <v>301</v>
      </c>
      <c r="F2183" s="4" t="s">
        <v>577</v>
      </c>
      <c r="G2183" s="4" t="s">
        <v>2335</v>
      </c>
      <c r="H2183" s="4" t="s">
        <v>15</v>
      </c>
      <c r="I2183" s="4" t="s">
        <v>2415</v>
      </c>
      <c r="J2183" s="4" t="s">
        <v>2416</v>
      </c>
      <c r="K2183" s="4" t="s">
        <v>35</v>
      </c>
      <c r="L2183" s="4" t="s">
        <v>3742</v>
      </c>
      <c r="M2183" s="4" t="s">
        <v>3746</v>
      </c>
      <c r="N2183" s="4" t="s">
        <v>3747</v>
      </c>
      <c r="O2183" s="17">
        <f>INDEX('список ID из СУЭ с должностями'!$A:$F,MATCH(E2183,'список ID из СУЭ с должностями'!$B:$B,0),5)</f>
        <v>0</v>
      </c>
    </row>
    <row r="2184" spans="1:15" ht="90">
      <c r="A2184" s="3" t="s">
        <v>10</v>
      </c>
      <c r="B2184" s="3" t="s">
        <v>11</v>
      </c>
      <c r="C2184" s="4">
        <v>2026</v>
      </c>
      <c r="D2184" s="5" t="s">
        <v>12</v>
      </c>
      <c r="E2184" s="4">
        <v>301</v>
      </c>
      <c r="F2184" s="4" t="s">
        <v>577</v>
      </c>
      <c r="G2184" s="4" t="s">
        <v>2335</v>
      </c>
      <c r="H2184" s="4" t="s">
        <v>15</v>
      </c>
      <c r="I2184" s="4" t="s">
        <v>2417</v>
      </c>
      <c r="J2184" s="4" t="s">
        <v>2418</v>
      </c>
      <c r="K2184" s="4" t="s">
        <v>66</v>
      </c>
      <c r="L2184" s="4" t="s">
        <v>3743</v>
      </c>
      <c r="M2184" s="4" t="s">
        <v>3746</v>
      </c>
      <c r="N2184" s="4" t="s">
        <v>3747</v>
      </c>
      <c r="O2184" s="17">
        <f>INDEX('список ID из СУЭ с должностями'!$A:$F,MATCH(E2184,'список ID из СУЭ с должностями'!$B:$B,0),5)</f>
        <v>0</v>
      </c>
    </row>
    <row r="2185" spans="1:15" ht="45">
      <c r="A2185" s="3" t="s">
        <v>10</v>
      </c>
      <c r="B2185" s="3" t="s">
        <v>11</v>
      </c>
      <c r="C2185" s="4">
        <v>2026</v>
      </c>
      <c r="D2185" s="5" t="s">
        <v>12</v>
      </c>
      <c r="E2185" s="4">
        <v>302</v>
      </c>
      <c r="F2185" s="4" t="s">
        <v>193</v>
      </c>
      <c r="G2185" s="4" t="s">
        <v>2176</v>
      </c>
      <c r="H2185" s="4" t="s">
        <v>15</v>
      </c>
      <c r="I2185" s="4" t="s">
        <v>48</v>
      </c>
      <c r="J2185" s="4" t="s">
        <v>187</v>
      </c>
      <c r="K2185" s="4" t="s">
        <v>35</v>
      </c>
      <c r="L2185" s="4" t="s">
        <v>3743</v>
      </c>
      <c r="M2185" s="4" t="s">
        <v>3746</v>
      </c>
      <c r="N2185" s="4" t="s">
        <v>3747</v>
      </c>
      <c r="O2185" s="17" t="str">
        <f>INDEX('список ID из СУЭ с должностями'!$A:$F,MATCH(E2185,'список ID из СУЭ с должностями'!$B:$B,0),5)</f>
        <v>Инж смены</v>
      </c>
    </row>
    <row r="2186" spans="1:15" ht="45">
      <c r="A2186" s="3" t="s">
        <v>10</v>
      </c>
      <c r="B2186" s="3" t="s">
        <v>11</v>
      </c>
      <c r="C2186" s="4">
        <v>2026</v>
      </c>
      <c r="D2186" s="5" t="s">
        <v>12</v>
      </c>
      <c r="E2186" s="4">
        <v>302</v>
      </c>
      <c r="F2186" s="4" t="s">
        <v>193</v>
      </c>
      <c r="G2186" s="4" t="s">
        <v>2176</v>
      </c>
      <c r="H2186" s="4" t="s">
        <v>15</v>
      </c>
      <c r="I2186" s="4" t="s">
        <v>984</v>
      </c>
      <c r="J2186" s="4" t="s">
        <v>1401</v>
      </c>
      <c r="K2186" s="4" t="s">
        <v>66</v>
      </c>
      <c r="L2186" s="4" t="s">
        <v>3742</v>
      </c>
      <c r="M2186" s="4" t="s">
        <v>3746</v>
      </c>
      <c r="N2186" s="4" t="s">
        <v>3747</v>
      </c>
      <c r="O2186" s="17" t="str">
        <f>INDEX('список ID из СУЭ с должностями'!$A:$F,MATCH(E2186,'список ID из СУЭ с должностями'!$B:$B,0),5)</f>
        <v>Инж смены</v>
      </c>
    </row>
    <row r="2187" spans="1:15" ht="75">
      <c r="A2187" s="3" t="s">
        <v>10</v>
      </c>
      <c r="B2187" s="3" t="s">
        <v>11</v>
      </c>
      <c r="C2187" s="4">
        <v>2026</v>
      </c>
      <c r="D2187" s="5" t="s">
        <v>12</v>
      </c>
      <c r="E2187" s="4">
        <v>302</v>
      </c>
      <c r="F2187" s="4" t="s">
        <v>193</v>
      </c>
      <c r="G2187" s="4" t="s">
        <v>2176</v>
      </c>
      <c r="H2187" s="4" t="s">
        <v>15</v>
      </c>
      <c r="I2187" s="4" t="s">
        <v>817</v>
      </c>
      <c r="J2187" s="4" t="s">
        <v>132</v>
      </c>
      <c r="K2187" s="4" t="s">
        <v>20</v>
      </c>
      <c r="L2187" s="4" t="s">
        <v>3742</v>
      </c>
      <c r="M2187" s="4" t="s">
        <v>3746</v>
      </c>
      <c r="N2187" s="4" t="s">
        <v>3747</v>
      </c>
      <c r="O2187" s="17" t="str">
        <f>INDEX('список ID из СУЭ с должностями'!$A:$F,MATCH(E2187,'список ID из СУЭ с должностями'!$B:$B,0),5)</f>
        <v>Инж смены</v>
      </c>
    </row>
    <row r="2188" spans="1:15" ht="150">
      <c r="A2188" s="3" t="s">
        <v>10</v>
      </c>
      <c r="B2188" s="3" t="s">
        <v>11</v>
      </c>
      <c r="C2188" s="4">
        <v>2026</v>
      </c>
      <c r="D2188" s="5" t="s">
        <v>12</v>
      </c>
      <c r="E2188" s="4">
        <v>302</v>
      </c>
      <c r="F2188" s="4" t="s">
        <v>193</v>
      </c>
      <c r="G2188" s="4" t="s">
        <v>2176</v>
      </c>
      <c r="H2188" s="4" t="s">
        <v>15</v>
      </c>
      <c r="I2188" s="4" t="s">
        <v>46</v>
      </c>
      <c r="J2188" s="4" t="s">
        <v>2009</v>
      </c>
      <c r="K2188" s="4" t="s">
        <v>20</v>
      </c>
      <c r="L2188" s="4" t="s">
        <v>3743</v>
      </c>
      <c r="M2188" s="4" t="s">
        <v>3746</v>
      </c>
      <c r="N2188" s="4" t="s">
        <v>3747</v>
      </c>
      <c r="O2188" s="17" t="str">
        <f>INDEX('список ID из СУЭ с должностями'!$A:$F,MATCH(E2188,'список ID из СУЭ с должностями'!$B:$B,0),5)</f>
        <v>Инж смены</v>
      </c>
    </row>
    <row r="2189" spans="1:15" ht="105">
      <c r="A2189" s="3" t="s">
        <v>10</v>
      </c>
      <c r="B2189" s="3" t="s">
        <v>11</v>
      </c>
      <c r="C2189" s="4">
        <v>2026</v>
      </c>
      <c r="D2189" s="5" t="s">
        <v>12</v>
      </c>
      <c r="E2189" s="4">
        <v>303</v>
      </c>
      <c r="F2189" s="4" t="s">
        <v>1377</v>
      </c>
      <c r="G2189" s="4" t="s">
        <v>143</v>
      </c>
      <c r="H2189" s="4" t="s">
        <v>15</v>
      </c>
      <c r="I2189" s="4" t="s">
        <v>144</v>
      </c>
      <c r="J2189" s="4" t="s">
        <v>145</v>
      </c>
      <c r="K2189" s="4" t="s">
        <v>52</v>
      </c>
      <c r="L2189" s="4" t="s">
        <v>3743</v>
      </c>
      <c r="M2189" s="4" t="s">
        <v>3746</v>
      </c>
      <c r="N2189" s="4" t="s">
        <v>3747</v>
      </c>
      <c r="O2189" s="17">
        <f>INDEX('список ID из СУЭ с должностями'!$A:$F,MATCH(E2189,'список ID из СУЭ с должностями'!$B:$B,0),5)</f>
        <v>0</v>
      </c>
    </row>
    <row r="2190" spans="1:15" ht="105">
      <c r="A2190" s="3" t="s">
        <v>10</v>
      </c>
      <c r="B2190" s="3" t="s">
        <v>11</v>
      </c>
      <c r="C2190" s="4">
        <v>2026</v>
      </c>
      <c r="D2190" s="5" t="s">
        <v>12</v>
      </c>
      <c r="E2190" s="4">
        <v>303</v>
      </c>
      <c r="F2190" s="4" t="s">
        <v>1377</v>
      </c>
      <c r="G2190" s="4" t="s">
        <v>143</v>
      </c>
      <c r="H2190" s="4" t="s">
        <v>15</v>
      </c>
      <c r="I2190" s="4" t="s">
        <v>147</v>
      </c>
      <c r="J2190" s="4" t="s">
        <v>2419</v>
      </c>
      <c r="K2190" s="4" t="s">
        <v>35</v>
      </c>
      <c r="L2190" s="4" t="s">
        <v>3743</v>
      </c>
      <c r="M2190" s="4" t="s">
        <v>3746</v>
      </c>
      <c r="N2190" s="4" t="s">
        <v>3747</v>
      </c>
      <c r="O2190" s="17">
        <f>INDEX('список ID из СУЭ с должностями'!$A:$F,MATCH(E2190,'список ID из СУЭ с должностями'!$B:$B,0),5)</f>
        <v>0</v>
      </c>
    </row>
    <row r="2191" spans="1:15" ht="210">
      <c r="A2191" s="3" t="s">
        <v>10</v>
      </c>
      <c r="B2191" s="3" t="s">
        <v>11</v>
      </c>
      <c r="C2191" s="4">
        <v>2026</v>
      </c>
      <c r="D2191" s="5" t="s">
        <v>12</v>
      </c>
      <c r="E2191" s="4">
        <v>303</v>
      </c>
      <c r="F2191" s="4" t="s">
        <v>1377</v>
      </c>
      <c r="G2191" s="4" t="s">
        <v>143</v>
      </c>
      <c r="H2191" s="4" t="s">
        <v>15</v>
      </c>
      <c r="I2191" s="4" t="s">
        <v>149</v>
      </c>
      <c r="J2191" s="4" t="s">
        <v>2420</v>
      </c>
      <c r="K2191" s="4" t="s">
        <v>151</v>
      </c>
      <c r="L2191" s="4" t="s">
        <v>3743</v>
      </c>
      <c r="M2191" s="4" t="s">
        <v>3746</v>
      </c>
      <c r="N2191" s="4" t="s">
        <v>3747</v>
      </c>
      <c r="O2191" s="17">
        <f>INDEX('список ID из СУЭ с должностями'!$A:$F,MATCH(E2191,'список ID из СУЭ с должностями'!$B:$B,0),5)</f>
        <v>0</v>
      </c>
    </row>
    <row r="2192" spans="1:15" ht="150">
      <c r="A2192" s="3" t="s">
        <v>10</v>
      </c>
      <c r="B2192" s="3" t="s">
        <v>11</v>
      </c>
      <c r="C2192" s="4">
        <v>2026</v>
      </c>
      <c r="D2192" s="5" t="s">
        <v>12</v>
      </c>
      <c r="E2192" s="4">
        <v>304</v>
      </c>
      <c r="F2192" s="4" t="s">
        <v>2371</v>
      </c>
      <c r="G2192" s="4" t="s">
        <v>2368</v>
      </c>
      <c r="H2192" s="4" t="s">
        <v>15</v>
      </c>
      <c r="I2192" s="4" t="s">
        <v>806</v>
      </c>
      <c r="J2192" s="4" t="s">
        <v>2390</v>
      </c>
      <c r="K2192" s="4" t="s">
        <v>38</v>
      </c>
      <c r="L2192" s="4" t="s">
        <v>3743</v>
      </c>
      <c r="M2192" s="4" t="s">
        <v>3746</v>
      </c>
      <c r="N2192" s="4" t="s">
        <v>3747</v>
      </c>
      <c r="O2192" s="17">
        <f>INDEX('список ID из СУЭ с должностями'!$A:$F,MATCH(E2192,'список ID из СУЭ с должностями'!$B:$B,0),5)</f>
        <v>0</v>
      </c>
    </row>
    <row r="2193" spans="1:15" ht="195">
      <c r="A2193" s="3" t="s">
        <v>10</v>
      </c>
      <c r="B2193" s="3" t="s">
        <v>11</v>
      </c>
      <c r="C2193" s="4">
        <v>2026</v>
      </c>
      <c r="D2193" s="5" t="s">
        <v>12</v>
      </c>
      <c r="E2193" s="4">
        <v>304</v>
      </c>
      <c r="F2193" s="4" t="s">
        <v>2371</v>
      </c>
      <c r="G2193" s="4" t="s">
        <v>2368</v>
      </c>
      <c r="H2193" s="4" t="s">
        <v>15</v>
      </c>
      <c r="I2193" s="4" t="s">
        <v>147</v>
      </c>
      <c r="J2193" s="4" t="s">
        <v>2388</v>
      </c>
      <c r="K2193" s="4" t="s">
        <v>35</v>
      </c>
      <c r="L2193" s="4" t="s">
        <v>3743</v>
      </c>
      <c r="M2193" s="4" t="s">
        <v>3746</v>
      </c>
      <c r="N2193" s="4" t="s">
        <v>3747</v>
      </c>
      <c r="O2193" s="17">
        <f>INDEX('список ID из СУЭ с должностями'!$A:$F,MATCH(E2193,'список ID из СУЭ с должностями'!$B:$B,0),5)</f>
        <v>0</v>
      </c>
    </row>
    <row r="2194" spans="1:15" ht="330">
      <c r="A2194" s="3" t="s">
        <v>10</v>
      </c>
      <c r="B2194" s="3" t="s">
        <v>11</v>
      </c>
      <c r="C2194" s="4">
        <v>2026</v>
      </c>
      <c r="D2194" s="5" t="s">
        <v>12</v>
      </c>
      <c r="E2194" s="4">
        <v>304</v>
      </c>
      <c r="F2194" s="4" t="s">
        <v>2371</v>
      </c>
      <c r="G2194" s="4" t="s">
        <v>2368</v>
      </c>
      <c r="H2194" s="4" t="s">
        <v>15</v>
      </c>
      <c r="I2194" s="4" t="s">
        <v>303</v>
      </c>
      <c r="J2194" s="4" t="s">
        <v>2421</v>
      </c>
      <c r="K2194" s="4" t="s">
        <v>66</v>
      </c>
      <c r="L2194" s="4" t="s">
        <v>3743</v>
      </c>
      <c r="M2194" s="4" t="s">
        <v>3746</v>
      </c>
      <c r="N2194" s="4" t="s">
        <v>3747</v>
      </c>
      <c r="O2194" s="17">
        <f>INDEX('список ID из СУЭ с должностями'!$A:$F,MATCH(E2194,'список ID из СУЭ с должностями'!$B:$B,0),5)</f>
        <v>0</v>
      </c>
    </row>
    <row r="2195" spans="1:15" ht="300">
      <c r="A2195" s="3" t="s">
        <v>10</v>
      </c>
      <c r="B2195" s="3" t="s">
        <v>11</v>
      </c>
      <c r="C2195" s="4">
        <v>2026</v>
      </c>
      <c r="D2195" s="5" t="s">
        <v>12</v>
      </c>
      <c r="E2195" s="4">
        <v>304</v>
      </c>
      <c r="F2195" s="4" t="s">
        <v>2371</v>
      </c>
      <c r="G2195" s="4" t="s">
        <v>2368</v>
      </c>
      <c r="H2195" s="4" t="s">
        <v>15</v>
      </c>
      <c r="I2195" s="4" t="s">
        <v>149</v>
      </c>
      <c r="J2195" s="4" t="s">
        <v>2422</v>
      </c>
      <c r="K2195" s="4" t="s">
        <v>30</v>
      </c>
      <c r="L2195" s="4" t="s">
        <v>3743</v>
      </c>
      <c r="M2195" s="4" t="s">
        <v>3746</v>
      </c>
      <c r="N2195" s="4" t="s">
        <v>3747</v>
      </c>
      <c r="O2195" s="17">
        <f>INDEX('список ID из СУЭ с должностями'!$A:$F,MATCH(E2195,'список ID из СУЭ с должностями'!$B:$B,0),5)</f>
        <v>0</v>
      </c>
    </row>
    <row r="2196" spans="1:15" ht="409.5">
      <c r="A2196" s="3" t="s">
        <v>10</v>
      </c>
      <c r="B2196" s="3" t="s">
        <v>11</v>
      </c>
      <c r="C2196" s="4">
        <v>2026</v>
      </c>
      <c r="D2196" s="5" t="s">
        <v>12</v>
      </c>
      <c r="E2196" s="4">
        <v>304</v>
      </c>
      <c r="F2196" s="4" t="s">
        <v>2371</v>
      </c>
      <c r="G2196" s="4" t="s">
        <v>2368</v>
      </c>
      <c r="H2196" s="4" t="s">
        <v>21</v>
      </c>
      <c r="I2196" s="4" t="s">
        <v>1168</v>
      </c>
      <c r="J2196" s="4" t="s">
        <v>2387</v>
      </c>
      <c r="K2196" s="4" t="s">
        <v>25</v>
      </c>
      <c r="L2196" s="4" t="s">
        <v>3743</v>
      </c>
      <c r="M2196" s="4" t="s">
        <v>3746</v>
      </c>
      <c r="N2196" s="4" t="s">
        <v>3747</v>
      </c>
      <c r="O2196" s="17">
        <f>INDEX('список ID из СУЭ с должностями'!$A:$F,MATCH(E2196,'список ID из СУЭ с должностями'!$B:$B,0),5)</f>
        <v>0</v>
      </c>
    </row>
    <row r="2197" spans="1:15" ht="409.5">
      <c r="A2197" s="3" t="s">
        <v>10</v>
      </c>
      <c r="B2197" s="3" t="s">
        <v>11</v>
      </c>
      <c r="C2197" s="4">
        <v>2026</v>
      </c>
      <c r="D2197" s="5" t="s">
        <v>12</v>
      </c>
      <c r="E2197" s="4">
        <v>305</v>
      </c>
      <c r="F2197" s="4" t="s">
        <v>2371</v>
      </c>
      <c r="G2197" s="4" t="s">
        <v>2368</v>
      </c>
      <c r="H2197" s="4" t="s">
        <v>21</v>
      </c>
      <c r="I2197" s="4" t="s">
        <v>2357</v>
      </c>
      <c r="J2197" s="4" t="s">
        <v>2387</v>
      </c>
      <c r="K2197" s="4" t="s">
        <v>25</v>
      </c>
      <c r="L2197" s="4" t="s">
        <v>3743</v>
      </c>
      <c r="M2197" s="4" t="s">
        <v>3746</v>
      </c>
      <c r="N2197" s="4" t="s">
        <v>3747</v>
      </c>
      <c r="O2197" s="17">
        <f>INDEX('список ID из СУЭ с должностями'!$A:$F,MATCH(E2197,'список ID из СУЭ с должностями'!$B:$B,0),5)</f>
        <v>0</v>
      </c>
    </row>
    <row r="2198" spans="1:15" ht="150">
      <c r="A2198" s="3" t="s">
        <v>10</v>
      </c>
      <c r="B2198" s="3" t="s">
        <v>11</v>
      </c>
      <c r="C2198" s="4">
        <v>2026</v>
      </c>
      <c r="D2198" s="5" t="s">
        <v>12</v>
      </c>
      <c r="E2198" s="4">
        <v>305</v>
      </c>
      <c r="F2198" s="4" t="s">
        <v>2371</v>
      </c>
      <c r="G2198" s="4" t="s">
        <v>2368</v>
      </c>
      <c r="H2198" s="4" t="s">
        <v>15</v>
      </c>
      <c r="I2198" s="4" t="s">
        <v>806</v>
      </c>
      <c r="J2198" s="4" t="s">
        <v>2373</v>
      </c>
      <c r="K2198" s="4" t="s">
        <v>38</v>
      </c>
      <c r="L2198" s="4" t="s">
        <v>3743</v>
      </c>
      <c r="M2198" s="4" t="s">
        <v>3746</v>
      </c>
      <c r="N2198" s="4" t="s">
        <v>3747</v>
      </c>
      <c r="O2198" s="17">
        <f>INDEX('список ID из СУЭ с должностями'!$A:$F,MATCH(E2198,'список ID из СУЭ с должностями'!$B:$B,0),5)</f>
        <v>0</v>
      </c>
    </row>
    <row r="2199" spans="1:15" ht="345">
      <c r="A2199" s="3" t="s">
        <v>10</v>
      </c>
      <c r="B2199" s="3" t="s">
        <v>11</v>
      </c>
      <c r="C2199" s="4">
        <v>2026</v>
      </c>
      <c r="D2199" s="5" t="s">
        <v>12</v>
      </c>
      <c r="E2199" s="4">
        <v>305</v>
      </c>
      <c r="F2199" s="4" t="s">
        <v>2371</v>
      </c>
      <c r="G2199" s="4" t="s">
        <v>2368</v>
      </c>
      <c r="H2199" s="4" t="s">
        <v>15</v>
      </c>
      <c r="I2199" s="4" t="s">
        <v>303</v>
      </c>
      <c r="J2199" s="4" t="s">
        <v>2423</v>
      </c>
      <c r="K2199" s="4" t="s">
        <v>66</v>
      </c>
      <c r="L2199" s="4" t="s">
        <v>3743</v>
      </c>
      <c r="M2199" s="4" t="s">
        <v>3746</v>
      </c>
      <c r="N2199" s="4" t="s">
        <v>3747</v>
      </c>
      <c r="O2199" s="17">
        <f>INDEX('список ID из СУЭ с должностями'!$A:$F,MATCH(E2199,'список ID из СУЭ с должностями'!$B:$B,0),5)</f>
        <v>0</v>
      </c>
    </row>
    <row r="2200" spans="1:15" ht="330">
      <c r="A2200" s="3" t="s">
        <v>10</v>
      </c>
      <c r="B2200" s="3" t="s">
        <v>11</v>
      </c>
      <c r="C2200" s="4">
        <v>2026</v>
      </c>
      <c r="D2200" s="5" t="s">
        <v>12</v>
      </c>
      <c r="E2200" s="4">
        <v>305</v>
      </c>
      <c r="F2200" s="4" t="s">
        <v>2371</v>
      </c>
      <c r="G2200" s="4" t="s">
        <v>2368</v>
      </c>
      <c r="H2200" s="4" t="s">
        <v>21</v>
      </c>
      <c r="I2200" s="4" t="s">
        <v>149</v>
      </c>
      <c r="J2200" s="4" t="s">
        <v>2424</v>
      </c>
      <c r="K2200" s="4" t="s">
        <v>30</v>
      </c>
      <c r="L2200" s="4" t="s">
        <v>3743</v>
      </c>
      <c r="M2200" s="4" t="s">
        <v>3746</v>
      </c>
      <c r="N2200" s="4" t="s">
        <v>3747</v>
      </c>
      <c r="O2200" s="17">
        <f>INDEX('список ID из СУЭ с должностями'!$A:$F,MATCH(E2200,'список ID из СУЭ с должностями'!$B:$B,0),5)</f>
        <v>0</v>
      </c>
    </row>
    <row r="2201" spans="1:15" ht="255">
      <c r="A2201" s="3" t="s">
        <v>10</v>
      </c>
      <c r="B2201" s="3" t="s">
        <v>11</v>
      </c>
      <c r="C2201" s="4">
        <v>2026</v>
      </c>
      <c r="D2201" s="5" t="s">
        <v>12</v>
      </c>
      <c r="E2201" s="4">
        <v>305</v>
      </c>
      <c r="F2201" s="4" t="s">
        <v>2371</v>
      </c>
      <c r="G2201" s="4" t="s">
        <v>2368</v>
      </c>
      <c r="H2201" s="4" t="s">
        <v>15</v>
      </c>
      <c r="I2201" s="4" t="s">
        <v>147</v>
      </c>
      <c r="J2201" s="4" t="s">
        <v>2425</v>
      </c>
      <c r="K2201" s="4" t="s">
        <v>35</v>
      </c>
      <c r="L2201" s="4" t="s">
        <v>3743</v>
      </c>
      <c r="M2201" s="4" t="s">
        <v>3746</v>
      </c>
      <c r="N2201" s="4" t="s">
        <v>3747</v>
      </c>
      <c r="O2201" s="17">
        <f>INDEX('список ID из СУЭ с должностями'!$A:$F,MATCH(E2201,'список ID из СУЭ с должностями'!$B:$B,0),5)</f>
        <v>0</v>
      </c>
    </row>
    <row r="2202" spans="1:15" ht="120">
      <c r="A2202" s="3" t="s">
        <v>10</v>
      </c>
      <c r="B2202" s="3" t="s">
        <v>11</v>
      </c>
      <c r="C2202" s="4">
        <v>2026</v>
      </c>
      <c r="D2202" s="5" t="s">
        <v>12</v>
      </c>
      <c r="E2202" s="4">
        <v>306</v>
      </c>
      <c r="F2202" s="4" t="s">
        <v>2426</v>
      </c>
      <c r="G2202" s="4" t="s">
        <v>2427</v>
      </c>
      <c r="H2202" s="4" t="s">
        <v>15</v>
      </c>
      <c r="I2202" s="4" t="s">
        <v>460</v>
      </c>
      <c r="J2202" s="4" t="s">
        <v>2428</v>
      </c>
      <c r="K2202" s="4" t="s">
        <v>38</v>
      </c>
      <c r="L2202" s="4" t="s">
        <v>3743</v>
      </c>
      <c r="M2202" s="4" t="s">
        <v>3746</v>
      </c>
      <c r="N2202" s="4" t="s">
        <v>3747</v>
      </c>
      <c r="O2202" s="17">
        <f>INDEX('список ID из СУЭ с должностями'!$A:$F,MATCH(E2202,'список ID из СУЭ с должностями'!$B:$B,0),5)</f>
        <v>0</v>
      </c>
    </row>
    <row r="2203" spans="1:15" ht="120">
      <c r="A2203" s="3" t="s">
        <v>10</v>
      </c>
      <c r="B2203" s="3" t="s">
        <v>11</v>
      </c>
      <c r="C2203" s="4">
        <v>2026</v>
      </c>
      <c r="D2203" s="5" t="s">
        <v>12</v>
      </c>
      <c r="E2203" s="4">
        <v>306</v>
      </c>
      <c r="F2203" s="4" t="s">
        <v>2426</v>
      </c>
      <c r="G2203" s="4" t="s">
        <v>2427</v>
      </c>
      <c r="H2203" s="4" t="s">
        <v>41</v>
      </c>
      <c r="I2203" s="4" t="s">
        <v>2430</v>
      </c>
      <c r="J2203" s="4" t="s">
        <v>2431</v>
      </c>
      <c r="K2203" s="4" t="s">
        <v>20</v>
      </c>
      <c r="L2203" s="4" t="s">
        <v>3743</v>
      </c>
      <c r="M2203" s="4" t="s">
        <v>3746</v>
      </c>
      <c r="N2203" s="4" t="s">
        <v>3747</v>
      </c>
      <c r="O2203" s="17">
        <f>INDEX('список ID из СУЭ с должностями'!$A:$F,MATCH(E2203,'список ID из СУЭ с должностями'!$B:$B,0),5)</f>
        <v>0</v>
      </c>
    </row>
    <row r="2204" spans="1:15" ht="120">
      <c r="A2204" s="3" t="s">
        <v>10</v>
      </c>
      <c r="B2204" s="3" t="s">
        <v>11</v>
      </c>
      <c r="C2204" s="4">
        <v>2026</v>
      </c>
      <c r="D2204" s="5" t="s">
        <v>12</v>
      </c>
      <c r="E2204" s="4">
        <v>306</v>
      </c>
      <c r="F2204" s="4" t="s">
        <v>2426</v>
      </c>
      <c r="G2204" s="4" t="s">
        <v>2427</v>
      </c>
      <c r="H2204" s="4" t="s">
        <v>21</v>
      </c>
      <c r="I2204" s="4" t="s">
        <v>2432</v>
      </c>
      <c r="J2204" s="4" t="s">
        <v>2433</v>
      </c>
      <c r="K2204" s="4" t="s">
        <v>25</v>
      </c>
      <c r="L2204" s="4" t="s">
        <v>3743</v>
      </c>
      <c r="M2204" s="4" t="s">
        <v>3746</v>
      </c>
      <c r="N2204" s="4" t="s">
        <v>3747</v>
      </c>
      <c r="O2204" s="17">
        <f>INDEX('список ID из СУЭ с должностями'!$A:$F,MATCH(E2204,'список ID из СУЭ с должностями'!$B:$B,0),5)</f>
        <v>0</v>
      </c>
    </row>
    <row r="2205" spans="1:15" ht="120">
      <c r="A2205" s="3" t="s">
        <v>10</v>
      </c>
      <c r="B2205" s="3" t="s">
        <v>11</v>
      </c>
      <c r="C2205" s="4">
        <v>2026</v>
      </c>
      <c r="D2205" s="5" t="s">
        <v>12</v>
      </c>
      <c r="E2205" s="4">
        <v>306</v>
      </c>
      <c r="F2205" s="4" t="s">
        <v>2426</v>
      </c>
      <c r="G2205" s="4" t="s">
        <v>2427</v>
      </c>
      <c r="H2205" s="4" t="s">
        <v>15</v>
      </c>
      <c r="I2205" s="4" t="s">
        <v>2434</v>
      </c>
      <c r="J2205" s="4" t="s">
        <v>2435</v>
      </c>
      <c r="K2205" s="4" t="s">
        <v>66</v>
      </c>
      <c r="L2205" s="4" t="s">
        <v>3743</v>
      </c>
      <c r="M2205" s="4" t="s">
        <v>3746</v>
      </c>
      <c r="N2205" s="4" t="s">
        <v>3747</v>
      </c>
      <c r="O2205" s="17">
        <f>INDEX('список ID из СУЭ с должностями'!$A:$F,MATCH(E2205,'список ID из СУЭ с должностями'!$B:$B,0),5)</f>
        <v>0</v>
      </c>
    </row>
    <row r="2206" spans="1:15" ht="120">
      <c r="A2206" s="3" t="s">
        <v>10</v>
      </c>
      <c r="B2206" s="3" t="s">
        <v>11</v>
      </c>
      <c r="C2206" s="4">
        <v>2026</v>
      </c>
      <c r="D2206" s="5" t="s">
        <v>12</v>
      </c>
      <c r="E2206" s="4">
        <v>306</v>
      </c>
      <c r="F2206" s="4" t="s">
        <v>2426</v>
      </c>
      <c r="G2206" s="4" t="s">
        <v>2427</v>
      </c>
      <c r="H2206" s="4" t="s">
        <v>41</v>
      </c>
      <c r="I2206" s="4" t="s">
        <v>2436</v>
      </c>
      <c r="J2206" s="4" t="s">
        <v>2437</v>
      </c>
      <c r="K2206" s="4" t="s">
        <v>66</v>
      </c>
      <c r="L2206" s="4" t="s">
        <v>3743</v>
      </c>
      <c r="M2206" s="4" t="s">
        <v>3746</v>
      </c>
      <c r="N2206" s="4" t="s">
        <v>3747</v>
      </c>
      <c r="O2206" s="17">
        <f>INDEX('список ID из СУЭ с должностями'!$A:$F,MATCH(E2206,'список ID из СУЭ с должностями'!$B:$B,0),5)</f>
        <v>0</v>
      </c>
    </row>
    <row r="2207" spans="1:15" ht="195">
      <c r="A2207" s="3" t="s">
        <v>10</v>
      </c>
      <c r="B2207" s="3" t="s">
        <v>11</v>
      </c>
      <c r="C2207" s="4">
        <v>2026</v>
      </c>
      <c r="D2207" s="5" t="s">
        <v>12</v>
      </c>
      <c r="E2207" s="4">
        <v>306</v>
      </c>
      <c r="F2207" s="4" t="s">
        <v>2426</v>
      </c>
      <c r="G2207" s="4" t="s">
        <v>2427</v>
      </c>
      <c r="H2207" s="4" t="s">
        <v>41</v>
      </c>
      <c r="I2207" s="4" t="s">
        <v>147</v>
      </c>
      <c r="J2207" s="4" t="s">
        <v>2438</v>
      </c>
      <c r="K2207" s="4" t="s">
        <v>35</v>
      </c>
      <c r="L2207" s="4" t="s">
        <v>3743</v>
      </c>
      <c r="M2207" s="4" t="s">
        <v>3746</v>
      </c>
      <c r="N2207" s="4" t="s">
        <v>3747</v>
      </c>
      <c r="O2207" s="17">
        <f>INDEX('список ID из СУЭ с должностями'!$A:$F,MATCH(E2207,'список ID из СУЭ с должностями'!$B:$B,0),5)</f>
        <v>0</v>
      </c>
    </row>
    <row r="2208" spans="1:15" ht="315">
      <c r="A2208" s="3" t="s">
        <v>10</v>
      </c>
      <c r="B2208" s="3" t="s">
        <v>11</v>
      </c>
      <c r="C2208" s="4">
        <v>2026</v>
      </c>
      <c r="D2208" s="5" t="s">
        <v>12</v>
      </c>
      <c r="E2208" s="4">
        <v>306</v>
      </c>
      <c r="F2208" s="4" t="s">
        <v>2426</v>
      </c>
      <c r="G2208" s="4" t="s">
        <v>2427</v>
      </c>
      <c r="H2208" s="4" t="s">
        <v>15</v>
      </c>
      <c r="I2208" s="4" t="s">
        <v>2439</v>
      </c>
      <c r="J2208" s="4" t="s">
        <v>2440</v>
      </c>
      <c r="K2208" s="4" t="s">
        <v>66</v>
      </c>
      <c r="L2208" s="4" t="s">
        <v>3743</v>
      </c>
      <c r="M2208" s="4" t="s">
        <v>3746</v>
      </c>
      <c r="N2208" s="4" t="s">
        <v>3747</v>
      </c>
      <c r="O2208" s="17">
        <f>INDEX('список ID из СУЭ с должностями'!$A:$F,MATCH(E2208,'список ID из СУЭ с должностями'!$B:$B,0),5)</f>
        <v>0</v>
      </c>
    </row>
    <row r="2209" spans="1:15" ht="300">
      <c r="A2209" s="3" t="s">
        <v>10</v>
      </c>
      <c r="B2209" s="3" t="s">
        <v>11</v>
      </c>
      <c r="C2209" s="4">
        <v>2026</v>
      </c>
      <c r="D2209" s="5" t="s">
        <v>12</v>
      </c>
      <c r="E2209" s="4">
        <v>307</v>
      </c>
      <c r="F2209" s="4" t="s">
        <v>67</v>
      </c>
      <c r="G2209" s="4" t="s">
        <v>2359</v>
      </c>
      <c r="H2209" s="4" t="s">
        <v>21</v>
      </c>
      <c r="I2209" s="4" t="s">
        <v>2357</v>
      </c>
      <c r="J2209" s="4" t="s">
        <v>2441</v>
      </c>
      <c r="K2209" s="4" t="s">
        <v>25</v>
      </c>
      <c r="L2209" s="4" t="s">
        <v>3743</v>
      </c>
      <c r="M2209" s="4" t="s">
        <v>3746</v>
      </c>
      <c r="N2209" s="4" t="s">
        <v>3747</v>
      </c>
      <c r="O2209" s="17">
        <f>INDEX('список ID из СУЭ с должностями'!$A:$F,MATCH(E2209,'список ID из СУЭ с должностями'!$B:$B,0),5)</f>
        <v>0</v>
      </c>
    </row>
    <row r="2210" spans="1:15" ht="105">
      <c r="A2210" s="3" t="s">
        <v>10</v>
      </c>
      <c r="B2210" s="3" t="s">
        <v>11</v>
      </c>
      <c r="C2210" s="4">
        <v>2026</v>
      </c>
      <c r="D2210" s="5" t="s">
        <v>12</v>
      </c>
      <c r="E2210" s="4">
        <v>307</v>
      </c>
      <c r="F2210" s="4" t="s">
        <v>67</v>
      </c>
      <c r="G2210" s="4" t="s">
        <v>2359</v>
      </c>
      <c r="H2210" s="4" t="s">
        <v>15</v>
      </c>
      <c r="I2210" s="4" t="s">
        <v>301</v>
      </c>
      <c r="J2210" s="4" t="s">
        <v>463</v>
      </c>
      <c r="K2210" s="4" t="s">
        <v>66</v>
      </c>
      <c r="L2210" s="4" t="s">
        <v>3742</v>
      </c>
      <c r="M2210" s="4" t="s">
        <v>3746</v>
      </c>
      <c r="N2210" s="4" t="s">
        <v>3747</v>
      </c>
      <c r="O2210" s="17">
        <f>INDEX('список ID из СУЭ с должностями'!$A:$F,MATCH(E2210,'список ID из СУЭ с должностями'!$B:$B,0),5)</f>
        <v>0</v>
      </c>
    </row>
    <row r="2211" spans="1:15" ht="330">
      <c r="A2211" s="3" t="s">
        <v>10</v>
      </c>
      <c r="B2211" s="3" t="s">
        <v>11</v>
      </c>
      <c r="C2211" s="4">
        <v>2026</v>
      </c>
      <c r="D2211" s="5" t="s">
        <v>12</v>
      </c>
      <c r="E2211" s="4">
        <v>307</v>
      </c>
      <c r="F2211" s="4" t="s">
        <v>67</v>
      </c>
      <c r="G2211" s="4" t="s">
        <v>2359</v>
      </c>
      <c r="H2211" s="4" t="s">
        <v>15</v>
      </c>
      <c r="I2211" s="4" t="s">
        <v>1002</v>
      </c>
      <c r="J2211" s="4" t="s">
        <v>2442</v>
      </c>
      <c r="K2211" s="4" t="s">
        <v>52</v>
      </c>
      <c r="L2211" s="4" t="s">
        <v>3743</v>
      </c>
      <c r="M2211" s="4" t="s">
        <v>3746</v>
      </c>
      <c r="N2211" s="4" t="s">
        <v>3747</v>
      </c>
      <c r="O2211" s="17">
        <f>INDEX('список ID из СУЭ с должностями'!$A:$F,MATCH(E2211,'список ID из СУЭ с должностями'!$B:$B,0),5)</f>
        <v>0</v>
      </c>
    </row>
    <row r="2212" spans="1:15" ht="105">
      <c r="A2212" s="3" t="s">
        <v>10</v>
      </c>
      <c r="B2212" s="3" t="s">
        <v>11</v>
      </c>
      <c r="C2212" s="4">
        <v>2026</v>
      </c>
      <c r="D2212" s="5" t="s">
        <v>12</v>
      </c>
      <c r="E2212" s="4">
        <v>307</v>
      </c>
      <c r="F2212" s="4" t="s">
        <v>67</v>
      </c>
      <c r="G2212" s="4" t="s">
        <v>2359</v>
      </c>
      <c r="H2212" s="4" t="s">
        <v>15</v>
      </c>
      <c r="I2212" s="4" t="s">
        <v>149</v>
      </c>
      <c r="J2212" s="4" t="s">
        <v>2443</v>
      </c>
      <c r="K2212" s="4" t="s">
        <v>52</v>
      </c>
      <c r="L2212" s="4" t="s">
        <v>3743</v>
      </c>
      <c r="M2212" s="4" t="s">
        <v>3746</v>
      </c>
      <c r="N2212" s="4" t="s">
        <v>3747</v>
      </c>
      <c r="O2212" s="17">
        <f>INDEX('список ID из СУЭ с должностями'!$A:$F,MATCH(E2212,'список ID из СУЭ с должностями'!$B:$B,0),5)</f>
        <v>0</v>
      </c>
    </row>
    <row r="2213" spans="1:15" ht="165">
      <c r="A2213" s="3" t="s">
        <v>10</v>
      </c>
      <c r="B2213" s="3" t="s">
        <v>11</v>
      </c>
      <c r="C2213" s="4">
        <v>2026</v>
      </c>
      <c r="D2213" s="5" t="s">
        <v>12</v>
      </c>
      <c r="E2213" s="4">
        <v>307</v>
      </c>
      <c r="F2213" s="4" t="s">
        <v>67</v>
      </c>
      <c r="G2213" s="4" t="s">
        <v>2359</v>
      </c>
      <c r="H2213" s="4" t="s">
        <v>15</v>
      </c>
      <c r="I2213" s="4" t="s">
        <v>907</v>
      </c>
      <c r="J2213" s="4" t="s">
        <v>2444</v>
      </c>
      <c r="K2213" s="4" t="s">
        <v>55</v>
      </c>
      <c r="L2213" s="4" t="s">
        <v>3743</v>
      </c>
      <c r="M2213" s="4" t="s">
        <v>3746</v>
      </c>
      <c r="N2213" s="4" t="s">
        <v>3747</v>
      </c>
      <c r="O2213" s="17">
        <f>INDEX('список ID из СУЭ с должностями'!$A:$F,MATCH(E2213,'список ID из СУЭ с должностями'!$B:$B,0),5)</f>
        <v>0</v>
      </c>
    </row>
    <row r="2214" spans="1:15" ht="300">
      <c r="A2214" s="3" t="s">
        <v>10</v>
      </c>
      <c r="B2214" s="3" t="s">
        <v>11</v>
      </c>
      <c r="C2214" s="4">
        <v>2026</v>
      </c>
      <c r="D2214" s="5" t="s">
        <v>12</v>
      </c>
      <c r="E2214" s="4">
        <v>307</v>
      </c>
      <c r="F2214" s="4" t="s">
        <v>67</v>
      </c>
      <c r="G2214" s="4" t="s">
        <v>2359</v>
      </c>
      <c r="H2214" s="4" t="s">
        <v>15</v>
      </c>
      <c r="I2214" s="4" t="s">
        <v>147</v>
      </c>
      <c r="J2214" s="4" t="s">
        <v>2445</v>
      </c>
      <c r="K2214" s="4" t="s">
        <v>35</v>
      </c>
      <c r="L2214" s="4" t="s">
        <v>3743</v>
      </c>
      <c r="M2214" s="4" t="s">
        <v>3746</v>
      </c>
      <c r="N2214" s="4" t="s">
        <v>3747</v>
      </c>
      <c r="O2214" s="17">
        <f>INDEX('список ID из СУЭ с должностями'!$A:$F,MATCH(E2214,'список ID из СУЭ с должностями'!$B:$B,0),5)</f>
        <v>0</v>
      </c>
    </row>
    <row r="2215" spans="1:15" ht="409.5">
      <c r="A2215" s="3" t="s">
        <v>10</v>
      </c>
      <c r="B2215" s="3" t="s">
        <v>11</v>
      </c>
      <c r="C2215" s="4">
        <v>2026</v>
      </c>
      <c r="D2215" s="5" t="s">
        <v>12</v>
      </c>
      <c r="E2215" s="4">
        <v>308</v>
      </c>
      <c r="F2215" s="4" t="s">
        <v>2371</v>
      </c>
      <c r="G2215" s="4" t="s">
        <v>2386</v>
      </c>
      <c r="H2215" s="4" t="s">
        <v>15</v>
      </c>
      <c r="I2215" s="4" t="s">
        <v>2357</v>
      </c>
      <c r="J2215" s="4" t="s">
        <v>2387</v>
      </c>
      <c r="K2215" s="4" t="s">
        <v>25</v>
      </c>
      <c r="L2215" s="4" t="s">
        <v>3743</v>
      </c>
      <c r="M2215" s="4" t="s">
        <v>3746</v>
      </c>
      <c r="N2215" s="4" t="s">
        <v>3747</v>
      </c>
      <c r="O2215" s="17">
        <f>INDEX('список ID из СУЭ с должностями'!$A:$F,MATCH(E2215,'список ID из СУЭ с должностями'!$B:$B,0),5)</f>
        <v>0</v>
      </c>
    </row>
    <row r="2216" spans="1:15" ht="135">
      <c r="A2216" s="3" t="s">
        <v>10</v>
      </c>
      <c r="B2216" s="3" t="s">
        <v>11</v>
      </c>
      <c r="C2216" s="4">
        <v>2026</v>
      </c>
      <c r="D2216" s="5" t="s">
        <v>12</v>
      </c>
      <c r="E2216" s="4">
        <v>308</v>
      </c>
      <c r="F2216" s="4" t="s">
        <v>2371</v>
      </c>
      <c r="G2216" s="4" t="s">
        <v>2386</v>
      </c>
      <c r="H2216" s="4" t="s">
        <v>15</v>
      </c>
      <c r="I2216" s="4" t="s">
        <v>806</v>
      </c>
      <c r="J2216" s="4" t="s">
        <v>2373</v>
      </c>
      <c r="K2216" s="4" t="s">
        <v>38</v>
      </c>
      <c r="L2216" s="4" t="s">
        <v>3743</v>
      </c>
      <c r="M2216" s="4" t="s">
        <v>3746</v>
      </c>
      <c r="N2216" s="4" t="s">
        <v>3747</v>
      </c>
      <c r="O2216" s="17">
        <f>INDEX('список ID из СУЭ с должностями'!$A:$F,MATCH(E2216,'список ID из СУЭ с должностями'!$B:$B,0),5)</f>
        <v>0</v>
      </c>
    </row>
    <row r="2217" spans="1:15" ht="195">
      <c r="A2217" s="3" t="s">
        <v>10</v>
      </c>
      <c r="B2217" s="3" t="s">
        <v>11</v>
      </c>
      <c r="C2217" s="4">
        <v>2026</v>
      </c>
      <c r="D2217" s="5" t="s">
        <v>12</v>
      </c>
      <c r="E2217" s="4">
        <v>308</v>
      </c>
      <c r="F2217" s="4" t="s">
        <v>2371</v>
      </c>
      <c r="G2217" s="4" t="s">
        <v>2386</v>
      </c>
      <c r="H2217" s="4" t="s">
        <v>15</v>
      </c>
      <c r="I2217" s="4" t="s">
        <v>303</v>
      </c>
      <c r="J2217" s="4" t="s">
        <v>2446</v>
      </c>
      <c r="K2217" s="4" t="s">
        <v>66</v>
      </c>
      <c r="L2217" s="4" t="s">
        <v>3743</v>
      </c>
      <c r="M2217" s="4" t="s">
        <v>3746</v>
      </c>
      <c r="N2217" s="4" t="s">
        <v>3747</v>
      </c>
      <c r="O2217" s="17">
        <f>INDEX('список ID из СУЭ с должностями'!$A:$F,MATCH(E2217,'список ID из СУЭ с должностями'!$B:$B,0),5)</f>
        <v>0</v>
      </c>
    </row>
    <row r="2218" spans="1:15" ht="390">
      <c r="A2218" s="3" t="s">
        <v>10</v>
      </c>
      <c r="B2218" s="3" t="s">
        <v>11</v>
      </c>
      <c r="C2218" s="4">
        <v>2026</v>
      </c>
      <c r="D2218" s="5" t="s">
        <v>12</v>
      </c>
      <c r="E2218" s="4">
        <v>308</v>
      </c>
      <c r="F2218" s="4" t="s">
        <v>2371</v>
      </c>
      <c r="G2218" s="4" t="s">
        <v>2386</v>
      </c>
      <c r="H2218" s="4" t="s">
        <v>15</v>
      </c>
      <c r="I2218" s="4" t="s">
        <v>149</v>
      </c>
      <c r="J2218" s="4" t="s">
        <v>2447</v>
      </c>
      <c r="K2218" s="4" t="s">
        <v>30</v>
      </c>
      <c r="L2218" s="4" t="s">
        <v>3743</v>
      </c>
      <c r="M2218" s="4" t="s">
        <v>3746</v>
      </c>
      <c r="N2218" s="4" t="s">
        <v>3747</v>
      </c>
      <c r="O2218" s="17">
        <f>INDEX('список ID из СУЭ с должностями'!$A:$F,MATCH(E2218,'список ID из СУЭ с должностями'!$B:$B,0),5)</f>
        <v>0</v>
      </c>
    </row>
    <row r="2219" spans="1:15" ht="135">
      <c r="A2219" s="3" t="s">
        <v>10</v>
      </c>
      <c r="B2219" s="3" t="s">
        <v>11</v>
      </c>
      <c r="C2219" s="4">
        <v>2026</v>
      </c>
      <c r="D2219" s="5" t="s">
        <v>12</v>
      </c>
      <c r="E2219" s="4">
        <v>308</v>
      </c>
      <c r="F2219" s="4" t="s">
        <v>2371</v>
      </c>
      <c r="G2219" s="4" t="s">
        <v>2386</v>
      </c>
      <c r="H2219" s="4" t="s">
        <v>15</v>
      </c>
      <c r="I2219" s="4" t="s">
        <v>2397</v>
      </c>
      <c r="J2219" s="4" t="s">
        <v>2448</v>
      </c>
      <c r="K2219" s="4" t="s">
        <v>66</v>
      </c>
      <c r="L2219" s="4" t="s">
        <v>3743</v>
      </c>
      <c r="M2219" s="4" t="s">
        <v>3746</v>
      </c>
      <c r="N2219" s="4" t="s">
        <v>3747</v>
      </c>
      <c r="O2219" s="17">
        <f>INDEX('список ID из СУЭ с должностями'!$A:$F,MATCH(E2219,'список ID из СУЭ с должностями'!$B:$B,0),5)</f>
        <v>0</v>
      </c>
    </row>
    <row r="2220" spans="1:15" ht="255">
      <c r="A2220" s="3" t="s">
        <v>10</v>
      </c>
      <c r="B2220" s="3" t="s">
        <v>11</v>
      </c>
      <c r="C2220" s="4">
        <v>2026</v>
      </c>
      <c r="D2220" s="5" t="s">
        <v>12</v>
      </c>
      <c r="E2220" s="4">
        <v>308</v>
      </c>
      <c r="F2220" s="4" t="s">
        <v>2371</v>
      </c>
      <c r="G2220" s="4" t="s">
        <v>2386</v>
      </c>
      <c r="H2220" s="4" t="s">
        <v>15</v>
      </c>
      <c r="I2220" s="4" t="s">
        <v>147</v>
      </c>
      <c r="J2220" s="4" t="s">
        <v>2425</v>
      </c>
      <c r="K2220" s="4" t="s">
        <v>35</v>
      </c>
      <c r="L2220" s="4" t="s">
        <v>3743</v>
      </c>
      <c r="M2220" s="4" t="s">
        <v>3746</v>
      </c>
      <c r="N2220" s="4" t="s">
        <v>3747</v>
      </c>
      <c r="O2220" s="17">
        <f>INDEX('список ID из СУЭ с должностями'!$A:$F,MATCH(E2220,'список ID из СУЭ с должностями'!$B:$B,0),5)</f>
        <v>0</v>
      </c>
    </row>
    <row r="2221" spans="1:15" ht="165">
      <c r="A2221" s="3" t="s">
        <v>10</v>
      </c>
      <c r="B2221" s="3" t="s">
        <v>11</v>
      </c>
      <c r="C2221" s="4">
        <v>2026</v>
      </c>
      <c r="D2221" s="5" t="s">
        <v>12</v>
      </c>
      <c r="E2221" s="4">
        <v>309</v>
      </c>
      <c r="F2221" s="4" t="s">
        <v>307</v>
      </c>
      <c r="G2221" s="4" t="s">
        <v>869</v>
      </c>
      <c r="H2221" s="4" t="s">
        <v>15</v>
      </c>
      <c r="I2221" s="4" t="s">
        <v>874</v>
      </c>
      <c r="J2221" s="4" t="s">
        <v>875</v>
      </c>
      <c r="K2221" s="4" t="s">
        <v>30</v>
      </c>
      <c r="L2221" s="4" t="s">
        <v>3743</v>
      </c>
      <c r="M2221" s="4" t="s">
        <v>3746</v>
      </c>
      <c r="N2221" s="4" t="s">
        <v>3747</v>
      </c>
      <c r="O2221" s="17">
        <f>INDEX('список ID из СУЭ с должностями'!$A:$F,MATCH(E2221,'список ID из СУЭ с должностями'!$B:$B,0),5)</f>
        <v>0</v>
      </c>
    </row>
    <row r="2222" spans="1:15" ht="90">
      <c r="A2222" s="3" t="s">
        <v>10</v>
      </c>
      <c r="B2222" s="3" t="s">
        <v>11</v>
      </c>
      <c r="C2222" s="4">
        <v>2026</v>
      </c>
      <c r="D2222" s="5" t="s">
        <v>12</v>
      </c>
      <c r="E2222" s="4">
        <v>309</v>
      </c>
      <c r="F2222" s="4" t="s">
        <v>307</v>
      </c>
      <c r="G2222" s="4" t="s">
        <v>869</v>
      </c>
      <c r="H2222" s="4" t="s">
        <v>15</v>
      </c>
      <c r="I2222" s="4" t="s">
        <v>2449</v>
      </c>
      <c r="J2222" s="4" t="s">
        <v>2450</v>
      </c>
      <c r="K2222" s="4" t="s">
        <v>30</v>
      </c>
      <c r="L2222" s="4" t="s">
        <v>3743</v>
      </c>
      <c r="M2222" s="4" t="s">
        <v>3746</v>
      </c>
      <c r="N2222" s="4" t="s">
        <v>3747</v>
      </c>
      <c r="O2222" s="17">
        <f>INDEX('список ID из СУЭ с должностями'!$A:$F,MATCH(E2222,'список ID из СУЭ с должностями'!$B:$B,0),5)</f>
        <v>0</v>
      </c>
    </row>
    <row r="2223" spans="1:15" ht="90">
      <c r="A2223" s="3" t="s">
        <v>10</v>
      </c>
      <c r="B2223" s="3" t="s">
        <v>11</v>
      </c>
      <c r="C2223" s="4">
        <v>2026</v>
      </c>
      <c r="D2223" s="5" t="s">
        <v>12</v>
      </c>
      <c r="E2223" s="4">
        <v>309</v>
      </c>
      <c r="F2223" s="4" t="s">
        <v>307</v>
      </c>
      <c r="G2223" s="4" t="s">
        <v>869</v>
      </c>
      <c r="H2223" s="4" t="s">
        <v>15</v>
      </c>
      <c r="I2223" s="4" t="s">
        <v>2451</v>
      </c>
      <c r="J2223" s="4" t="s">
        <v>2452</v>
      </c>
      <c r="K2223" s="4" t="s">
        <v>30</v>
      </c>
      <c r="L2223" s="4" t="s">
        <v>3743</v>
      </c>
      <c r="M2223" s="4" t="s">
        <v>3746</v>
      </c>
      <c r="N2223" s="4" t="s">
        <v>3747</v>
      </c>
      <c r="O2223" s="17">
        <f>INDEX('список ID из СУЭ с должностями'!$A:$F,MATCH(E2223,'список ID из СУЭ с должностями'!$B:$B,0),5)</f>
        <v>0</v>
      </c>
    </row>
    <row r="2224" spans="1:15" ht="90">
      <c r="A2224" s="3" t="s">
        <v>10</v>
      </c>
      <c r="B2224" s="3" t="s">
        <v>11</v>
      </c>
      <c r="C2224" s="4">
        <v>2026</v>
      </c>
      <c r="D2224" s="5" t="s">
        <v>12</v>
      </c>
      <c r="E2224" s="4">
        <v>309</v>
      </c>
      <c r="F2224" s="4" t="s">
        <v>307</v>
      </c>
      <c r="G2224" s="4" t="s">
        <v>869</v>
      </c>
      <c r="H2224" s="4" t="s">
        <v>15</v>
      </c>
      <c r="I2224" s="4" t="s">
        <v>876</v>
      </c>
      <c r="J2224" s="4" t="s">
        <v>877</v>
      </c>
      <c r="K2224" s="4" t="s">
        <v>30</v>
      </c>
      <c r="L2224" s="4" t="s">
        <v>3743</v>
      </c>
      <c r="M2224" s="4" t="s">
        <v>3746</v>
      </c>
      <c r="N2224" s="4" t="s">
        <v>3747</v>
      </c>
      <c r="O2224" s="17">
        <f>INDEX('список ID из СУЭ с должностями'!$A:$F,MATCH(E2224,'список ID из СУЭ с должностями'!$B:$B,0),5)</f>
        <v>0</v>
      </c>
    </row>
    <row r="2225" spans="1:15" ht="60">
      <c r="A2225" s="3" t="s">
        <v>10</v>
      </c>
      <c r="B2225" s="3" t="s">
        <v>11</v>
      </c>
      <c r="C2225" s="4">
        <v>2026</v>
      </c>
      <c r="D2225" s="5" t="s">
        <v>12</v>
      </c>
      <c r="E2225" s="4">
        <v>309</v>
      </c>
      <c r="F2225" s="4" t="s">
        <v>307</v>
      </c>
      <c r="G2225" s="4" t="s">
        <v>869</v>
      </c>
      <c r="H2225" s="4" t="s">
        <v>15</v>
      </c>
      <c r="I2225" s="4" t="s">
        <v>2453</v>
      </c>
      <c r="J2225" s="4" t="s">
        <v>2454</v>
      </c>
      <c r="K2225" s="4" t="s">
        <v>35</v>
      </c>
      <c r="L2225" s="4" t="s">
        <v>3742</v>
      </c>
      <c r="M2225" s="4" t="s">
        <v>3746</v>
      </c>
      <c r="N2225" s="4" t="s">
        <v>3747</v>
      </c>
      <c r="O2225" s="17">
        <f>INDEX('список ID из СУЭ с должностями'!$A:$F,MATCH(E2225,'список ID из СУЭ с должностями'!$B:$B,0),5)</f>
        <v>0</v>
      </c>
    </row>
    <row r="2226" spans="1:15" ht="105">
      <c r="A2226" s="3" t="s">
        <v>10</v>
      </c>
      <c r="B2226" s="3" t="s">
        <v>11</v>
      </c>
      <c r="C2226" s="4">
        <v>2026</v>
      </c>
      <c r="D2226" s="5" t="s">
        <v>12</v>
      </c>
      <c r="E2226" s="4">
        <v>309</v>
      </c>
      <c r="F2226" s="4" t="s">
        <v>307</v>
      </c>
      <c r="G2226" s="4" t="s">
        <v>869</v>
      </c>
      <c r="H2226" s="4" t="s">
        <v>15</v>
      </c>
      <c r="I2226" s="4" t="s">
        <v>1763</v>
      </c>
      <c r="J2226" s="4" t="s">
        <v>2455</v>
      </c>
      <c r="K2226" s="4" t="s">
        <v>25</v>
      </c>
      <c r="L2226" s="4" t="s">
        <v>3743</v>
      </c>
      <c r="M2226" s="4" t="s">
        <v>3746</v>
      </c>
      <c r="N2226" s="4" t="s">
        <v>3747</v>
      </c>
      <c r="O2226" s="17">
        <f>INDEX('список ID из СУЭ с должностями'!$A:$F,MATCH(E2226,'список ID из СУЭ с должностями'!$B:$B,0),5)</f>
        <v>0</v>
      </c>
    </row>
    <row r="2227" spans="1:15" ht="45">
      <c r="A2227" s="3" t="s">
        <v>10</v>
      </c>
      <c r="B2227" s="3" t="s">
        <v>11</v>
      </c>
      <c r="C2227" s="4">
        <v>2026</v>
      </c>
      <c r="D2227" s="5" t="s">
        <v>12</v>
      </c>
      <c r="E2227" s="4">
        <v>309</v>
      </c>
      <c r="F2227" s="4" t="s">
        <v>307</v>
      </c>
      <c r="G2227" s="4" t="s">
        <v>869</v>
      </c>
      <c r="H2227" s="4" t="s">
        <v>21</v>
      </c>
      <c r="I2227" s="4" t="s">
        <v>878</v>
      </c>
      <c r="J2227" s="4" t="s">
        <v>879</v>
      </c>
      <c r="K2227" s="4" t="s">
        <v>52</v>
      </c>
      <c r="L2227" s="4" t="s">
        <v>3742</v>
      </c>
      <c r="M2227" s="4" t="s">
        <v>3746</v>
      </c>
      <c r="N2227" s="4" t="s">
        <v>3747</v>
      </c>
      <c r="O2227" s="17">
        <f>INDEX('список ID из СУЭ с должностями'!$A:$F,MATCH(E2227,'список ID из СУЭ с должностями'!$B:$B,0),5)</f>
        <v>0</v>
      </c>
    </row>
    <row r="2228" spans="1:15" ht="45">
      <c r="A2228" s="3" t="s">
        <v>10</v>
      </c>
      <c r="B2228" s="3" t="s">
        <v>11</v>
      </c>
      <c r="C2228" s="4">
        <v>2026</v>
      </c>
      <c r="D2228" s="5" t="s">
        <v>12</v>
      </c>
      <c r="E2228" s="4">
        <v>309</v>
      </c>
      <c r="F2228" s="4" t="s">
        <v>307</v>
      </c>
      <c r="G2228" s="4" t="s">
        <v>869</v>
      </c>
      <c r="H2228" s="4" t="s">
        <v>21</v>
      </c>
      <c r="I2228" s="4" t="s">
        <v>880</v>
      </c>
      <c r="J2228" s="4" t="s">
        <v>881</v>
      </c>
      <c r="K2228" s="4" t="s">
        <v>52</v>
      </c>
      <c r="L2228" s="4" t="s">
        <v>3742</v>
      </c>
      <c r="M2228" s="4" t="s">
        <v>3746</v>
      </c>
      <c r="N2228" s="4" t="s">
        <v>3747</v>
      </c>
      <c r="O2228" s="17">
        <f>INDEX('список ID из СУЭ с должностями'!$A:$F,MATCH(E2228,'список ID из СУЭ с должностями'!$B:$B,0),5)</f>
        <v>0</v>
      </c>
    </row>
    <row r="2229" spans="1:15" ht="45">
      <c r="A2229" s="3" t="s">
        <v>10</v>
      </c>
      <c r="B2229" s="3" t="s">
        <v>11</v>
      </c>
      <c r="C2229" s="4">
        <v>2026</v>
      </c>
      <c r="D2229" s="5" t="s">
        <v>12</v>
      </c>
      <c r="E2229" s="4">
        <v>309</v>
      </c>
      <c r="F2229" s="4" t="s">
        <v>307</v>
      </c>
      <c r="G2229" s="4" t="s">
        <v>869</v>
      </c>
      <c r="H2229" s="4" t="s">
        <v>21</v>
      </c>
      <c r="I2229" s="4" t="s">
        <v>882</v>
      </c>
      <c r="J2229" s="4" t="s">
        <v>883</v>
      </c>
      <c r="K2229" s="4" t="s">
        <v>52</v>
      </c>
      <c r="L2229" s="4" t="s">
        <v>3742</v>
      </c>
      <c r="M2229" s="4" t="s">
        <v>3746</v>
      </c>
      <c r="N2229" s="4" t="s">
        <v>3747</v>
      </c>
      <c r="O2229" s="17">
        <f>INDEX('список ID из СУЭ с должностями'!$A:$F,MATCH(E2229,'список ID из СУЭ с должностями'!$B:$B,0),5)</f>
        <v>0</v>
      </c>
    </row>
    <row r="2230" spans="1:15" ht="150">
      <c r="A2230" s="3" t="s">
        <v>10</v>
      </c>
      <c r="B2230" s="3" t="s">
        <v>11</v>
      </c>
      <c r="C2230" s="4">
        <v>2026</v>
      </c>
      <c r="D2230" s="5" t="s">
        <v>12</v>
      </c>
      <c r="E2230" s="4">
        <v>309</v>
      </c>
      <c r="F2230" s="4" t="s">
        <v>307</v>
      </c>
      <c r="G2230" s="4" t="s">
        <v>869</v>
      </c>
      <c r="H2230" s="4" t="s">
        <v>15</v>
      </c>
      <c r="I2230" s="4" t="s">
        <v>2456</v>
      </c>
      <c r="J2230" s="4" t="s">
        <v>2457</v>
      </c>
      <c r="K2230" s="4" t="s">
        <v>30</v>
      </c>
      <c r="L2230" s="4" t="s">
        <v>3743</v>
      </c>
      <c r="M2230" s="4" t="s">
        <v>3746</v>
      </c>
      <c r="N2230" s="4" t="s">
        <v>3747</v>
      </c>
      <c r="O2230" s="17">
        <f>INDEX('список ID из СУЭ с должностями'!$A:$F,MATCH(E2230,'список ID из СУЭ с должностями'!$B:$B,0),5)</f>
        <v>0</v>
      </c>
    </row>
    <row r="2231" spans="1:15" ht="105">
      <c r="A2231" s="3" t="s">
        <v>10</v>
      </c>
      <c r="B2231" s="3" t="s">
        <v>11</v>
      </c>
      <c r="C2231" s="4">
        <v>2026</v>
      </c>
      <c r="D2231" s="5" t="s">
        <v>12</v>
      </c>
      <c r="E2231" s="4">
        <v>310</v>
      </c>
      <c r="F2231" s="4" t="s">
        <v>458</v>
      </c>
      <c r="G2231" s="4" t="s">
        <v>2429</v>
      </c>
      <c r="H2231" s="4" t="s">
        <v>15</v>
      </c>
      <c r="I2231" s="4" t="s">
        <v>437</v>
      </c>
      <c r="J2231" s="4" t="s">
        <v>2458</v>
      </c>
      <c r="K2231" s="4" t="s">
        <v>25</v>
      </c>
      <c r="L2231" s="4" t="s">
        <v>3743</v>
      </c>
      <c r="M2231" s="4" t="s">
        <v>3746</v>
      </c>
      <c r="N2231" s="4" t="s">
        <v>3747</v>
      </c>
      <c r="O2231" s="17">
        <f>INDEX('список ID из СУЭ с должностями'!$A:$F,MATCH(E2231,'список ID из СУЭ с должностями'!$B:$B,0),5)</f>
        <v>0</v>
      </c>
    </row>
    <row r="2232" spans="1:15" ht="409.5">
      <c r="A2232" s="3" t="s">
        <v>10</v>
      </c>
      <c r="B2232" s="3" t="s">
        <v>11</v>
      </c>
      <c r="C2232" s="4">
        <v>2026</v>
      </c>
      <c r="D2232" s="5" t="s">
        <v>12</v>
      </c>
      <c r="E2232" s="4">
        <v>310</v>
      </c>
      <c r="F2232" s="4" t="s">
        <v>458</v>
      </c>
      <c r="G2232" s="4" t="s">
        <v>2429</v>
      </c>
      <c r="H2232" s="4" t="s">
        <v>21</v>
      </c>
      <c r="I2232" s="4" t="s">
        <v>2357</v>
      </c>
      <c r="J2232" s="4" t="s">
        <v>2459</v>
      </c>
      <c r="K2232" s="4" t="s">
        <v>25</v>
      </c>
      <c r="L2232" s="4" t="s">
        <v>3743</v>
      </c>
      <c r="M2232" s="4" t="s">
        <v>3746</v>
      </c>
      <c r="N2232" s="4" t="s">
        <v>3747</v>
      </c>
      <c r="O2232" s="17">
        <f>INDEX('список ID из СУЭ с должностями'!$A:$F,MATCH(E2232,'список ID из СУЭ с должностями'!$B:$B,0),5)</f>
        <v>0</v>
      </c>
    </row>
    <row r="2233" spans="1:15" ht="105">
      <c r="A2233" s="3" t="s">
        <v>10</v>
      </c>
      <c r="B2233" s="3" t="s">
        <v>11</v>
      </c>
      <c r="C2233" s="4">
        <v>2026</v>
      </c>
      <c r="D2233" s="5" t="s">
        <v>12</v>
      </c>
      <c r="E2233" s="4">
        <v>310</v>
      </c>
      <c r="F2233" s="4" t="s">
        <v>458</v>
      </c>
      <c r="G2233" s="4" t="s">
        <v>2429</v>
      </c>
      <c r="H2233" s="4" t="s">
        <v>15</v>
      </c>
      <c r="I2233" s="4" t="s">
        <v>301</v>
      </c>
      <c r="J2233" s="4" t="s">
        <v>463</v>
      </c>
      <c r="K2233" s="4" t="s">
        <v>66</v>
      </c>
      <c r="L2233" s="4" t="s">
        <v>3742</v>
      </c>
      <c r="M2233" s="4" t="s">
        <v>3746</v>
      </c>
      <c r="N2233" s="4" t="s">
        <v>3747</v>
      </c>
      <c r="O2233" s="17">
        <f>INDEX('список ID из СУЭ с должностями'!$A:$F,MATCH(E2233,'список ID из СУЭ с должностями'!$B:$B,0),5)</f>
        <v>0</v>
      </c>
    </row>
    <row r="2234" spans="1:15" ht="409.5">
      <c r="A2234" s="3" t="s">
        <v>10</v>
      </c>
      <c r="B2234" s="3" t="s">
        <v>11</v>
      </c>
      <c r="C2234" s="4">
        <v>2026</v>
      </c>
      <c r="D2234" s="5" t="s">
        <v>12</v>
      </c>
      <c r="E2234" s="4">
        <v>310</v>
      </c>
      <c r="F2234" s="4" t="s">
        <v>458</v>
      </c>
      <c r="G2234" s="4" t="s">
        <v>2429</v>
      </c>
      <c r="H2234" s="4" t="s">
        <v>15</v>
      </c>
      <c r="I2234" s="4" t="s">
        <v>2378</v>
      </c>
      <c r="J2234" s="4" t="s">
        <v>2460</v>
      </c>
      <c r="K2234" s="4" t="s">
        <v>38</v>
      </c>
      <c r="L2234" s="4" t="s">
        <v>3743</v>
      </c>
      <c r="M2234" s="4" t="s">
        <v>3746</v>
      </c>
      <c r="N2234" s="4" t="s">
        <v>3747</v>
      </c>
      <c r="O2234" s="17">
        <f>INDEX('список ID из СУЭ с должностями'!$A:$F,MATCH(E2234,'список ID из СУЭ с должностями'!$B:$B,0),5)</f>
        <v>0</v>
      </c>
    </row>
    <row r="2235" spans="1:15" ht="150">
      <c r="A2235" s="3" t="s">
        <v>10</v>
      </c>
      <c r="B2235" s="3" t="s">
        <v>11</v>
      </c>
      <c r="C2235" s="4">
        <v>2026</v>
      </c>
      <c r="D2235" s="5" t="s">
        <v>12</v>
      </c>
      <c r="E2235" s="4">
        <v>310</v>
      </c>
      <c r="F2235" s="4" t="s">
        <v>458</v>
      </c>
      <c r="G2235" s="4" t="s">
        <v>2429</v>
      </c>
      <c r="H2235" s="4" t="s">
        <v>15</v>
      </c>
      <c r="I2235" s="4" t="s">
        <v>2380</v>
      </c>
      <c r="J2235" s="4" t="s">
        <v>2381</v>
      </c>
      <c r="K2235" s="4" t="s">
        <v>55</v>
      </c>
      <c r="L2235" s="4" t="s">
        <v>3743</v>
      </c>
      <c r="M2235" s="4" t="s">
        <v>3746</v>
      </c>
      <c r="N2235" s="4" t="s">
        <v>3747</v>
      </c>
      <c r="O2235" s="17">
        <f>INDEX('список ID из СУЭ с должностями'!$A:$F,MATCH(E2235,'список ID из СУЭ с должностями'!$B:$B,0),5)</f>
        <v>0</v>
      </c>
    </row>
    <row r="2236" spans="1:15" ht="285">
      <c r="A2236" s="3" t="s">
        <v>10</v>
      </c>
      <c r="B2236" s="3" t="s">
        <v>11</v>
      </c>
      <c r="C2236" s="4">
        <v>2026</v>
      </c>
      <c r="D2236" s="5" t="s">
        <v>12</v>
      </c>
      <c r="E2236" s="4">
        <v>310</v>
      </c>
      <c r="F2236" s="4" t="s">
        <v>458</v>
      </c>
      <c r="G2236" s="4" t="s">
        <v>2429</v>
      </c>
      <c r="H2236" s="4" t="s">
        <v>15</v>
      </c>
      <c r="I2236" s="4" t="s">
        <v>1002</v>
      </c>
      <c r="J2236" s="4" t="s">
        <v>2461</v>
      </c>
      <c r="K2236" s="4" t="s">
        <v>52</v>
      </c>
      <c r="L2236" s="4" t="s">
        <v>3743</v>
      </c>
      <c r="M2236" s="4" t="s">
        <v>3746</v>
      </c>
      <c r="N2236" s="4" t="s">
        <v>3747</v>
      </c>
      <c r="O2236" s="17">
        <f>INDEX('список ID из СУЭ с должностями'!$A:$F,MATCH(E2236,'список ID из СУЭ с должностями'!$B:$B,0),5)</f>
        <v>0</v>
      </c>
    </row>
    <row r="2237" spans="1:15" ht="345">
      <c r="A2237" s="3" t="s">
        <v>10</v>
      </c>
      <c r="B2237" s="3" t="s">
        <v>11</v>
      </c>
      <c r="C2237" s="4">
        <v>2026</v>
      </c>
      <c r="D2237" s="5" t="s">
        <v>12</v>
      </c>
      <c r="E2237" s="4">
        <v>310</v>
      </c>
      <c r="F2237" s="4" t="s">
        <v>458</v>
      </c>
      <c r="G2237" s="4" t="s">
        <v>2429</v>
      </c>
      <c r="H2237" s="4" t="s">
        <v>15</v>
      </c>
      <c r="I2237" s="4" t="s">
        <v>149</v>
      </c>
      <c r="J2237" s="4" t="s">
        <v>2462</v>
      </c>
      <c r="K2237" s="4" t="s">
        <v>151</v>
      </c>
      <c r="L2237" s="4" t="s">
        <v>3743</v>
      </c>
      <c r="M2237" s="4" t="s">
        <v>3746</v>
      </c>
      <c r="N2237" s="4" t="s">
        <v>3747</v>
      </c>
      <c r="O2237" s="17">
        <f>INDEX('список ID из СУЭ с должностями'!$A:$F,MATCH(E2237,'список ID из СУЭ с должностями'!$B:$B,0),5)</f>
        <v>0</v>
      </c>
    </row>
    <row r="2238" spans="1:15" ht="225">
      <c r="A2238" s="3" t="s">
        <v>10</v>
      </c>
      <c r="B2238" s="3" t="s">
        <v>11</v>
      </c>
      <c r="C2238" s="4">
        <v>2026</v>
      </c>
      <c r="D2238" s="5" t="s">
        <v>12</v>
      </c>
      <c r="E2238" s="4">
        <v>310</v>
      </c>
      <c r="F2238" s="4" t="s">
        <v>458</v>
      </c>
      <c r="G2238" s="4" t="s">
        <v>2429</v>
      </c>
      <c r="H2238" s="4" t="s">
        <v>15</v>
      </c>
      <c r="I2238" s="4" t="s">
        <v>907</v>
      </c>
      <c r="J2238" s="4" t="s">
        <v>2383</v>
      </c>
      <c r="K2238" s="4" t="s">
        <v>55</v>
      </c>
      <c r="L2238" s="4" t="s">
        <v>3743</v>
      </c>
      <c r="M2238" s="4" t="s">
        <v>3746</v>
      </c>
      <c r="N2238" s="4" t="s">
        <v>3747</v>
      </c>
      <c r="O2238" s="17">
        <f>INDEX('список ID из СУЭ с должностями'!$A:$F,MATCH(E2238,'список ID из СУЭ с должностями'!$B:$B,0),5)</f>
        <v>0</v>
      </c>
    </row>
    <row r="2239" spans="1:15" ht="375">
      <c r="A2239" s="3" t="s">
        <v>10</v>
      </c>
      <c r="B2239" s="3" t="s">
        <v>11</v>
      </c>
      <c r="C2239" s="4">
        <v>2026</v>
      </c>
      <c r="D2239" s="5" t="s">
        <v>12</v>
      </c>
      <c r="E2239" s="4">
        <v>310</v>
      </c>
      <c r="F2239" s="4" t="s">
        <v>458</v>
      </c>
      <c r="G2239" s="4" t="s">
        <v>2429</v>
      </c>
      <c r="H2239" s="4" t="s">
        <v>15</v>
      </c>
      <c r="I2239" s="4" t="s">
        <v>147</v>
      </c>
      <c r="J2239" s="4" t="s">
        <v>2463</v>
      </c>
      <c r="K2239" s="4" t="s">
        <v>35</v>
      </c>
      <c r="L2239" s="4" t="s">
        <v>3743</v>
      </c>
      <c r="M2239" s="4" t="s">
        <v>3746</v>
      </c>
      <c r="N2239" s="4" t="s">
        <v>3747</v>
      </c>
      <c r="O2239" s="17">
        <f>INDEX('список ID из СУЭ с должностями'!$A:$F,MATCH(E2239,'список ID из СУЭ с должностями'!$B:$B,0),5)</f>
        <v>0</v>
      </c>
    </row>
    <row r="2240" spans="1:15" ht="105">
      <c r="A2240" s="3" t="s">
        <v>10</v>
      </c>
      <c r="B2240" s="3" t="s">
        <v>11</v>
      </c>
      <c r="C2240" s="4">
        <v>2026</v>
      </c>
      <c r="D2240" s="5" t="s">
        <v>12</v>
      </c>
      <c r="E2240" s="4">
        <v>311</v>
      </c>
      <c r="F2240" s="4" t="s">
        <v>88</v>
      </c>
      <c r="G2240" s="4" t="s">
        <v>85</v>
      </c>
      <c r="H2240" s="4" t="s">
        <v>15</v>
      </c>
      <c r="I2240" s="4" t="s">
        <v>2464</v>
      </c>
      <c r="J2240" s="4" t="s">
        <v>2465</v>
      </c>
      <c r="K2240" s="4" t="s">
        <v>25</v>
      </c>
      <c r="L2240" s="4" t="s">
        <v>3743</v>
      </c>
      <c r="M2240" s="4" t="s">
        <v>3746</v>
      </c>
      <c r="N2240" s="4" t="s">
        <v>3747</v>
      </c>
      <c r="O2240" s="17">
        <f>INDEX('список ID из СУЭ с должностями'!$A:$F,MATCH(E2240,'список ID из СУЭ с должностями'!$B:$B,0),5)</f>
        <v>0</v>
      </c>
    </row>
    <row r="2241" spans="1:15" ht="75">
      <c r="A2241" s="3" t="s">
        <v>10</v>
      </c>
      <c r="B2241" s="3" t="s">
        <v>11</v>
      </c>
      <c r="C2241" s="4">
        <v>2026</v>
      </c>
      <c r="D2241" s="5" t="s">
        <v>12</v>
      </c>
      <c r="E2241" s="4">
        <v>311</v>
      </c>
      <c r="F2241" s="4" t="s">
        <v>88</v>
      </c>
      <c r="G2241" s="4" t="s">
        <v>85</v>
      </c>
      <c r="H2241" s="4" t="s">
        <v>15</v>
      </c>
      <c r="I2241" s="4" t="s">
        <v>1114</v>
      </c>
      <c r="J2241" s="4" t="s">
        <v>2466</v>
      </c>
      <c r="K2241" s="4" t="s">
        <v>30</v>
      </c>
      <c r="L2241" s="4" t="s">
        <v>3742</v>
      </c>
      <c r="M2241" s="4" t="s">
        <v>3746</v>
      </c>
      <c r="N2241" s="4" t="s">
        <v>3747</v>
      </c>
      <c r="O2241" s="17">
        <f>INDEX('список ID из СУЭ с должностями'!$A:$F,MATCH(E2241,'список ID из СУЭ с должностями'!$B:$B,0),5)</f>
        <v>0</v>
      </c>
    </row>
    <row r="2242" spans="1:15" ht="75">
      <c r="A2242" s="3" t="s">
        <v>10</v>
      </c>
      <c r="B2242" s="3" t="s">
        <v>11</v>
      </c>
      <c r="C2242" s="4">
        <v>2026</v>
      </c>
      <c r="D2242" s="5" t="s">
        <v>12</v>
      </c>
      <c r="E2242" s="4">
        <v>311</v>
      </c>
      <c r="F2242" s="4" t="s">
        <v>88</v>
      </c>
      <c r="G2242" s="4" t="s">
        <v>85</v>
      </c>
      <c r="H2242" s="4" t="s">
        <v>15</v>
      </c>
      <c r="I2242" s="4" t="s">
        <v>1995</v>
      </c>
      <c r="J2242" s="4" t="s">
        <v>378</v>
      </c>
      <c r="K2242" s="4" t="s">
        <v>30</v>
      </c>
      <c r="L2242" s="4" t="s">
        <v>3742</v>
      </c>
      <c r="M2242" s="4" t="s">
        <v>3746</v>
      </c>
      <c r="N2242" s="4" t="s">
        <v>3747</v>
      </c>
      <c r="O2242" s="17">
        <f>INDEX('список ID из СУЭ с должностями'!$A:$F,MATCH(E2242,'список ID из СУЭ с должностями'!$B:$B,0),5)</f>
        <v>0</v>
      </c>
    </row>
    <row r="2243" spans="1:15" ht="225">
      <c r="A2243" s="3" t="s">
        <v>10</v>
      </c>
      <c r="B2243" s="3" t="s">
        <v>11</v>
      </c>
      <c r="C2243" s="4">
        <v>2026</v>
      </c>
      <c r="D2243" s="5" t="s">
        <v>12</v>
      </c>
      <c r="E2243" s="4">
        <v>311</v>
      </c>
      <c r="F2243" s="4" t="s">
        <v>88</v>
      </c>
      <c r="G2243" s="4" t="s">
        <v>85</v>
      </c>
      <c r="H2243" s="4" t="s">
        <v>15</v>
      </c>
      <c r="I2243" s="4" t="s">
        <v>2467</v>
      </c>
      <c r="J2243" s="4" t="s">
        <v>2468</v>
      </c>
      <c r="K2243" s="4" t="s">
        <v>30</v>
      </c>
      <c r="L2243" s="4" t="s">
        <v>3743</v>
      </c>
      <c r="M2243" s="4" t="s">
        <v>3746</v>
      </c>
      <c r="N2243" s="4" t="s">
        <v>3747</v>
      </c>
      <c r="O2243" s="17">
        <f>INDEX('список ID из СУЭ с должностями'!$A:$F,MATCH(E2243,'список ID из СУЭ с должностями'!$B:$B,0),5)</f>
        <v>0</v>
      </c>
    </row>
    <row r="2244" spans="1:15" ht="75">
      <c r="A2244" s="3" t="s">
        <v>10</v>
      </c>
      <c r="B2244" s="3" t="s">
        <v>11</v>
      </c>
      <c r="C2244" s="4">
        <v>2026</v>
      </c>
      <c r="D2244" s="5" t="s">
        <v>12</v>
      </c>
      <c r="E2244" s="4">
        <v>311</v>
      </c>
      <c r="F2244" s="4" t="s">
        <v>88</v>
      </c>
      <c r="G2244" s="4" t="s">
        <v>85</v>
      </c>
      <c r="H2244" s="4" t="s">
        <v>15</v>
      </c>
      <c r="I2244" s="4" t="s">
        <v>26</v>
      </c>
      <c r="J2244" s="4" t="s">
        <v>27</v>
      </c>
      <c r="K2244" s="4" t="s">
        <v>25</v>
      </c>
      <c r="L2244" s="4" t="s">
        <v>3743</v>
      </c>
      <c r="M2244" s="4" t="s">
        <v>3746</v>
      </c>
      <c r="N2244" s="4" t="s">
        <v>3747</v>
      </c>
      <c r="O2244" s="17">
        <f>INDEX('список ID из СУЭ с должностями'!$A:$F,MATCH(E2244,'список ID из СУЭ с должностями'!$B:$B,0),5)</f>
        <v>0</v>
      </c>
    </row>
    <row r="2245" spans="1:15" ht="75">
      <c r="A2245" s="3" t="s">
        <v>10</v>
      </c>
      <c r="B2245" s="3" t="s">
        <v>11</v>
      </c>
      <c r="C2245" s="4">
        <v>2026</v>
      </c>
      <c r="D2245" s="5" t="s">
        <v>12</v>
      </c>
      <c r="E2245" s="4">
        <v>311</v>
      </c>
      <c r="F2245" s="4" t="s">
        <v>88</v>
      </c>
      <c r="G2245" s="4" t="s">
        <v>85</v>
      </c>
      <c r="H2245" s="4" t="s">
        <v>15</v>
      </c>
      <c r="I2245" s="4" t="s">
        <v>1112</v>
      </c>
      <c r="J2245" s="4" t="s">
        <v>109</v>
      </c>
      <c r="K2245" s="4" t="s">
        <v>30</v>
      </c>
      <c r="L2245" s="4" t="s">
        <v>3742</v>
      </c>
      <c r="M2245" s="4" t="s">
        <v>3746</v>
      </c>
      <c r="N2245" s="4" t="s">
        <v>3747</v>
      </c>
      <c r="O2245" s="17">
        <f>INDEX('список ID из СУЭ с должностями'!$A:$F,MATCH(E2245,'список ID из СУЭ с должностями'!$B:$B,0),5)</f>
        <v>0</v>
      </c>
    </row>
    <row r="2246" spans="1:15" ht="195">
      <c r="A2246" s="3" t="s">
        <v>10</v>
      </c>
      <c r="B2246" s="3" t="s">
        <v>11</v>
      </c>
      <c r="C2246" s="4">
        <v>2026</v>
      </c>
      <c r="D2246" s="5" t="s">
        <v>12</v>
      </c>
      <c r="E2246" s="4">
        <v>311</v>
      </c>
      <c r="F2246" s="4" t="s">
        <v>88</v>
      </c>
      <c r="G2246" s="4" t="s">
        <v>85</v>
      </c>
      <c r="H2246" s="4" t="s">
        <v>15</v>
      </c>
      <c r="I2246" s="4" t="s">
        <v>2469</v>
      </c>
      <c r="J2246" s="4" t="s">
        <v>2470</v>
      </c>
      <c r="K2246" s="4" t="s">
        <v>38</v>
      </c>
      <c r="L2246" s="4" t="s">
        <v>3743</v>
      </c>
      <c r="M2246" s="4" t="s">
        <v>3746</v>
      </c>
      <c r="N2246" s="4" t="s">
        <v>3747</v>
      </c>
      <c r="O2246" s="17">
        <f>INDEX('список ID из СУЭ с должностями'!$A:$F,MATCH(E2246,'список ID из СУЭ с должностями'!$B:$B,0),5)</f>
        <v>0</v>
      </c>
    </row>
    <row r="2247" spans="1:15" ht="409.5">
      <c r="A2247" s="3" t="s">
        <v>10</v>
      </c>
      <c r="B2247" s="3" t="s">
        <v>11</v>
      </c>
      <c r="C2247" s="4">
        <v>2026</v>
      </c>
      <c r="D2247" s="5" t="s">
        <v>12</v>
      </c>
      <c r="E2247" s="4">
        <v>311</v>
      </c>
      <c r="F2247" s="4" t="s">
        <v>88</v>
      </c>
      <c r="G2247" s="4" t="s">
        <v>85</v>
      </c>
      <c r="H2247" s="4" t="s">
        <v>15</v>
      </c>
      <c r="I2247" s="4" t="s">
        <v>28</v>
      </c>
      <c r="J2247" s="4" t="s">
        <v>2471</v>
      </c>
      <c r="K2247" s="4" t="s">
        <v>30</v>
      </c>
      <c r="L2247" s="4" t="s">
        <v>3743</v>
      </c>
      <c r="M2247" s="4" t="s">
        <v>3746</v>
      </c>
      <c r="N2247" s="4" t="s">
        <v>3747</v>
      </c>
      <c r="O2247" s="17">
        <f>INDEX('список ID из СУЭ с должностями'!$A:$F,MATCH(E2247,'список ID из СУЭ с должностями'!$B:$B,0),5)</f>
        <v>0</v>
      </c>
    </row>
    <row r="2248" spans="1:15" ht="75">
      <c r="A2248" s="3" t="s">
        <v>10</v>
      </c>
      <c r="B2248" s="3" t="s">
        <v>11</v>
      </c>
      <c r="C2248" s="4">
        <v>2026</v>
      </c>
      <c r="D2248" s="5" t="s">
        <v>12</v>
      </c>
      <c r="E2248" s="4">
        <v>311</v>
      </c>
      <c r="F2248" s="4" t="s">
        <v>88</v>
      </c>
      <c r="G2248" s="4" t="s">
        <v>85</v>
      </c>
      <c r="H2248" s="4" t="s">
        <v>15</v>
      </c>
      <c r="I2248" s="4" t="s">
        <v>31</v>
      </c>
      <c r="J2248" s="4" t="s">
        <v>32</v>
      </c>
      <c r="K2248" s="4" t="s">
        <v>30</v>
      </c>
      <c r="L2248" s="4" t="s">
        <v>3742</v>
      </c>
      <c r="M2248" s="4" t="s">
        <v>3746</v>
      </c>
      <c r="N2248" s="4" t="s">
        <v>3747</v>
      </c>
      <c r="O2248" s="17">
        <f>INDEX('список ID из СУЭ с должностями'!$A:$F,MATCH(E2248,'список ID из СУЭ с должностями'!$B:$B,0),5)</f>
        <v>0</v>
      </c>
    </row>
    <row r="2249" spans="1:15" ht="150">
      <c r="A2249" s="3" t="s">
        <v>10</v>
      </c>
      <c r="B2249" s="3" t="s">
        <v>11</v>
      </c>
      <c r="C2249" s="4">
        <v>2026</v>
      </c>
      <c r="D2249" s="5" t="s">
        <v>12</v>
      </c>
      <c r="E2249" s="4">
        <v>311</v>
      </c>
      <c r="F2249" s="4" t="s">
        <v>88</v>
      </c>
      <c r="G2249" s="4" t="s">
        <v>85</v>
      </c>
      <c r="H2249" s="4" t="s">
        <v>15</v>
      </c>
      <c r="I2249" s="4" t="s">
        <v>36</v>
      </c>
      <c r="J2249" s="4" t="s">
        <v>37</v>
      </c>
      <c r="K2249" s="4" t="s">
        <v>38</v>
      </c>
      <c r="L2249" s="4" t="s">
        <v>3743</v>
      </c>
      <c r="M2249" s="4" t="s">
        <v>3746</v>
      </c>
      <c r="N2249" s="4" t="s">
        <v>3747</v>
      </c>
      <c r="O2249" s="17">
        <f>INDEX('список ID из СУЭ с должностями'!$A:$F,MATCH(E2249,'список ID из СУЭ с должностями'!$B:$B,0),5)</f>
        <v>0</v>
      </c>
    </row>
    <row r="2250" spans="1:15" ht="165">
      <c r="A2250" s="3" t="s">
        <v>10</v>
      </c>
      <c r="B2250" s="3" t="s">
        <v>11</v>
      </c>
      <c r="C2250" s="4">
        <v>2026</v>
      </c>
      <c r="D2250" s="5" t="s">
        <v>12</v>
      </c>
      <c r="E2250" s="4">
        <v>312</v>
      </c>
      <c r="F2250" s="4" t="s">
        <v>2472</v>
      </c>
      <c r="G2250" s="4" t="s">
        <v>2429</v>
      </c>
      <c r="H2250" s="4" t="s">
        <v>41</v>
      </c>
      <c r="I2250" s="4" t="s">
        <v>2473</v>
      </c>
      <c r="J2250" s="4" t="s">
        <v>2474</v>
      </c>
      <c r="K2250" s="4" t="s">
        <v>20</v>
      </c>
      <c r="L2250" s="4" t="s">
        <v>3743</v>
      </c>
      <c r="M2250" s="4" t="s">
        <v>3746</v>
      </c>
      <c r="N2250" s="4" t="s">
        <v>3747</v>
      </c>
      <c r="O2250" s="17">
        <f>INDEX('список ID из СУЭ с должностями'!$A:$F,MATCH(E2250,'список ID из СУЭ с должностями'!$B:$B,0),5)</f>
        <v>0</v>
      </c>
    </row>
    <row r="2251" spans="1:15" ht="135">
      <c r="A2251" s="3" t="s">
        <v>10</v>
      </c>
      <c r="B2251" s="3" t="s">
        <v>11</v>
      </c>
      <c r="C2251" s="4">
        <v>2026</v>
      </c>
      <c r="D2251" s="5" t="s">
        <v>12</v>
      </c>
      <c r="E2251" s="4">
        <v>312</v>
      </c>
      <c r="F2251" s="4" t="s">
        <v>2472</v>
      </c>
      <c r="G2251" s="4" t="s">
        <v>2429</v>
      </c>
      <c r="H2251" s="4" t="s">
        <v>15</v>
      </c>
      <c r="I2251" s="4" t="s">
        <v>358</v>
      </c>
      <c r="J2251" s="4" t="s">
        <v>2475</v>
      </c>
      <c r="K2251" s="4" t="s">
        <v>151</v>
      </c>
      <c r="L2251" s="4" t="s">
        <v>3743</v>
      </c>
      <c r="M2251" s="4" t="s">
        <v>3746</v>
      </c>
      <c r="N2251" s="4" t="s">
        <v>3747</v>
      </c>
      <c r="O2251" s="17">
        <f>INDEX('список ID из СУЭ с должностями'!$A:$F,MATCH(E2251,'список ID из СУЭ с должностями'!$B:$B,0),5)</f>
        <v>0</v>
      </c>
    </row>
    <row r="2252" spans="1:15" ht="135">
      <c r="A2252" s="3" t="s">
        <v>10</v>
      </c>
      <c r="B2252" s="3" t="s">
        <v>11</v>
      </c>
      <c r="C2252" s="4">
        <v>2026</v>
      </c>
      <c r="D2252" s="5" t="s">
        <v>12</v>
      </c>
      <c r="E2252" s="4">
        <v>312</v>
      </c>
      <c r="F2252" s="4" t="s">
        <v>2472</v>
      </c>
      <c r="G2252" s="4" t="s">
        <v>2429</v>
      </c>
      <c r="H2252" s="4" t="s">
        <v>15</v>
      </c>
      <c r="I2252" s="4" t="s">
        <v>460</v>
      </c>
      <c r="J2252" s="4" t="s">
        <v>2476</v>
      </c>
      <c r="K2252" s="4" t="s">
        <v>38</v>
      </c>
      <c r="L2252" s="4" t="s">
        <v>3743</v>
      </c>
      <c r="M2252" s="4" t="s">
        <v>3746</v>
      </c>
      <c r="N2252" s="4" t="s">
        <v>3747</v>
      </c>
      <c r="O2252" s="17">
        <f>INDEX('список ID из СУЭ с должностями'!$A:$F,MATCH(E2252,'список ID из СУЭ с должностями'!$B:$B,0),5)</f>
        <v>0</v>
      </c>
    </row>
    <row r="2253" spans="1:15" ht="135">
      <c r="A2253" s="3" t="s">
        <v>10</v>
      </c>
      <c r="B2253" s="3" t="s">
        <v>11</v>
      </c>
      <c r="C2253" s="4">
        <v>2026</v>
      </c>
      <c r="D2253" s="5" t="s">
        <v>12</v>
      </c>
      <c r="E2253" s="4">
        <v>312</v>
      </c>
      <c r="F2253" s="4" t="s">
        <v>2472</v>
      </c>
      <c r="G2253" s="4" t="s">
        <v>2429</v>
      </c>
      <c r="H2253" s="4" t="s">
        <v>21</v>
      </c>
      <c r="I2253" s="4" t="s">
        <v>2432</v>
      </c>
      <c r="J2253" s="4" t="s">
        <v>2433</v>
      </c>
      <c r="K2253" s="4" t="s">
        <v>25</v>
      </c>
      <c r="L2253" s="4" t="s">
        <v>3743</v>
      </c>
      <c r="M2253" s="4" t="s">
        <v>3746</v>
      </c>
      <c r="N2253" s="4" t="s">
        <v>3747</v>
      </c>
      <c r="O2253" s="17">
        <f>INDEX('список ID из СУЭ с должностями'!$A:$F,MATCH(E2253,'список ID из СУЭ с должностями'!$B:$B,0),5)</f>
        <v>0</v>
      </c>
    </row>
    <row r="2254" spans="1:15" ht="150">
      <c r="A2254" s="3" t="s">
        <v>10</v>
      </c>
      <c r="B2254" s="3" t="s">
        <v>11</v>
      </c>
      <c r="C2254" s="4">
        <v>2026</v>
      </c>
      <c r="D2254" s="5" t="s">
        <v>12</v>
      </c>
      <c r="E2254" s="4">
        <v>312</v>
      </c>
      <c r="F2254" s="4" t="s">
        <v>2472</v>
      </c>
      <c r="G2254" s="4" t="s">
        <v>2429</v>
      </c>
      <c r="H2254" s="4" t="s">
        <v>15</v>
      </c>
      <c r="I2254" s="4" t="s">
        <v>147</v>
      </c>
      <c r="J2254" s="4" t="s">
        <v>2477</v>
      </c>
      <c r="K2254" s="4" t="s">
        <v>35</v>
      </c>
      <c r="L2254" s="4" t="s">
        <v>3743</v>
      </c>
      <c r="M2254" s="4" t="s">
        <v>3746</v>
      </c>
      <c r="N2254" s="4" t="s">
        <v>3747</v>
      </c>
      <c r="O2254" s="17">
        <f>INDEX('список ID из СУЭ с должностями'!$A:$F,MATCH(E2254,'список ID из СУЭ с должностями'!$B:$B,0),5)</f>
        <v>0</v>
      </c>
    </row>
    <row r="2255" spans="1:15" ht="135">
      <c r="A2255" s="3" t="s">
        <v>10</v>
      </c>
      <c r="B2255" s="3" t="s">
        <v>11</v>
      </c>
      <c r="C2255" s="4">
        <v>2026</v>
      </c>
      <c r="D2255" s="5" t="s">
        <v>12</v>
      </c>
      <c r="E2255" s="4">
        <v>312</v>
      </c>
      <c r="F2255" s="4" t="s">
        <v>2472</v>
      </c>
      <c r="G2255" s="4" t="s">
        <v>2429</v>
      </c>
      <c r="H2255" s="4" t="s">
        <v>15</v>
      </c>
      <c r="I2255" s="4" t="s">
        <v>149</v>
      </c>
      <c r="J2255" s="4" t="s">
        <v>2478</v>
      </c>
      <c r="K2255" s="4" t="s">
        <v>52</v>
      </c>
      <c r="L2255" s="4" t="s">
        <v>3743</v>
      </c>
      <c r="M2255" s="4" t="s">
        <v>3746</v>
      </c>
      <c r="N2255" s="4" t="s">
        <v>3747</v>
      </c>
      <c r="O2255" s="17">
        <f>INDEX('список ID из СУЭ с должностями'!$A:$F,MATCH(E2255,'список ID из СУЭ с должностями'!$B:$B,0),5)</f>
        <v>0</v>
      </c>
    </row>
    <row r="2256" spans="1:15" ht="195">
      <c r="A2256" s="3" t="s">
        <v>10</v>
      </c>
      <c r="B2256" s="3" t="s">
        <v>11</v>
      </c>
      <c r="C2256" s="4">
        <v>2026</v>
      </c>
      <c r="D2256" s="5" t="s">
        <v>12</v>
      </c>
      <c r="E2256" s="4">
        <v>312</v>
      </c>
      <c r="F2256" s="4" t="s">
        <v>2472</v>
      </c>
      <c r="G2256" s="4" t="s">
        <v>2429</v>
      </c>
      <c r="H2256" s="4" t="s">
        <v>15</v>
      </c>
      <c r="I2256" s="4" t="s">
        <v>303</v>
      </c>
      <c r="J2256" s="4" t="s">
        <v>2479</v>
      </c>
      <c r="K2256" s="4" t="s">
        <v>55</v>
      </c>
      <c r="L2256" s="4" t="s">
        <v>3743</v>
      </c>
      <c r="M2256" s="4" t="s">
        <v>3746</v>
      </c>
      <c r="N2256" s="4" t="s">
        <v>3747</v>
      </c>
      <c r="O2256" s="17">
        <f>INDEX('список ID из СУЭ с должностями'!$A:$F,MATCH(E2256,'список ID из СУЭ с должностями'!$B:$B,0),5)</f>
        <v>0</v>
      </c>
    </row>
    <row r="2257" spans="1:15" ht="60">
      <c r="A2257" s="3" t="s">
        <v>10</v>
      </c>
      <c r="B2257" s="3" t="s">
        <v>11</v>
      </c>
      <c r="C2257" s="4">
        <v>2026</v>
      </c>
      <c r="D2257" s="5" t="s">
        <v>12</v>
      </c>
      <c r="E2257" s="4">
        <v>313</v>
      </c>
      <c r="F2257" s="4" t="s">
        <v>385</v>
      </c>
      <c r="G2257" s="4" t="s">
        <v>1540</v>
      </c>
      <c r="H2257" s="4" t="s">
        <v>41</v>
      </c>
      <c r="I2257" s="4" t="s">
        <v>2127</v>
      </c>
      <c r="J2257" s="4" t="s">
        <v>2128</v>
      </c>
      <c r="K2257" s="4" t="s">
        <v>52</v>
      </c>
      <c r="L2257" s="4" t="s">
        <v>3743</v>
      </c>
      <c r="M2257" s="4" t="s">
        <v>3746</v>
      </c>
      <c r="N2257" s="4" t="s">
        <v>3747</v>
      </c>
      <c r="O2257" s="17">
        <f>INDEX('список ID из СУЭ с должностями'!$A:$F,MATCH(E2257,'список ID из СУЭ с должностями'!$B:$B,0),5)</f>
        <v>0</v>
      </c>
    </row>
    <row r="2258" spans="1:15" ht="120">
      <c r="A2258" s="3" t="s">
        <v>10</v>
      </c>
      <c r="B2258" s="3" t="s">
        <v>11</v>
      </c>
      <c r="C2258" s="4">
        <v>2026</v>
      </c>
      <c r="D2258" s="5" t="s">
        <v>12</v>
      </c>
      <c r="E2258" s="4">
        <v>313</v>
      </c>
      <c r="F2258" s="4" t="s">
        <v>385</v>
      </c>
      <c r="G2258" s="4" t="s">
        <v>1540</v>
      </c>
      <c r="H2258" s="4" t="s">
        <v>15</v>
      </c>
      <c r="I2258" s="4" t="s">
        <v>1550</v>
      </c>
      <c r="J2258" s="4" t="s">
        <v>1551</v>
      </c>
      <c r="K2258" s="4" t="s">
        <v>35</v>
      </c>
      <c r="L2258" s="4" t="s">
        <v>3743</v>
      </c>
      <c r="M2258" s="4" t="s">
        <v>3746</v>
      </c>
      <c r="N2258" s="4" t="s">
        <v>3747</v>
      </c>
      <c r="O2258" s="17">
        <f>INDEX('список ID из СУЭ с должностями'!$A:$F,MATCH(E2258,'список ID из СУЭ с должностями'!$B:$B,0),5)</f>
        <v>0</v>
      </c>
    </row>
    <row r="2259" spans="1:15" ht="60">
      <c r="A2259" s="3" t="s">
        <v>10</v>
      </c>
      <c r="B2259" s="3" t="s">
        <v>11</v>
      </c>
      <c r="C2259" s="4">
        <v>2026</v>
      </c>
      <c r="D2259" s="5" t="s">
        <v>12</v>
      </c>
      <c r="E2259" s="4">
        <v>313</v>
      </c>
      <c r="F2259" s="4" t="s">
        <v>385</v>
      </c>
      <c r="G2259" s="4" t="s">
        <v>1540</v>
      </c>
      <c r="H2259" s="4" t="s">
        <v>15</v>
      </c>
      <c r="I2259" s="4" t="s">
        <v>1546</v>
      </c>
      <c r="J2259" s="4" t="s">
        <v>2480</v>
      </c>
      <c r="K2259" s="4" t="s">
        <v>52</v>
      </c>
      <c r="L2259" s="4" t="s">
        <v>3743</v>
      </c>
      <c r="M2259" s="4" t="s">
        <v>3746</v>
      </c>
      <c r="N2259" s="4" t="s">
        <v>3747</v>
      </c>
      <c r="O2259" s="17">
        <f>INDEX('список ID из СУЭ с должностями'!$A:$F,MATCH(E2259,'список ID из СУЭ с должностями'!$B:$B,0),5)</f>
        <v>0</v>
      </c>
    </row>
    <row r="2260" spans="1:15" ht="75">
      <c r="A2260" s="3" t="s">
        <v>10</v>
      </c>
      <c r="B2260" s="3" t="s">
        <v>11</v>
      </c>
      <c r="C2260" s="4">
        <v>2026</v>
      </c>
      <c r="D2260" s="5" t="s">
        <v>12</v>
      </c>
      <c r="E2260" s="4">
        <v>313</v>
      </c>
      <c r="F2260" s="4" t="s">
        <v>385</v>
      </c>
      <c r="G2260" s="4" t="s">
        <v>1540</v>
      </c>
      <c r="H2260" s="4" t="s">
        <v>15</v>
      </c>
      <c r="I2260" s="4" t="s">
        <v>1544</v>
      </c>
      <c r="J2260" s="4" t="s">
        <v>2481</v>
      </c>
      <c r="K2260" s="4" t="s">
        <v>25</v>
      </c>
      <c r="L2260" s="4" t="s">
        <v>3743</v>
      </c>
      <c r="M2260" s="4" t="s">
        <v>3746</v>
      </c>
      <c r="N2260" s="4" t="s">
        <v>3747</v>
      </c>
      <c r="O2260" s="17">
        <f>INDEX('список ID из СУЭ с должностями'!$A:$F,MATCH(E2260,'список ID из СУЭ с должностями'!$B:$B,0),5)</f>
        <v>0</v>
      </c>
    </row>
    <row r="2261" spans="1:15" ht="165">
      <c r="A2261" s="3" t="s">
        <v>10</v>
      </c>
      <c r="B2261" s="3" t="s">
        <v>11</v>
      </c>
      <c r="C2261" s="4">
        <v>2026</v>
      </c>
      <c r="D2261" s="5" t="s">
        <v>12</v>
      </c>
      <c r="E2261" s="4">
        <v>313</v>
      </c>
      <c r="F2261" s="4" t="s">
        <v>385</v>
      </c>
      <c r="G2261" s="4" t="s">
        <v>1540</v>
      </c>
      <c r="H2261" s="4" t="s">
        <v>15</v>
      </c>
      <c r="I2261" s="4" t="s">
        <v>1541</v>
      </c>
      <c r="J2261" s="4" t="s">
        <v>2482</v>
      </c>
      <c r="K2261" s="4" t="s">
        <v>52</v>
      </c>
      <c r="L2261" s="4" t="s">
        <v>3743</v>
      </c>
      <c r="M2261" s="4" t="s">
        <v>3746</v>
      </c>
      <c r="N2261" s="4" t="s">
        <v>3747</v>
      </c>
      <c r="O2261" s="17">
        <f>INDEX('список ID из СУЭ с должностями'!$A:$F,MATCH(E2261,'список ID из СУЭ с должностями'!$B:$B,0),5)</f>
        <v>0</v>
      </c>
    </row>
    <row r="2262" spans="1:15" ht="150">
      <c r="A2262" s="3" t="s">
        <v>10</v>
      </c>
      <c r="B2262" s="3" t="s">
        <v>11</v>
      </c>
      <c r="C2262" s="4">
        <v>2026</v>
      </c>
      <c r="D2262" s="5" t="s">
        <v>12</v>
      </c>
      <c r="E2262" s="4">
        <v>313</v>
      </c>
      <c r="F2262" s="4" t="s">
        <v>385</v>
      </c>
      <c r="G2262" s="4" t="s">
        <v>1540</v>
      </c>
      <c r="H2262" s="4" t="s">
        <v>15</v>
      </c>
      <c r="I2262" s="4" t="s">
        <v>1548</v>
      </c>
      <c r="J2262" s="4" t="s">
        <v>1549</v>
      </c>
      <c r="K2262" s="4" t="s">
        <v>66</v>
      </c>
      <c r="L2262" s="4" t="s">
        <v>3743</v>
      </c>
      <c r="M2262" s="4" t="s">
        <v>3746</v>
      </c>
      <c r="N2262" s="4" t="s">
        <v>3747</v>
      </c>
      <c r="O2262" s="17">
        <f>INDEX('список ID из СУЭ с должностями'!$A:$F,MATCH(E2262,'список ID из СУЭ с должностями'!$B:$B,0),5)</f>
        <v>0</v>
      </c>
    </row>
    <row r="2263" spans="1:15" ht="60">
      <c r="A2263" s="3" t="s">
        <v>10</v>
      </c>
      <c r="B2263" s="3" t="s">
        <v>11</v>
      </c>
      <c r="C2263" s="4">
        <v>2026</v>
      </c>
      <c r="D2263" s="5" t="s">
        <v>12</v>
      </c>
      <c r="E2263" s="4">
        <v>314</v>
      </c>
      <c r="F2263" s="4" t="s">
        <v>2483</v>
      </c>
      <c r="G2263" s="4" t="s">
        <v>19</v>
      </c>
      <c r="H2263" s="4" t="s">
        <v>15</v>
      </c>
      <c r="I2263" s="4" t="s">
        <v>2484</v>
      </c>
      <c r="J2263" s="4" t="s">
        <v>109</v>
      </c>
      <c r="K2263" s="4" t="s">
        <v>66</v>
      </c>
      <c r="L2263" s="4" t="s">
        <v>3742</v>
      </c>
      <c r="M2263" s="4" t="s">
        <v>3746</v>
      </c>
      <c r="N2263" s="4" t="s">
        <v>3747</v>
      </c>
      <c r="O2263" s="17">
        <f>INDEX('список ID из СУЭ с должностями'!$A:$F,MATCH(E2263,'список ID из СУЭ с должностями'!$B:$B,0),5)</f>
        <v>0</v>
      </c>
    </row>
    <row r="2264" spans="1:15" ht="60">
      <c r="A2264" s="3" t="s">
        <v>10</v>
      </c>
      <c r="B2264" s="3" t="s">
        <v>11</v>
      </c>
      <c r="C2264" s="4">
        <v>2026</v>
      </c>
      <c r="D2264" s="5" t="s">
        <v>12</v>
      </c>
      <c r="E2264" s="4">
        <v>314</v>
      </c>
      <c r="F2264" s="4" t="s">
        <v>2483</v>
      </c>
      <c r="G2264" s="4" t="s">
        <v>19</v>
      </c>
      <c r="H2264" s="4" t="s">
        <v>15</v>
      </c>
      <c r="I2264" s="4" t="s">
        <v>2485</v>
      </c>
      <c r="J2264" s="4" t="s">
        <v>2486</v>
      </c>
      <c r="K2264" s="4" t="s">
        <v>66</v>
      </c>
      <c r="L2264" s="4" t="s">
        <v>3742</v>
      </c>
      <c r="M2264" s="4" t="s">
        <v>3746</v>
      </c>
      <c r="N2264" s="4" t="s">
        <v>3747</v>
      </c>
      <c r="O2264" s="17">
        <f>INDEX('список ID из СУЭ с должностями'!$A:$F,MATCH(E2264,'список ID из СУЭ с должностями'!$B:$B,0),5)</f>
        <v>0</v>
      </c>
    </row>
    <row r="2265" spans="1:15" ht="60">
      <c r="A2265" s="3" t="s">
        <v>10</v>
      </c>
      <c r="B2265" s="3" t="s">
        <v>11</v>
      </c>
      <c r="C2265" s="4">
        <v>2026</v>
      </c>
      <c r="D2265" s="5" t="s">
        <v>12</v>
      </c>
      <c r="E2265" s="4">
        <v>314</v>
      </c>
      <c r="F2265" s="4" t="s">
        <v>2483</v>
      </c>
      <c r="G2265" s="4" t="s">
        <v>19</v>
      </c>
      <c r="H2265" s="4" t="s">
        <v>15</v>
      </c>
      <c r="I2265" s="4" t="s">
        <v>2487</v>
      </c>
      <c r="J2265" s="4" t="s">
        <v>2488</v>
      </c>
      <c r="K2265" s="4" t="s">
        <v>188</v>
      </c>
      <c r="L2265" s="4" t="s">
        <v>3743</v>
      </c>
      <c r="M2265" s="4" t="s">
        <v>3746</v>
      </c>
      <c r="N2265" s="4" t="s">
        <v>3747</v>
      </c>
      <c r="O2265" s="17">
        <f>INDEX('список ID из СУЭ с должностями'!$A:$F,MATCH(E2265,'список ID из СУЭ с должностями'!$B:$B,0),5)</f>
        <v>0</v>
      </c>
    </row>
    <row r="2266" spans="1:15" ht="60">
      <c r="A2266" s="3" t="s">
        <v>10</v>
      </c>
      <c r="B2266" s="3" t="s">
        <v>11</v>
      </c>
      <c r="C2266" s="4">
        <v>2026</v>
      </c>
      <c r="D2266" s="5" t="s">
        <v>12</v>
      </c>
      <c r="E2266" s="4">
        <v>314</v>
      </c>
      <c r="F2266" s="4" t="s">
        <v>2483</v>
      </c>
      <c r="G2266" s="4" t="s">
        <v>19</v>
      </c>
      <c r="H2266" s="4" t="s">
        <v>15</v>
      </c>
      <c r="I2266" s="4" t="s">
        <v>2489</v>
      </c>
      <c r="J2266" s="4" t="s">
        <v>2490</v>
      </c>
      <c r="K2266" s="4" t="s">
        <v>35</v>
      </c>
      <c r="L2266" s="4" t="s">
        <v>3743</v>
      </c>
      <c r="M2266" s="4" t="s">
        <v>3746</v>
      </c>
      <c r="N2266" s="4" t="s">
        <v>3747</v>
      </c>
      <c r="O2266" s="17">
        <f>INDEX('список ID из СУЭ с должностями'!$A:$F,MATCH(E2266,'список ID из СУЭ с должностями'!$B:$B,0),5)</f>
        <v>0</v>
      </c>
    </row>
    <row r="2267" spans="1:15" ht="60">
      <c r="A2267" s="3" t="s">
        <v>10</v>
      </c>
      <c r="B2267" s="3" t="s">
        <v>11</v>
      </c>
      <c r="C2267" s="4">
        <v>2026</v>
      </c>
      <c r="D2267" s="5" t="s">
        <v>12</v>
      </c>
      <c r="E2267" s="4">
        <v>314</v>
      </c>
      <c r="F2267" s="4" t="s">
        <v>2483</v>
      </c>
      <c r="G2267" s="4" t="s">
        <v>19</v>
      </c>
      <c r="H2267" s="4" t="s">
        <v>15</v>
      </c>
      <c r="I2267" s="4" t="s">
        <v>2491</v>
      </c>
      <c r="J2267" s="4" t="s">
        <v>2492</v>
      </c>
      <c r="K2267" s="4" t="s">
        <v>66</v>
      </c>
      <c r="L2267" s="4" t="s">
        <v>3743</v>
      </c>
      <c r="M2267" s="4" t="s">
        <v>3746</v>
      </c>
      <c r="N2267" s="4" t="s">
        <v>3747</v>
      </c>
      <c r="O2267" s="17">
        <f>INDEX('список ID из СУЭ с должностями'!$A:$F,MATCH(E2267,'список ID из СУЭ с должностями'!$B:$B,0),5)</f>
        <v>0</v>
      </c>
    </row>
    <row r="2268" spans="1:15" ht="60">
      <c r="A2268" s="3" t="s">
        <v>10</v>
      </c>
      <c r="B2268" s="3" t="s">
        <v>11</v>
      </c>
      <c r="C2268" s="4">
        <v>2026</v>
      </c>
      <c r="D2268" s="5" t="s">
        <v>12</v>
      </c>
      <c r="E2268" s="4">
        <v>314</v>
      </c>
      <c r="F2268" s="4" t="s">
        <v>2483</v>
      </c>
      <c r="G2268" s="4" t="s">
        <v>19</v>
      </c>
      <c r="H2268" s="4" t="s">
        <v>15</v>
      </c>
      <c r="I2268" s="4" t="s">
        <v>1491</v>
      </c>
      <c r="J2268" s="4" t="s">
        <v>2493</v>
      </c>
      <c r="K2268" s="4" t="s">
        <v>66</v>
      </c>
      <c r="L2268" s="4" t="s">
        <v>3743</v>
      </c>
      <c r="M2268" s="4" t="s">
        <v>3746</v>
      </c>
      <c r="N2268" s="4" t="s">
        <v>3747</v>
      </c>
      <c r="O2268" s="17">
        <f>INDEX('список ID из СУЭ с должностями'!$A:$F,MATCH(E2268,'список ID из СУЭ с должностями'!$B:$B,0),5)</f>
        <v>0</v>
      </c>
    </row>
    <row r="2269" spans="1:15" ht="60">
      <c r="A2269" s="3" t="s">
        <v>10</v>
      </c>
      <c r="B2269" s="3" t="s">
        <v>11</v>
      </c>
      <c r="C2269" s="4">
        <v>2026</v>
      </c>
      <c r="D2269" s="5" t="s">
        <v>12</v>
      </c>
      <c r="E2269" s="4">
        <v>314</v>
      </c>
      <c r="F2269" s="4" t="s">
        <v>2483</v>
      </c>
      <c r="G2269" s="4" t="s">
        <v>19</v>
      </c>
      <c r="H2269" s="4" t="s">
        <v>15</v>
      </c>
      <c r="I2269" s="4" t="s">
        <v>2494</v>
      </c>
      <c r="J2269" s="4" t="s">
        <v>2495</v>
      </c>
      <c r="K2269" s="4" t="s">
        <v>66</v>
      </c>
      <c r="L2269" s="4" t="s">
        <v>3743</v>
      </c>
      <c r="M2269" s="4" t="s">
        <v>3746</v>
      </c>
      <c r="N2269" s="4" t="s">
        <v>3747</v>
      </c>
      <c r="O2269" s="17">
        <f>INDEX('список ID из СУЭ с должностями'!$A:$F,MATCH(E2269,'список ID из СУЭ с должностями'!$B:$B,0),5)</f>
        <v>0</v>
      </c>
    </row>
    <row r="2270" spans="1:15" ht="60">
      <c r="A2270" s="3" t="s">
        <v>10</v>
      </c>
      <c r="B2270" s="3" t="s">
        <v>11</v>
      </c>
      <c r="C2270" s="4">
        <v>2026</v>
      </c>
      <c r="D2270" s="5" t="s">
        <v>12</v>
      </c>
      <c r="E2270" s="4">
        <v>314</v>
      </c>
      <c r="F2270" s="4" t="s">
        <v>2483</v>
      </c>
      <c r="G2270" s="4" t="s">
        <v>19</v>
      </c>
      <c r="H2270" s="4" t="s">
        <v>15</v>
      </c>
      <c r="I2270" s="4" t="s">
        <v>2496</v>
      </c>
      <c r="J2270" s="4" t="s">
        <v>2497</v>
      </c>
      <c r="K2270" s="4" t="s">
        <v>66</v>
      </c>
      <c r="L2270" s="4" t="s">
        <v>3743</v>
      </c>
      <c r="M2270" s="4" t="s">
        <v>3746</v>
      </c>
      <c r="N2270" s="4" t="s">
        <v>3747</v>
      </c>
      <c r="O2270" s="17">
        <f>INDEX('список ID из СУЭ с должностями'!$A:$F,MATCH(E2270,'список ID из СУЭ с должностями'!$B:$B,0),5)</f>
        <v>0</v>
      </c>
    </row>
    <row r="2271" spans="1:15" ht="315">
      <c r="A2271" s="3" t="s">
        <v>10</v>
      </c>
      <c r="B2271" s="3" t="s">
        <v>11</v>
      </c>
      <c r="C2271" s="4">
        <v>2026</v>
      </c>
      <c r="D2271" s="5" t="s">
        <v>12</v>
      </c>
      <c r="E2271" s="4">
        <v>315</v>
      </c>
      <c r="F2271" s="4" t="s">
        <v>316</v>
      </c>
      <c r="G2271" s="4" t="s">
        <v>820</v>
      </c>
      <c r="H2271" s="4" t="s">
        <v>15</v>
      </c>
      <c r="I2271" s="4" t="s">
        <v>28</v>
      </c>
      <c r="J2271" s="4" t="s">
        <v>2196</v>
      </c>
      <c r="K2271" s="4" t="s">
        <v>38</v>
      </c>
      <c r="L2271" s="4" t="s">
        <v>3743</v>
      </c>
      <c r="M2271" s="4" t="s">
        <v>3746</v>
      </c>
      <c r="N2271" s="4" t="s">
        <v>3747</v>
      </c>
      <c r="O2271" s="17">
        <f>INDEX('список ID из СУЭ с должностями'!$A:$F,MATCH(E2271,'список ID из СУЭ с должностями'!$B:$B,0),5)</f>
        <v>0</v>
      </c>
    </row>
    <row r="2272" spans="1:15" ht="135">
      <c r="A2272" s="3" t="s">
        <v>10</v>
      </c>
      <c r="B2272" s="3" t="s">
        <v>11</v>
      </c>
      <c r="C2272" s="4">
        <v>2026</v>
      </c>
      <c r="D2272" s="5" t="s">
        <v>12</v>
      </c>
      <c r="E2272" s="4">
        <v>315</v>
      </c>
      <c r="F2272" s="4" t="s">
        <v>316</v>
      </c>
      <c r="G2272" s="4" t="s">
        <v>820</v>
      </c>
      <c r="H2272" s="4" t="s">
        <v>15</v>
      </c>
      <c r="I2272" s="4" t="s">
        <v>318</v>
      </c>
      <c r="J2272" s="4" t="s">
        <v>1205</v>
      </c>
      <c r="K2272" s="4" t="s">
        <v>25</v>
      </c>
      <c r="L2272" s="4" t="s">
        <v>3743</v>
      </c>
      <c r="M2272" s="4" t="s">
        <v>3746</v>
      </c>
      <c r="N2272" s="4" t="s">
        <v>3747</v>
      </c>
      <c r="O2272" s="17">
        <f>INDEX('список ID из СУЭ с должностями'!$A:$F,MATCH(E2272,'список ID из СУЭ с должностями'!$B:$B,0),5)</f>
        <v>0</v>
      </c>
    </row>
    <row r="2273" spans="1:15" ht="120">
      <c r="A2273" s="3" t="s">
        <v>10</v>
      </c>
      <c r="B2273" s="3" t="s">
        <v>11</v>
      </c>
      <c r="C2273" s="4">
        <v>2026</v>
      </c>
      <c r="D2273" s="5" t="s">
        <v>12</v>
      </c>
      <c r="E2273" s="4">
        <v>315</v>
      </c>
      <c r="F2273" s="4" t="s">
        <v>316</v>
      </c>
      <c r="G2273" s="4" t="s">
        <v>820</v>
      </c>
      <c r="H2273" s="4" t="s">
        <v>15</v>
      </c>
      <c r="I2273" s="4" t="s">
        <v>356</v>
      </c>
      <c r="J2273" s="4" t="s">
        <v>2200</v>
      </c>
      <c r="K2273" s="4" t="s">
        <v>25</v>
      </c>
      <c r="L2273" s="4" t="s">
        <v>3743</v>
      </c>
      <c r="M2273" s="4" t="s">
        <v>3746</v>
      </c>
      <c r="N2273" s="4" t="s">
        <v>3747</v>
      </c>
      <c r="O2273" s="17">
        <f>INDEX('список ID из СУЭ с должностями'!$A:$F,MATCH(E2273,'список ID из СУЭ с должностями'!$B:$B,0),5)</f>
        <v>0</v>
      </c>
    </row>
    <row r="2274" spans="1:15" ht="315">
      <c r="A2274" s="3" t="s">
        <v>10</v>
      </c>
      <c r="B2274" s="3" t="s">
        <v>11</v>
      </c>
      <c r="C2274" s="4">
        <v>2026</v>
      </c>
      <c r="D2274" s="5" t="s">
        <v>12</v>
      </c>
      <c r="E2274" s="4">
        <v>315</v>
      </c>
      <c r="F2274" s="4" t="s">
        <v>316</v>
      </c>
      <c r="G2274" s="4" t="s">
        <v>820</v>
      </c>
      <c r="H2274" s="4" t="s">
        <v>15</v>
      </c>
      <c r="I2274" s="4" t="s">
        <v>352</v>
      </c>
      <c r="J2274" s="4" t="s">
        <v>2199</v>
      </c>
      <c r="K2274" s="4" t="s">
        <v>25</v>
      </c>
      <c r="L2274" s="4" t="s">
        <v>3743</v>
      </c>
      <c r="M2274" s="4" t="s">
        <v>3746</v>
      </c>
      <c r="N2274" s="4" t="s">
        <v>3747</v>
      </c>
      <c r="O2274" s="17">
        <f>INDEX('список ID из СУЭ с должностями'!$A:$F,MATCH(E2274,'список ID из СУЭ с должностями'!$B:$B,0),5)</f>
        <v>0</v>
      </c>
    </row>
    <row r="2275" spans="1:15" ht="105">
      <c r="A2275" s="3" t="s">
        <v>10</v>
      </c>
      <c r="B2275" s="3" t="s">
        <v>11</v>
      </c>
      <c r="C2275" s="4">
        <v>2026</v>
      </c>
      <c r="D2275" s="5" t="s">
        <v>12</v>
      </c>
      <c r="E2275" s="4">
        <v>315</v>
      </c>
      <c r="F2275" s="4" t="s">
        <v>316</v>
      </c>
      <c r="G2275" s="4" t="s">
        <v>820</v>
      </c>
      <c r="H2275" s="4" t="s">
        <v>15</v>
      </c>
      <c r="I2275" s="4" t="s">
        <v>358</v>
      </c>
      <c r="J2275" s="4" t="s">
        <v>825</v>
      </c>
      <c r="K2275" s="4" t="s">
        <v>66</v>
      </c>
      <c r="L2275" s="4" t="s">
        <v>3743</v>
      </c>
      <c r="M2275" s="4" t="s">
        <v>3746</v>
      </c>
      <c r="N2275" s="4" t="s">
        <v>3747</v>
      </c>
      <c r="O2275" s="17">
        <f>INDEX('список ID из СУЭ с должностями'!$A:$F,MATCH(E2275,'список ID из СУЭ с должностями'!$B:$B,0),5)</f>
        <v>0</v>
      </c>
    </row>
    <row r="2276" spans="1:15" ht="165">
      <c r="A2276" s="3" t="s">
        <v>10</v>
      </c>
      <c r="B2276" s="3" t="s">
        <v>11</v>
      </c>
      <c r="C2276" s="4">
        <v>2026</v>
      </c>
      <c r="D2276" s="5" t="s">
        <v>12</v>
      </c>
      <c r="E2276" s="4">
        <v>315</v>
      </c>
      <c r="F2276" s="4" t="s">
        <v>316</v>
      </c>
      <c r="G2276" s="4" t="s">
        <v>820</v>
      </c>
      <c r="H2276" s="4" t="s">
        <v>15</v>
      </c>
      <c r="I2276" s="4" t="s">
        <v>325</v>
      </c>
      <c r="J2276" s="4" t="s">
        <v>827</v>
      </c>
      <c r="K2276" s="4" t="s">
        <v>35</v>
      </c>
      <c r="L2276" s="4" t="s">
        <v>3743</v>
      </c>
      <c r="M2276" s="4" t="s">
        <v>3746</v>
      </c>
      <c r="N2276" s="4" t="s">
        <v>3747</v>
      </c>
      <c r="O2276" s="17">
        <f>INDEX('список ID из СУЭ с должностями'!$A:$F,MATCH(E2276,'список ID из СУЭ с должностями'!$B:$B,0),5)</f>
        <v>0</v>
      </c>
    </row>
    <row r="2277" spans="1:15" ht="330">
      <c r="A2277" s="3" t="s">
        <v>10</v>
      </c>
      <c r="B2277" s="3" t="s">
        <v>11</v>
      </c>
      <c r="C2277" s="4">
        <v>2026</v>
      </c>
      <c r="D2277" s="5" t="s">
        <v>12</v>
      </c>
      <c r="E2277" s="4">
        <v>315</v>
      </c>
      <c r="F2277" s="4" t="s">
        <v>316</v>
      </c>
      <c r="G2277" s="4" t="s">
        <v>820</v>
      </c>
      <c r="H2277" s="4" t="s">
        <v>15</v>
      </c>
      <c r="I2277" s="4" t="s">
        <v>323</v>
      </c>
      <c r="J2277" s="4" t="s">
        <v>826</v>
      </c>
      <c r="K2277" s="4" t="s">
        <v>151</v>
      </c>
      <c r="L2277" s="4" t="s">
        <v>3743</v>
      </c>
      <c r="M2277" s="4" t="s">
        <v>3746</v>
      </c>
      <c r="N2277" s="4" t="s">
        <v>3747</v>
      </c>
      <c r="O2277" s="17">
        <f>INDEX('список ID из СУЭ с должностями'!$A:$F,MATCH(E2277,'список ID из СУЭ с должностями'!$B:$B,0),5)</f>
        <v>0</v>
      </c>
    </row>
    <row r="2278" spans="1:15" ht="409.5">
      <c r="A2278" s="3" t="s">
        <v>10</v>
      </c>
      <c r="B2278" s="3" t="s">
        <v>11</v>
      </c>
      <c r="C2278" s="4">
        <v>2026</v>
      </c>
      <c r="D2278" s="5" t="s">
        <v>12</v>
      </c>
      <c r="E2278" s="4">
        <v>315</v>
      </c>
      <c r="F2278" s="4" t="s">
        <v>316</v>
      </c>
      <c r="G2278" s="4" t="s">
        <v>820</v>
      </c>
      <c r="H2278" s="4" t="s">
        <v>15</v>
      </c>
      <c r="I2278" s="4" t="s">
        <v>354</v>
      </c>
      <c r="J2278" s="4" t="s">
        <v>2201</v>
      </c>
      <c r="K2278" s="4" t="s">
        <v>25</v>
      </c>
      <c r="L2278" s="4" t="s">
        <v>3743</v>
      </c>
      <c r="M2278" s="4" t="s">
        <v>3746</v>
      </c>
      <c r="N2278" s="4" t="s">
        <v>3747</v>
      </c>
      <c r="O2278" s="17">
        <f>INDEX('список ID из СУЭ с должностями'!$A:$F,MATCH(E2278,'список ID из СУЭ с должностями'!$B:$B,0),5)</f>
        <v>0</v>
      </c>
    </row>
    <row r="2279" spans="1:15" ht="165">
      <c r="A2279" s="3" t="s">
        <v>10</v>
      </c>
      <c r="B2279" s="3" t="s">
        <v>11</v>
      </c>
      <c r="C2279" s="4">
        <v>2026</v>
      </c>
      <c r="D2279" s="5" t="s">
        <v>12</v>
      </c>
      <c r="E2279" s="4">
        <v>316</v>
      </c>
      <c r="F2279" s="4" t="s">
        <v>239</v>
      </c>
      <c r="G2279" s="4" t="s">
        <v>2498</v>
      </c>
      <c r="H2279" s="4" t="s">
        <v>15</v>
      </c>
      <c r="I2279" s="4" t="s">
        <v>201</v>
      </c>
      <c r="J2279" s="4" t="s">
        <v>2499</v>
      </c>
      <c r="K2279" s="4" t="s">
        <v>188</v>
      </c>
      <c r="L2279" s="4" t="s">
        <v>3743</v>
      </c>
      <c r="M2279" s="4" t="s">
        <v>3746</v>
      </c>
      <c r="N2279" s="4" t="s">
        <v>3747</v>
      </c>
      <c r="O2279" s="17" t="str">
        <f>INDEX('список ID из СУЭ с должностями'!$A:$F,MATCH(E2279,'список ID из СУЭ с должностями'!$B:$B,0),5)</f>
        <v>ИПП</v>
      </c>
    </row>
    <row r="2280" spans="1:15" ht="75">
      <c r="A2280" s="3" t="s">
        <v>10</v>
      </c>
      <c r="B2280" s="3" t="s">
        <v>11</v>
      </c>
      <c r="C2280" s="4">
        <v>2026</v>
      </c>
      <c r="D2280" s="5" t="s">
        <v>12</v>
      </c>
      <c r="E2280" s="4">
        <v>316</v>
      </c>
      <c r="F2280" s="4" t="s">
        <v>239</v>
      </c>
      <c r="G2280" s="4" t="s">
        <v>2498</v>
      </c>
      <c r="H2280" s="4" t="s">
        <v>15</v>
      </c>
      <c r="I2280" s="4" t="s">
        <v>984</v>
      </c>
      <c r="J2280" s="4" t="s">
        <v>2500</v>
      </c>
      <c r="K2280" s="4" t="s">
        <v>66</v>
      </c>
      <c r="L2280" s="4" t="s">
        <v>3742</v>
      </c>
      <c r="M2280" s="4" t="s">
        <v>3746</v>
      </c>
      <c r="N2280" s="4" t="s">
        <v>3747</v>
      </c>
      <c r="O2280" s="17" t="str">
        <f>INDEX('список ID из СУЭ с должностями'!$A:$F,MATCH(E2280,'список ID из СУЭ с должностями'!$B:$B,0),5)</f>
        <v>ИПП</v>
      </c>
    </row>
    <row r="2281" spans="1:15" ht="90">
      <c r="A2281" s="3" t="s">
        <v>10</v>
      </c>
      <c r="B2281" s="3" t="s">
        <v>11</v>
      </c>
      <c r="C2281" s="4">
        <v>2026</v>
      </c>
      <c r="D2281" s="5" t="s">
        <v>12</v>
      </c>
      <c r="E2281" s="4">
        <v>316</v>
      </c>
      <c r="F2281" s="4" t="s">
        <v>239</v>
      </c>
      <c r="G2281" s="4" t="s">
        <v>2498</v>
      </c>
      <c r="H2281" s="4" t="s">
        <v>15</v>
      </c>
      <c r="I2281" s="4" t="s">
        <v>198</v>
      </c>
      <c r="J2281" s="4" t="s">
        <v>2501</v>
      </c>
      <c r="K2281" s="4" t="s">
        <v>20</v>
      </c>
      <c r="L2281" s="4" t="s">
        <v>3743</v>
      </c>
      <c r="M2281" s="4" t="s">
        <v>3746</v>
      </c>
      <c r="N2281" s="4" t="s">
        <v>3747</v>
      </c>
      <c r="O2281" s="17" t="str">
        <f>INDEX('список ID из СУЭ с должностями'!$A:$F,MATCH(E2281,'список ID из СУЭ с должностями'!$B:$B,0),5)</f>
        <v>ИПП</v>
      </c>
    </row>
    <row r="2282" spans="1:15" ht="285">
      <c r="A2282" s="3" t="s">
        <v>10</v>
      </c>
      <c r="B2282" s="3" t="s">
        <v>11</v>
      </c>
      <c r="C2282" s="4">
        <v>2026</v>
      </c>
      <c r="D2282" s="5" t="s">
        <v>12</v>
      </c>
      <c r="E2282" s="4">
        <v>316</v>
      </c>
      <c r="F2282" s="4" t="s">
        <v>239</v>
      </c>
      <c r="G2282" s="4" t="s">
        <v>2498</v>
      </c>
      <c r="H2282" s="4" t="s">
        <v>15</v>
      </c>
      <c r="I2282" s="4" t="s">
        <v>203</v>
      </c>
      <c r="J2282" s="4" t="s">
        <v>2502</v>
      </c>
      <c r="K2282" s="4" t="s">
        <v>35</v>
      </c>
      <c r="L2282" s="4" t="s">
        <v>3743</v>
      </c>
      <c r="M2282" s="4" t="s">
        <v>3746</v>
      </c>
      <c r="N2282" s="4" t="s">
        <v>3747</v>
      </c>
      <c r="O2282" s="17" t="str">
        <f>INDEX('список ID из СУЭ с должностями'!$A:$F,MATCH(E2282,'список ID из СУЭ с должностями'!$B:$B,0),5)</f>
        <v>ИПП</v>
      </c>
    </row>
    <row r="2283" spans="1:15" ht="75">
      <c r="A2283" s="3" t="s">
        <v>10</v>
      </c>
      <c r="B2283" s="3" t="s">
        <v>11</v>
      </c>
      <c r="C2283" s="4">
        <v>2026</v>
      </c>
      <c r="D2283" s="5" t="s">
        <v>12</v>
      </c>
      <c r="E2283" s="4">
        <v>316</v>
      </c>
      <c r="F2283" s="4" t="s">
        <v>239</v>
      </c>
      <c r="G2283" s="4" t="s">
        <v>2498</v>
      </c>
      <c r="H2283" s="4" t="s">
        <v>15</v>
      </c>
      <c r="I2283" s="4" t="s">
        <v>243</v>
      </c>
      <c r="J2283" s="4" t="s">
        <v>132</v>
      </c>
      <c r="K2283" s="4" t="s">
        <v>23</v>
      </c>
      <c r="L2283" s="4" t="s">
        <v>3742</v>
      </c>
      <c r="M2283" s="4" t="s">
        <v>3748</v>
      </c>
      <c r="N2283" s="4" t="s">
        <v>3752</v>
      </c>
      <c r="O2283" s="17" t="str">
        <f>INDEX('список ID из СУЭ с должностями'!$A:$F,MATCH(E2283,'список ID из СУЭ с должностями'!$B:$B,0),5)</f>
        <v>ИПП</v>
      </c>
    </row>
    <row r="2284" spans="1:15" ht="75">
      <c r="A2284" s="3" t="s">
        <v>10</v>
      </c>
      <c r="B2284" s="3" t="s">
        <v>11</v>
      </c>
      <c r="C2284" s="4">
        <v>2026</v>
      </c>
      <c r="D2284" s="5" t="s">
        <v>12</v>
      </c>
      <c r="E2284" s="4">
        <v>316</v>
      </c>
      <c r="F2284" s="4" t="s">
        <v>239</v>
      </c>
      <c r="G2284" s="4" t="s">
        <v>2498</v>
      </c>
      <c r="H2284" s="4" t="s">
        <v>15</v>
      </c>
      <c r="I2284" s="4" t="s">
        <v>2503</v>
      </c>
      <c r="J2284" s="4" t="s">
        <v>182</v>
      </c>
      <c r="K2284" s="4" t="s">
        <v>23</v>
      </c>
      <c r="L2284" s="4" t="s">
        <v>3742</v>
      </c>
      <c r="M2284" s="4" t="s">
        <v>3748</v>
      </c>
      <c r="N2284" s="4" t="s">
        <v>3752</v>
      </c>
      <c r="O2284" s="17" t="str">
        <f>INDEX('список ID из СУЭ с должностями'!$A:$F,MATCH(E2284,'список ID из СУЭ с должностями'!$B:$B,0),5)</f>
        <v>ИПП</v>
      </c>
    </row>
    <row r="2285" spans="1:15" ht="75">
      <c r="A2285" s="3" t="s">
        <v>10</v>
      </c>
      <c r="B2285" s="3" t="s">
        <v>11</v>
      </c>
      <c r="C2285" s="4">
        <v>2026</v>
      </c>
      <c r="D2285" s="5" t="s">
        <v>12</v>
      </c>
      <c r="E2285" s="4">
        <v>316</v>
      </c>
      <c r="F2285" s="4" t="s">
        <v>239</v>
      </c>
      <c r="G2285" s="4" t="s">
        <v>2498</v>
      </c>
      <c r="H2285" s="4" t="s">
        <v>15</v>
      </c>
      <c r="I2285" s="4" t="s">
        <v>1108</v>
      </c>
      <c r="J2285" s="4" t="s">
        <v>2504</v>
      </c>
      <c r="K2285" s="4" t="s">
        <v>35</v>
      </c>
      <c r="L2285" s="4" t="s">
        <v>3742</v>
      </c>
      <c r="M2285" s="4" t="s">
        <v>3746</v>
      </c>
      <c r="N2285" s="4" t="s">
        <v>3747</v>
      </c>
      <c r="O2285" s="17" t="str">
        <f>INDEX('список ID из СУЭ с должностями'!$A:$F,MATCH(E2285,'список ID из СУЭ с должностями'!$B:$B,0),5)</f>
        <v>ИПП</v>
      </c>
    </row>
    <row r="2286" spans="1:15" ht="409.5">
      <c r="A2286" s="3" t="s">
        <v>10</v>
      </c>
      <c r="B2286" s="3" t="s">
        <v>11</v>
      </c>
      <c r="C2286" s="4">
        <v>2026</v>
      </c>
      <c r="D2286" s="5" t="s">
        <v>12</v>
      </c>
      <c r="E2286" s="4">
        <v>317</v>
      </c>
      <c r="F2286" s="4" t="s">
        <v>119</v>
      </c>
      <c r="G2286" s="4" t="s">
        <v>117</v>
      </c>
      <c r="H2286" s="4" t="s">
        <v>21</v>
      </c>
      <c r="I2286" s="4" t="s">
        <v>120</v>
      </c>
      <c r="J2286" s="4" t="s">
        <v>308</v>
      </c>
      <c r="K2286" s="4" t="s">
        <v>30</v>
      </c>
      <c r="L2286" s="4" t="s">
        <v>3743</v>
      </c>
      <c r="M2286" s="4" t="s">
        <v>3746</v>
      </c>
      <c r="N2286" s="4" t="s">
        <v>3747</v>
      </c>
      <c r="O2286" s="17">
        <f>INDEX('список ID из СУЭ с должностями'!$A:$F,MATCH(E2286,'список ID из СУЭ с должностями'!$B:$B,0),5)</f>
        <v>0</v>
      </c>
    </row>
    <row r="2287" spans="1:15" ht="75">
      <c r="A2287" s="3" t="s">
        <v>10</v>
      </c>
      <c r="B2287" s="3" t="s">
        <v>11</v>
      </c>
      <c r="C2287" s="4">
        <v>2026</v>
      </c>
      <c r="D2287" s="5" t="s">
        <v>12</v>
      </c>
      <c r="E2287" s="4">
        <v>317</v>
      </c>
      <c r="F2287" s="4" t="s">
        <v>119</v>
      </c>
      <c r="G2287" s="4" t="s">
        <v>117</v>
      </c>
      <c r="H2287" s="4" t="s">
        <v>15</v>
      </c>
      <c r="I2287" s="4" t="s">
        <v>2505</v>
      </c>
      <c r="J2287" s="4" t="s">
        <v>2506</v>
      </c>
      <c r="K2287" s="4" t="s">
        <v>30</v>
      </c>
      <c r="L2287" s="4" t="s">
        <v>3743</v>
      </c>
      <c r="M2287" s="4" t="s">
        <v>3746</v>
      </c>
      <c r="N2287" s="4" t="s">
        <v>3747</v>
      </c>
      <c r="O2287" s="17">
        <f>INDEX('список ID из СУЭ с должностями'!$A:$F,MATCH(E2287,'список ID из СУЭ с должностями'!$B:$B,0),5)</f>
        <v>0</v>
      </c>
    </row>
    <row r="2288" spans="1:15" ht="75">
      <c r="A2288" s="3" t="s">
        <v>10</v>
      </c>
      <c r="B2288" s="3" t="s">
        <v>11</v>
      </c>
      <c r="C2288" s="4">
        <v>2026</v>
      </c>
      <c r="D2288" s="5" t="s">
        <v>12</v>
      </c>
      <c r="E2288" s="4">
        <v>317</v>
      </c>
      <c r="F2288" s="4" t="s">
        <v>119</v>
      </c>
      <c r="G2288" s="4" t="s">
        <v>117</v>
      </c>
      <c r="H2288" s="4" t="s">
        <v>15</v>
      </c>
      <c r="I2288" s="4" t="s">
        <v>2507</v>
      </c>
      <c r="J2288" s="4" t="s">
        <v>2508</v>
      </c>
      <c r="K2288" s="4" t="s">
        <v>30</v>
      </c>
      <c r="L2288" s="4" t="s">
        <v>3742</v>
      </c>
      <c r="M2288" s="4" t="s">
        <v>3746</v>
      </c>
      <c r="N2288" s="4" t="s">
        <v>3747</v>
      </c>
      <c r="O2288" s="17">
        <f>INDEX('список ID из СУЭ с должностями'!$A:$F,MATCH(E2288,'список ID из СУЭ с должностями'!$B:$B,0),5)</f>
        <v>0</v>
      </c>
    </row>
    <row r="2289" spans="1:15" ht="75">
      <c r="A2289" s="3" t="s">
        <v>10</v>
      </c>
      <c r="B2289" s="3" t="s">
        <v>11</v>
      </c>
      <c r="C2289" s="4">
        <v>2026</v>
      </c>
      <c r="D2289" s="5" t="s">
        <v>12</v>
      </c>
      <c r="E2289" s="4">
        <v>317</v>
      </c>
      <c r="F2289" s="4" t="s">
        <v>119</v>
      </c>
      <c r="G2289" s="4" t="s">
        <v>117</v>
      </c>
      <c r="H2289" s="4" t="s">
        <v>15</v>
      </c>
      <c r="I2289" s="4" t="s">
        <v>2509</v>
      </c>
      <c r="J2289" s="4" t="s">
        <v>79</v>
      </c>
      <c r="K2289" s="4" t="s">
        <v>25</v>
      </c>
      <c r="L2289" s="4" t="s">
        <v>3742</v>
      </c>
      <c r="M2289" s="4" t="s">
        <v>3746</v>
      </c>
      <c r="N2289" s="4" t="s">
        <v>3747</v>
      </c>
      <c r="O2289" s="17">
        <f>INDEX('список ID из СУЭ с должностями'!$A:$F,MATCH(E2289,'список ID из СУЭ с должностями'!$B:$B,0),5)</f>
        <v>0</v>
      </c>
    </row>
    <row r="2290" spans="1:15" ht="75">
      <c r="A2290" s="3" t="s">
        <v>10</v>
      </c>
      <c r="B2290" s="3" t="s">
        <v>11</v>
      </c>
      <c r="C2290" s="4">
        <v>2026</v>
      </c>
      <c r="D2290" s="5" t="s">
        <v>12</v>
      </c>
      <c r="E2290" s="4">
        <v>317</v>
      </c>
      <c r="F2290" s="4" t="s">
        <v>119</v>
      </c>
      <c r="G2290" s="4" t="s">
        <v>117</v>
      </c>
      <c r="H2290" s="4" t="s">
        <v>15</v>
      </c>
      <c r="I2290" s="4" t="s">
        <v>2510</v>
      </c>
      <c r="J2290" s="4" t="s">
        <v>2506</v>
      </c>
      <c r="K2290" s="4" t="s">
        <v>55</v>
      </c>
      <c r="L2290" s="4" t="s">
        <v>3743</v>
      </c>
      <c r="M2290" s="4" t="s">
        <v>3746</v>
      </c>
      <c r="N2290" s="4" t="s">
        <v>3747</v>
      </c>
      <c r="O2290" s="17">
        <f>INDEX('список ID из СУЭ с должностями'!$A:$F,MATCH(E2290,'список ID из СУЭ с должностями'!$B:$B,0),5)</f>
        <v>0</v>
      </c>
    </row>
    <row r="2291" spans="1:15" ht="75">
      <c r="A2291" s="3" t="s">
        <v>10</v>
      </c>
      <c r="B2291" s="3" t="s">
        <v>11</v>
      </c>
      <c r="C2291" s="4">
        <v>2026</v>
      </c>
      <c r="D2291" s="5" t="s">
        <v>12</v>
      </c>
      <c r="E2291" s="4">
        <v>317</v>
      </c>
      <c r="F2291" s="4" t="s">
        <v>119</v>
      </c>
      <c r="G2291" s="4" t="s">
        <v>117</v>
      </c>
      <c r="H2291" s="4" t="s">
        <v>41</v>
      </c>
      <c r="I2291" s="4" t="s">
        <v>2511</v>
      </c>
      <c r="J2291" s="4" t="s">
        <v>2512</v>
      </c>
      <c r="K2291" s="4" t="s">
        <v>30</v>
      </c>
      <c r="L2291" s="4" t="s">
        <v>3743</v>
      </c>
      <c r="M2291" s="4" t="s">
        <v>3746</v>
      </c>
      <c r="N2291" s="4" t="s">
        <v>3747</v>
      </c>
      <c r="O2291" s="17">
        <f>INDEX('список ID из СУЭ с должностями'!$A:$F,MATCH(E2291,'список ID из СУЭ с должностями'!$B:$B,0),5)</f>
        <v>0</v>
      </c>
    </row>
    <row r="2292" spans="1:15" ht="75">
      <c r="A2292" s="3" t="s">
        <v>10</v>
      </c>
      <c r="B2292" s="3" t="s">
        <v>11</v>
      </c>
      <c r="C2292" s="4">
        <v>2026</v>
      </c>
      <c r="D2292" s="5" t="s">
        <v>12</v>
      </c>
      <c r="E2292" s="4">
        <v>317</v>
      </c>
      <c r="F2292" s="4" t="s">
        <v>119</v>
      </c>
      <c r="G2292" s="4" t="s">
        <v>117</v>
      </c>
      <c r="H2292" s="4" t="s">
        <v>15</v>
      </c>
      <c r="I2292" s="4" t="s">
        <v>126</v>
      </c>
      <c r="J2292" s="4">
        <v>0</v>
      </c>
      <c r="K2292" s="4" t="s">
        <v>35</v>
      </c>
      <c r="L2292" s="4" t="s">
        <v>3743</v>
      </c>
      <c r="M2292" s="4" t="s">
        <v>3746</v>
      </c>
      <c r="N2292" s="4" t="s">
        <v>3747</v>
      </c>
      <c r="O2292" s="17">
        <f>INDEX('список ID из СУЭ с должностями'!$A:$F,MATCH(E2292,'список ID из СУЭ с должностями'!$B:$B,0),5)</f>
        <v>0</v>
      </c>
    </row>
    <row r="2293" spans="1:15" ht="75">
      <c r="A2293" s="3" t="s">
        <v>10</v>
      </c>
      <c r="B2293" s="3" t="s">
        <v>11</v>
      </c>
      <c r="C2293" s="4">
        <v>2026</v>
      </c>
      <c r="D2293" s="5" t="s">
        <v>12</v>
      </c>
      <c r="E2293" s="4">
        <v>317</v>
      </c>
      <c r="F2293" s="4" t="s">
        <v>119</v>
      </c>
      <c r="G2293" s="4" t="s">
        <v>117</v>
      </c>
      <c r="H2293" s="4" t="s">
        <v>15</v>
      </c>
      <c r="I2293" s="4" t="s">
        <v>2513</v>
      </c>
      <c r="J2293" s="4" t="s">
        <v>132</v>
      </c>
      <c r="K2293" s="4" t="s">
        <v>38</v>
      </c>
      <c r="L2293" s="4" t="s">
        <v>3742</v>
      </c>
      <c r="M2293" s="4" t="s">
        <v>3746</v>
      </c>
      <c r="N2293" s="4" t="s">
        <v>3747</v>
      </c>
      <c r="O2293" s="17">
        <f>INDEX('список ID из СУЭ с должностями'!$A:$F,MATCH(E2293,'список ID из СУЭ с должностями'!$B:$B,0),5)</f>
        <v>0</v>
      </c>
    </row>
    <row r="2294" spans="1:15" ht="75">
      <c r="A2294" s="3" t="s">
        <v>10</v>
      </c>
      <c r="B2294" s="3" t="s">
        <v>11</v>
      </c>
      <c r="C2294" s="4">
        <v>2026</v>
      </c>
      <c r="D2294" s="5" t="s">
        <v>12</v>
      </c>
      <c r="E2294" s="4">
        <v>317</v>
      </c>
      <c r="F2294" s="4" t="s">
        <v>119</v>
      </c>
      <c r="G2294" s="4" t="s">
        <v>117</v>
      </c>
      <c r="H2294" s="4" t="s">
        <v>21</v>
      </c>
      <c r="I2294" s="4" t="s">
        <v>2514</v>
      </c>
      <c r="J2294" s="4" t="s">
        <v>132</v>
      </c>
      <c r="K2294" s="4" t="s">
        <v>25</v>
      </c>
      <c r="L2294" s="4" t="s">
        <v>3742</v>
      </c>
      <c r="M2294" s="4" t="s">
        <v>3746</v>
      </c>
      <c r="N2294" s="4" t="s">
        <v>3747</v>
      </c>
      <c r="O2294" s="17">
        <f>INDEX('список ID из СУЭ с должностями'!$A:$F,MATCH(E2294,'список ID из СУЭ с должностями'!$B:$B,0),5)</f>
        <v>0</v>
      </c>
    </row>
    <row r="2295" spans="1:15" ht="75">
      <c r="A2295" s="3" t="s">
        <v>10</v>
      </c>
      <c r="B2295" s="3" t="s">
        <v>11</v>
      </c>
      <c r="C2295" s="4">
        <v>2026</v>
      </c>
      <c r="D2295" s="5" t="s">
        <v>12</v>
      </c>
      <c r="E2295" s="4">
        <v>317</v>
      </c>
      <c r="F2295" s="4" t="s">
        <v>119</v>
      </c>
      <c r="G2295" s="4" t="s">
        <v>117</v>
      </c>
      <c r="H2295" s="4" t="s">
        <v>41</v>
      </c>
      <c r="I2295" s="4" t="s">
        <v>2515</v>
      </c>
      <c r="J2295" s="4" t="s">
        <v>2516</v>
      </c>
      <c r="K2295" s="4" t="s">
        <v>20</v>
      </c>
      <c r="L2295" s="4" t="s">
        <v>3743</v>
      </c>
      <c r="M2295" s="4" t="s">
        <v>3746</v>
      </c>
      <c r="N2295" s="4" t="s">
        <v>3747</v>
      </c>
      <c r="O2295" s="17">
        <f>INDEX('список ID из СУЭ с должностями'!$A:$F,MATCH(E2295,'список ID из СУЭ с должностями'!$B:$B,0),5)</f>
        <v>0</v>
      </c>
    </row>
    <row r="2296" spans="1:15" ht="360">
      <c r="A2296" s="3" t="s">
        <v>10</v>
      </c>
      <c r="B2296" s="3" t="s">
        <v>11</v>
      </c>
      <c r="C2296" s="4">
        <v>2026</v>
      </c>
      <c r="D2296" s="5" t="s">
        <v>12</v>
      </c>
      <c r="E2296" s="4">
        <v>318</v>
      </c>
      <c r="F2296" s="4" t="s">
        <v>39</v>
      </c>
      <c r="G2296" s="4" t="s">
        <v>2517</v>
      </c>
      <c r="H2296" s="4" t="s">
        <v>15</v>
      </c>
      <c r="I2296" s="4" t="s">
        <v>189</v>
      </c>
      <c r="J2296" s="4" t="s">
        <v>1286</v>
      </c>
      <c r="K2296" s="4" t="s">
        <v>30</v>
      </c>
      <c r="L2296" s="4" t="s">
        <v>3743</v>
      </c>
      <c r="M2296" s="4" t="s">
        <v>3746</v>
      </c>
      <c r="N2296" s="4" t="s">
        <v>3747</v>
      </c>
      <c r="O2296" s="17" t="str">
        <f>INDEX('список ID из СУЭ с должностями'!$A:$F,MATCH(E2296,'список ID из СУЭ с должностями'!$B:$B,0),5)</f>
        <v>НС</v>
      </c>
    </row>
    <row r="2297" spans="1:15" ht="60">
      <c r="A2297" s="3" t="s">
        <v>10</v>
      </c>
      <c r="B2297" s="3" t="s">
        <v>11</v>
      </c>
      <c r="C2297" s="4">
        <v>2026</v>
      </c>
      <c r="D2297" s="5" t="s">
        <v>12</v>
      </c>
      <c r="E2297" s="4">
        <v>318</v>
      </c>
      <c r="F2297" s="4" t="s">
        <v>39</v>
      </c>
      <c r="G2297" s="4" t="s">
        <v>2517</v>
      </c>
      <c r="H2297" s="4" t="s">
        <v>15</v>
      </c>
      <c r="I2297" s="4" t="s">
        <v>288</v>
      </c>
      <c r="J2297" s="4" t="s">
        <v>1276</v>
      </c>
      <c r="K2297" s="4" t="s">
        <v>188</v>
      </c>
      <c r="L2297" s="4" t="s">
        <v>3742</v>
      </c>
      <c r="M2297" s="4" t="s">
        <v>3746</v>
      </c>
      <c r="N2297" s="4" t="s">
        <v>3747</v>
      </c>
      <c r="O2297" s="17" t="str">
        <f>INDEX('список ID из СУЭ с должностями'!$A:$F,MATCH(E2297,'список ID из СУЭ с должностями'!$B:$B,0),5)</f>
        <v>НС</v>
      </c>
    </row>
    <row r="2298" spans="1:15" ht="60">
      <c r="A2298" s="3" t="s">
        <v>10</v>
      </c>
      <c r="B2298" s="3" t="s">
        <v>11</v>
      </c>
      <c r="C2298" s="4">
        <v>2026</v>
      </c>
      <c r="D2298" s="5" t="s">
        <v>12</v>
      </c>
      <c r="E2298" s="4">
        <v>318</v>
      </c>
      <c r="F2298" s="4" t="s">
        <v>39</v>
      </c>
      <c r="G2298" s="4" t="s">
        <v>2517</v>
      </c>
      <c r="H2298" s="4" t="s">
        <v>15</v>
      </c>
      <c r="I2298" s="4" t="s">
        <v>290</v>
      </c>
      <c r="J2298" s="4" t="s">
        <v>1277</v>
      </c>
      <c r="K2298" s="4" t="s">
        <v>151</v>
      </c>
      <c r="L2298" s="4" t="s">
        <v>3742</v>
      </c>
      <c r="M2298" s="4" t="s">
        <v>3746</v>
      </c>
      <c r="N2298" s="4" t="s">
        <v>3747</v>
      </c>
      <c r="O2298" s="17" t="str">
        <f>INDEX('список ID из СУЭ с должностями'!$A:$F,MATCH(E2298,'список ID из СУЭ с должностями'!$B:$B,0),5)</f>
        <v>НС</v>
      </c>
    </row>
    <row r="2299" spans="1:15" ht="45">
      <c r="A2299" s="3" t="s">
        <v>10</v>
      </c>
      <c r="B2299" s="3" t="s">
        <v>11</v>
      </c>
      <c r="C2299" s="4">
        <v>2026</v>
      </c>
      <c r="D2299" s="5" t="s">
        <v>12</v>
      </c>
      <c r="E2299" s="4">
        <v>318</v>
      </c>
      <c r="F2299" s="4" t="s">
        <v>39</v>
      </c>
      <c r="G2299" s="4" t="s">
        <v>2517</v>
      </c>
      <c r="H2299" s="4" t="s">
        <v>15</v>
      </c>
      <c r="I2299" s="4" t="s">
        <v>1278</v>
      </c>
      <c r="J2299" s="4" t="s">
        <v>1279</v>
      </c>
      <c r="K2299" s="4" t="s">
        <v>55</v>
      </c>
      <c r="L2299" s="4" t="s">
        <v>3742</v>
      </c>
      <c r="M2299" s="4" t="s">
        <v>3746</v>
      </c>
      <c r="N2299" s="4" t="s">
        <v>3747</v>
      </c>
      <c r="O2299" s="17" t="str">
        <f>INDEX('список ID из СУЭ с должностями'!$A:$F,MATCH(E2299,'список ID из СУЭ с должностями'!$B:$B,0),5)</f>
        <v>НС</v>
      </c>
    </row>
    <row r="2300" spans="1:15" ht="45">
      <c r="A2300" s="3" t="s">
        <v>10</v>
      </c>
      <c r="B2300" s="3" t="s">
        <v>11</v>
      </c>
      <c r="C2300" s="4">
        <v>2026</v>
      </c>
      <c r="D2300" s="5" t="s">
        <v>12</v>
      </c>
      <c r="E2300" s="4">
        <v>318</v>
      </c>
      <c r="F2300" s="4" t="s">
        <v>39</v>
      </c>
      <c r="G2300" s="4" t="s">
        <v>2517</v>
      </c>
      <c r="H2300" s="4" t="s">
        <v>15</v>
      </c>
      <c r="I2300" s="4" t="s">
        <v>1280</v>
      </c>
      <c r="J2300" s="4" t="s">
        <v>1281</v>
      </c>
      <c r="K2300" s="4" t="s">
        <v>66</v>
      </c>
      <c r="L2300" s="4" t="s">
        <v>3742</v>
      </c>
      <c r="M2300" s="4" t="s">
        <v>3746</v>
      </c>
      <c r="N2300" s="4" t="s">
        <v>3747</v>
      </c>
      <c r="O2300" s="17" t="str">
        <f>INDEX('список ID из СУЭ с должностями'!$A:$F,MATCH(E2300,'список ID из СУЭ с должностями'!$B:$B,0),5)</f>
        <v>НС</v>
      </c>
    </row>
    <row r="2301" spans="1:15" ht="105">
      <c r="A2301" s="3" t="s">
        <v>10</v>
      </c>
      <c r="B2301" s="3" t="s">
        <v>11</v>
      </c>
      <c r="C2301" s="4">
        <v>2026</v>
      </c>
      <c r="D2301" s="5" t="s">
        <v>12</v>
      </c>
      <c r="E2301" s="4">
        <v>318</v>
      </c>
      <c r="F2301" s="4" t="s">
        <v>39</v>
      </c>
      <c r="G2301" s="4" t="s">
        <v>2517</v>
      </c>
      <c r="H2301" s="4" t="s">
        <v>15</v>
      </c>
      <c r="I2301" s="4" t="s">
        <v>1282</v>
      </c>
      <c r="J2301" s="4" t="s">
        <v>1283</v>
      </c>
      <c r="K2301" s="4" t="s">
        <v>20</v>
      </c>
      <c r="L2301" s="4" t="s">
        <v>3743</v>
      </c>
      <c r="M2301" s="4" t="s">
        <v>3746</v>
      </c>
      <c r="N2301" s="4" t="s">
        <v>3747</v>
      </c>
      <c r="O2301" s="17" t="str">
        <f>INDEX('список ID из СУЭ с должностями'!$A:$F,MATCH(E2301,'список ID из СУЭ с должностями'!$B:$B,0),5)</f>
        <v>НС</v>
      </c>
    </row>
    <row r="2302" spans="1:15" ht="60">
      <c r="A2302" s="3" t="s">
        <v>10</v>
      </c>
      <c r="B2302" s="3" t="s">
        <v>11</v>
      </c>
      <c r="C2302" s="4">
        <v>2026</v>
      </c>
      <c r="D2302" s="5" t="s">
        <v>12</v>
      </c>
      <c r="E2302" s="4">
        <v>318</v>
      </c>
      <c r="F2302" s="4" t="s">
        <v>39</v>
      </c>
      <c r="G2302" s="4" t="s">
        <v>2517</v>
      </c>
      <c r="H2302" s="4" t="s">
        <v>15</v>
      </c>
      <c r="I2302" s="4" t="s">
        <v>1284</v>
      </c>
      <c r="J2302" s="4" t="s">
        <v>957</v>
      </c>
      <c r="K2302" s="4" t="s">
        <v>188</v>
      </c>
      <c r="L2302" s="4" t="s">
        <v>3742</v>
      </c>
      <c r="M2302" s="4" t="s">
        <v>3746</v>
      </c>
      <c r="N2302" s="4" t="s">
        <v>3747</v>
      </c>
      <c r="O2302" s="17" t="str">
        <f>INDEX('список ID из СУЭ с должностями'!$A:$F,MATCH(E2302,'список ID из СУЭ с должностями'!$B:$B,0),5)</f>
        <v>НС</v>
      </c>
    </row>
    <row r="2303" spans="1:15" ht="45">
      <c r="A2303" s="3" t="s">
        <v>10</v>
      </c>
      <c r="B2303" s="3" t="s">
        <v>11</v>
      </c>
      <c r="C2303" s="4">
        <v>2026</v>
      </c>
      <c r="D2303" s="5" t="s">
        <v>12</v>
      </c>
      <c r="E2303" s="4">
        <v>318</v>
      </c>
      <c r="F2303" s="4" t="s">
        <v>39</v>
      </c>
      <c r="G2303" s="4" t="s">
        <v>2517</v>
      </c>
      <c r="H2303" s="4" t="s">
        <v>15</v>
      </c>
      <c r="I2303" s="4" t="s">
        <v>203</v>
      </c>
      <c r="J2303" s="4" t="s">
        <v>957</v>
      </c>
      <c r="K2303" s="4" t="s">
        <v>35</v>
      </c>
      <c r="L2303" s="4" t="s">
        <v>3742</v>
      </c>
      <c r="M2303" s="4" t="s">
        <v>3746</v>
      </c>
      <c r="N2303" s="4" t="s">
        <v>3747</v>
      </c>
      <c r="O2303" s="17" t="str">
        <f>INDEX('список ID из СУЭ с должностями'!$A:$F,MATCH(E2303,'список ID из СУЭ с должностями'!$B:$B,0),5)</f>
        <v>НС</v>
      </c>
    </row>
    <row r="2304" spans="1:15" ht="60">
      <c r="A2304" s="3" t="s">
        <v>10</v>
      </c>
      <c r="B2304" s="3" t="s">
        <v>11</v>
      </c>
      <c r="C2304" s="4">
        <v>2026</v>
      </c>
      <c r="D2304" s="5" t="s">
        <v>12</v>
      </c>
      <c r="E2304" s="4">
        <v>318</v>
      </c>
      <c r="F2304" s="4" t="s">
        <v>39</v>
      </c>
      <c r="G2304" s="4" t="s">
        <v>2517</v>
      </c>
      <c r="H2304" s="4" t="s">
        <v>15</v>
      </c>
      <c r="I2304" s="4" t="s">
        <v>292</v>
      </c>
      <c r="J2304" s="4" t="s">
        <v>1285</v>
      </c>
      <c r="K2304" s="4" t="s">
        <v>30</v>
      </c>
      <c r="L2304" s="4" t="s">
        <v>3742</v>
      </c>
      <c r="M2304" s="4" t="s">
        <v>3746</v>
      </c>
      <c r="N2304" s="4" t="s">
        <v>3747</v>
      </c>
      <c r="O2304" s="17" t="str">
        <f>INDEX('список ID из СУЭ с должностями'!$A:$F,MATCH(E2304,'список ID из СУЭ с должностями'!$B:$B,0),5)</f>
        <v>НС</v>
      </c>
    </row>
    <row r="2305" spans="1:15" ht="45">
      <c r="A2305" s="3" t="s">
        <v>10</v>
      </c>
      <c r="B2305" s="3" t="s">
        <v>11</v>
      </c>
      <c r="C2305" s="4">
        <v>2026</v>
      </c>
      <c r="D2305" s="5" t="s">
        <v>12</v>
      </c>
      <c r="E2305" s="4">
        <v>319</v>
      </c>
      <c r="F2305" s="4" t="s">
        <v>385</v>
      </c>
      <c r="G2305" s="4" t="s">
        <v>386</v>
      </c>
      <c r="H2305" s="4" t="s">
        <v>41</v>
      </c>
      <c r="I2305" s="4" t="s">
        <v>401</v>
      </c>
      <c r="J2305" s="4" t="s">
        <v>402</v>
      </c>
      <c r="K2305" s="4" t="s">
        <v>66</v>
      </c>
      <c r="L2305" s="4" t="s">
        <v>3742</v>
      </c>
      <c r="M2305" s="4" t="s">
        <v>3746</v>
      </c>
      <c r="N2305" s="4" t="s">
        <v>3747</v>
      </c>
      <c r="O2305" s="17">
        <f>INDEX('список ID из СУЭ с должностями'!$A:$F,MATCH(E2305,'список ID из СУЭ с должностями'!$B:$B,0),5)</f>
        <v>0</v>
      </c>
    </row>
    <row r="2306" spans="1:15" ht="45">
      <c r="A2306" s="3" t="s">
        <v>10</v>
      </c>
      <c r="B2306" s="3" t="s">
        <v>11</v>
      </c>
      <c r="C2306" s="4">
        <v>2026</v>
      </c>
      <c r="D2306" s="5" t="s">
        <v>12</v>
      </c>
      <c r="E2306" s="4">
        <v>319</v>
      </c>
      <c r="F2306" s="4" t="s">
        <v>385</v>
      </c>
      <c r="G2306" s="4" t="s">
        <v>386</v>
      </c>
      <c r="H2306" s="4" t="s">
        <v>15</v>
      </c>
      <c r="I2306" s="4" t="s">
        <v>2518</v>
      </c>
      <c r="J2306" s="4" t="s">
        <v>388</v>
      </c>
      <c r="K2306" s="4" t="s">
        <v>66</v>
      </c>
      <c r="L2306" s="4" t="s">
        <v>3742</v>
      </c>
      <c r="M2306" s="4" t="s">
        <v>3746</v>
      </c>
      <c r="N2306" s="4" t="s">
        <v>3747</v>
      </c>
      <c r="O2306" s="17">
        <f>INDEX('список ID из СУЭ с должностями'!$A:$F,MATCH(E2306,'список ID из СУЭ с должностями'!$B:$B,0),5)</f>
        <v>0</v>
      </c>
    </row>
    <row r="2307" spans="1:15" ht="45">
      <c r="A2307" s="3" t="s">
        <v>10</v>
      </c>
      <c r="B2307" s="3" t="s">
        <v>11</v>
      </c>
      <c r="C2307" s="4">
        <v>2026</v>
      </c>
      <c r="D2307" s="5" t="s">
        <v>12</v>
      </c>
      <c r="E2307" s="4">
        <v>319</v>
      </c>
      <c r="F2307" s="4" t="s">
        <v>385</v>
      </c>
      <c r="G2307" s="4" t="s">
        <v>386</v>
      </c>
      <c r="H2307" s="4" t="s">
        <v>15</v>
      </c>
      <c r="I2307" s="4" t="s">
        <v>956</v>
      </c>
      <c r="J2307" s="4" t="s">
        <v>2519</v>
      </c>
      <c r="K2307" s="4" t="s">
        <v>35</v>
      </c>
      <c r="L2307" s="4" t="s">
        <v>3742</v>
      </c>
      <c r="M2307" s="4" t="s">
        <v>3746</v>
      </c>
      <c r="N2307" s="4" t="s">
        <v>3747</v>
      </c>
      <c r="O2307" s="17">
        <f>INDEX('список ID из СУЭ с должностями'!$A:$F,MATCH(E2307,'список ID из СУЭ с должностями'!$B:$B,0),5)</f>
        <v>0</v>
      </c>
    </row>
    <row r="2308" spans="1:15" ht="60">
      <c r="A2308" s="3" t="s">
        <v>10</v>
      </c>
      <c r="B2308" s="3" t="s">
        <v>11</v>
      </c>
      <c r="C2308" s="4">
        <v>2026</v>
      </c>
      <c r="D2308" s="5" t="s">
        <v>12</v>
      </c>
      <c r="E2308" s="4">
        <v>319</v>
      </c>
      <c r="F2308" s="4" t="s">
        <v>385</v>
      </c>
      <c r="G2308" s="4" t="s">
        <v>386</v>
      </c>
      <c r="H2308" s="4" t="s">
        <v>21</v>
      </c>
      <c r="I2308" s="4" t="s">
        <v>1561</v>
      </c>
      <c r="J2308" s="4" t="s">
        <v>394</v>
      </c>
      <c r="K2308" s="4" t="s">
        <v>151</v>
      </c>
      <c r="L2308" s="4" t="s">
        <v>3742</v>
      </c>
      <c r="M2308" s="4" t="s">
        <v>3746</v>
      </c>
      <c r="N2308" s="4" t="s">
        <v>3747</v>
      </c>
      <c r="O2308" s="17">
        <f>INDEX('список ID из СУЭ с должностями'!$A:$F,MATCH(E2308,'список ID из СУЭ с должностями'!$B:$B,0),5)</f>
        <v>0</v>
      </c>
    </row>
    <row r="2309" spans="1:15" ht="45">
      <c r="A2309" s="3" t="s">
        <v>10</v>
      </c>
      <c r="B2309" s="3" t="s">
        <v>11</v>
      </c>
      <c r="C2309" s="4">
        <v>2026</v>
      </c>
      <c r="D2309" s="5" t="s">
        <v>12</v>
      </c>
      <c r="E2309" s="4">
        <v>319</v>
      </c>
      <c r="F2309" s="4" t="s">
        <v>385</v>
      </c>
      <c r="G2309" s="4" t="s">
        <v>386</v>
      </c>
      <c r="H2309" s="4" t="s">
        <v>15</v>
      </c>
      <c r="I2309" s="4" t="s">
        <v>395</v>
      </c>
      <c r="J2309" s="4" t="s">
        <v>565</v>
      </c>
      <c r="K2309" s="4" t="s">
        <v>23</v>
      </c>
      <c r="L2309" s="4" t="s">
        <v>3742</v>
      </c>
      <c r="M2309" s="4" t="s">
        <v>3748</v>
      </c>
      <c r="N2309" s="4" t="s">
        <v>3752</v>
      </c>
      <c r="O2309" s="17">
        <f>INDEX('список ID из СУЭ с должностями'!$A:$F,MATCH(E2309,'список ID из СУЭ с должностями'!$B:$B,0),5)</f>
        <v>0</v>
      </c>
    </row>
    <row r="2310" spans="1:15" ht="45">
      <c r="A2310" s="3" t="s">
        <v>10</v>
      </c>
      <c r="B2310" s="3" t="s">
        <v>11</v>
      </c>
      <c r="C2310" s="4">
        <v>2026</v>
      </c>
      <c r="D2310" s="5" t="s">
        <v>12</v>
      </c>
      <c r="E2310" s="4">
        <v>319</v>
      </c>
      <c r="F2310" s="4" t="s">
        <v>385</v>
      </c>
      <c r="G2310" s="4" t="s">
        <v>386</v>
      </c>
      <c r="H2310" s="4" t="s">
        <v>21</v>
      </c>
      <c r="I2310" s="4" t="s">
        <v>2520</v>
      </c>
      <c r="J2310" s="4" t="s">
        <v>132</v>
      </c>
      <c r="K2310" s="4" t="s">
        <v>66</v>
      </c>
      <c r="L2310" s="4" t="s">
        <v>3742</v>
      </c>
      <c r="M2310" s="4" t="s">
        <v>3746</v>
      </c>
      <c r="N2310" s="4" t="s">
        <v>3747</v>
      </c>
      <c r="O2310" s="17">
        <f>INDEX('список ID из СУЭ с должностями'!$A:$F,MATCH(E2310,'список ID из СУЭ с должностями'!$B:$B,0),5)</f>
        <v>0</v>
      </c>
    </row>
    <row r="2311" spans="1:15" ht="60">
      <c r="A2311" s="3" t="s">
        <v>10</v>
      </c>
      <c r="B2311" s="3" t="s">
        <v>11</v>
      </c>
      <c r="C2311" s="4">
        <v>2026</v>
      </c>
      <c r="D2311" s="5" t="s">
        <v>12</v>
      </c>
      <c r="E2311" s="4">
        <v>319</v>
      </c>
      <c r="F2311" s="4" t="s">
        <v>385</v>
      </c>
      <c r="G2311" s="4" t="s">
        <v>386</v>
      </c>
      <c r="H2311" s="4" t="s">
        <v>21</v>
      </c>
      <c r="I2311" s="4" t="s">
        <v>2521</v>
      </c>
      <c r="J2311" s="4" t="s">
        <v>398</v>
      </c>
      <c r="K2311" s="4" t="s">
        <v>188</v>
      </c>
      <c r="L2311" s="4" t="s">
        <v>3742</v>
      </c>
      <c r="M2311" s="4" t="s">
        <v>3746</v>
      </c>
      <c r="N2311" s="4" t="s">
        <v>3747</v>
      </c>
      <c r="O2311" s="17">
        <f>INDEX('список ID из СУЭ с должностями'!$A:$F,MATCH(E2311,'список ID из СУЭ с должностями'!$B:$B,0),5)</f>
        <v>0</v>
      </c>
    </row>
    <row r="2312" spans="1:15" ht="45">
      <c r="A2312" s="3" t="s">
        <v>10</v>
      </c>
      <c r="B2312" s="3" t="s">
        <v>11</v>
      </c>
      <c r="C2312" s="4">
        <v>2026</v>
      </c>
      <c r="D2312" s="5" t="s">
        <v>12</v>
      </c>
      <c r="E2312" s="4">
        <v>319</v>
      </c>
      <c r="F2312" s="4" t="s">
        <v>385</v>
      </c>
      <c r="G2312" s="4" t="s">
        <v>386</v>
      </c>
      <c r="H2312" s="4" t="s">
        <v>15</v>
      </c>
      <c r="I2312" s="4" t="s">
        <v>2522</v>
      </c>
      <c r="J2312" s="4" t="s">
        <v>182</v>
      </c>
      <c r="K2312" s="4" t="s">
        <v>23</v>
      </c>
      <c r="L2312" s="4" t="s">
        <v>3742</v>
      </c>
      <c r="M2312" s="4" t="s">
        <v>3748</v>
      </c>
      <c r="N2312" s="4" t="s">
        <v>3749</v>
      </c>
      <c r="O2312" s="17">
        <f>INDEX('список ID из СУЭ с должностями'!$A:$F,MATCH(E2312,'список ID из СУЭ с должностями'!$B:$B,0),5)</f>
        <v>0</v>
      </c>
    </row>
    <row r="2313" spans="1:15" ht="45">
      <c r="A2313" s="3" t="s">
        <v>10</v>
      </c>
      <c r="B2313" s="3" t="s">
        <v>11</v>
      </c>
      <c r="C2313" s="4">
        <v>2026</v>
      </c>
      <c r="D2313" s="5" t="s">
        <v>12</v>
      </c>
      <c r="E2313" s="4">
        <v>319</v>
      </c>
      <c r="F2313" s="4" t="s">
        <v>385</v>
      </c>
      <c r="G2313" s="4" t="s">
        <v>386</v>
      </c>
      <c r="H2313" s="4" t="s">
        <v>21</v>
      </c>
      <c r="I2313" s="4" t="s">
        <v>2523</v>
      </c>
      <c r="J2313" s="4" t="s">
        <v>182</v>
      </c>
      <c r="K2313" s="4" t="s">
        <v>66</v>
      </c>
      <c r="L2313" s="4" t="s">
        <v>3742</v>
      </c>
      <c r="M2313" s="4" t="s">
        <v>3746</v>
      </c>
      <c r="N2313" s="4" t="s">
        <v>3747</v>
      </c>
      <c r="O2313" s="17">
        <f>INDEX('список ID из СУЭ с должностями'!$A:$F,MATCH(E2313,'список ID из СУЭ с должностями'!$B:$B,0),5)</f>
        <v>0</v>
      </c>
    </row>
    <row r="2314" spans="1:15" ht="60">
      <c r="A2314" s="3" t="s">
        <v>10</v>
      </c>
      <c r="B2314" s="3" t="s">
        <v>11</v>
      </c>
      <c r="C2314" s="4">
        <v>2026</v>
      </c>
      <c r="D2314" s="5" t="s">
        <v>12</v>
      </c>
      <c r="E2314" s="4">
        <v>319</v>
      </c>
      <c r="F2314" s="4" t="s">
        <v>385</v>
      </c>
      <c r="G2314" s="4" t="s">
        <v>386</v>
      </c>
      <c r="H2314" s="4" t="s">
        <v>21</v>
      </c>
      <c r="I2314" s="4" t="s">
        <v>2524</v>
      </c>
      <c r="J2314" s="4" t="s">
        <v>2525</v>
      </c>
      <c r="K2314" s="4" t="s">
        <v>188</v>
      </c>
      <c r="L2314" s="4" t="s">
        <v>3742</v>
      </c>
      <c r="M2314" s="4" t="s">
        <v>3746</v>
      </c>
      <c r="N2314" s="4" t="s">
        <v>3747</v>
      </c>
      <c r="O2314" s="17">
        <f>INDEX('список ID из СУЭ с должностями'!$A:$F,MATCH(E2314,'список ID из СУЭ с должностями'!$B:$B,0),5)</f>
        <v>0</v>
      </c>
    </row>
    <row r="2315" spans="1:15" ht="105">
      <c r="A2315" s="3" t="s">
        <v>10</v>
      </c>
      <c r="B2315" s="3" t="s">
        <v>11</v>
      </c>
      <c r="C2315" s="4">
        <v>2026</v>
      </c>
      <c r="D2315" s="5" t="s">
        <v>12</v>
      </c>
      <c r="E2315" s="4">
        <v>320</v>
      </c>
      <c r="F2315" s="4" t="s">
        <v>1290</v>
      </c>
      <c r="G2315" s="4" t="s">
        <v>820</v>
      </c>
      <c r="H2315" s="4" t="s">
        <v>15</v>
      </c>
      <c r="I2315" s="4" t="s">
        <v>2197</v>
      </c>
      <c r="J2315" s="4" t="s">
        <v>2198</v>
      </c>
      <c r="K2315" s="4" t="s">
        <v>66</v>
      </c>
      <c r="L2315" s="4" t="s">
        <v>3743</v>
      </c>
      <c r="M2315" s="4" t="s">
        <v>3746</v>
      </c>
      <c r="N2315" s="4" t="s">
        <v>3747</v>
      </c>
      <c r="O2315" s="17">
        <f>INDEX('список ID из СУЭ с должностями'!$A:$F,MATCH(E2315,'список ID из СУЭ с должностями'!$B:$B,0),5)</f>
        <v>0</v>
      </c>
    </row>
    <row r="2316" spans="1:15" ht="330">
      <c r="A2316" s="3" t="s">
        <v>10</v>
      </c>
      <c r="B2316" s="3" t="s">
        <v>11</v>
      </c>
      <c r="C2316" s="4">
        <v>2026</v>
      </c>
      <c r="D2316" s="5" t="s">
        <v>12</v>
      </c>
      <c r="E2316" s="4">
        <v>320</v>
      </c>
      <c r="F2316" s="4" t="s">
        <v>1290</v>
      </c>
      <c r="G2316" s="4" t="s">
        <v>820</v>
      </c>
      <c r="H2316" s="4" t="s">
        <v>15</v>
      </c>
      <c r="I2316" s="4" t="s">
        <v>323</v>
      </c>
      <c r="J2316" s="4" t="s">
        <v>826</v>
      </c>
      <c r="K2316" s="4" t="s">
        <v>151</v>
      </c>
      <c r="L2316" s="4" t="s">
        <v>3743</v>
      </c>
      <c r="M2316" s="4" t="s">
        <v>3746</v>
      </c>
      <c r="N2316" s="4" t="s">
        <v>3747</v>
      </c>
      <c r="O2316" s="17">
        <f>INDEX('список ID из СУЭ с должностями'!$A:$F,MATCH(E2316,'список ID из СУЭ с должностями'!$B:$B,0),5)</f>
        <v>0</v>
      </c>
    </row>
    <row r="2317" spans="1:15" ht="409.5">
      <c r="A2317" s="3" t="s">
        <v>10</v>
      </c>
      <c r="B2317" s="3" t="s">
        <v>11</v>
      </c>
      <c r="C2317" s="4">
        <v>2026</v>
      </c>
      <c r="D2317" s="5" t="s">
        <v>12</v>
      </c>
      <c r="E2317" s="4">
        <v>320</v>
      </c>
      <c r="F2317" s="4" t="s">
        <v>1290</v>
      </c>
      <c r="G2317" s="4" t="s">
        <v>820</v>
      </c>
      <c r="H2317" s="4" t="s">
        <v>15</v>
      </c>
      <c r="I2317" s="4" t="s">
        <v>354</v>
      </c>
      <c r="J2317" s="4" t="s">
        <v>2201</v>
      </c>
      <c r="K2317" s="4" t="s">
        <v>25</v>
      </c>
      <c r="L2317" s="4" t="s">
        <v>3743</v>
      </c>
      <c r="M2317" s="4" t="s">
        <v>3746</v>
      </c>
      <c r="N2317" s="4" t="s">
        <v>3747</v>
      </c>
      <c r="O2317" s="17">
        <f>INDEX('список ID из СУЭ с должностями'!$A:$F,MATCH(E2317,'список ID из СУЭ с должностями'!$B:$B,0),5)</f>
        <v>0</v>
      </c>
    </row>
    <row r="2318" spans="1:15" ht="165">
      <c r="A2318" s="3" t="s">
        <v>10</v>
      </c>
      <c r="B2318" s="3" t="s">
        <v>11</v>
      </c>
      <c r="C2318" s="4">
        <v>2026</v>
      </c>
      <c r="D2318" s="5" t="s">
        <v>12</v>
      </c>
      <c r="E2318" s="4">
        <v>320</v>
      </c>
      <c r="F2318" s="4" t="s">
        <v>1290</v>
      </c>
      <c r="G2318" s="4" t="s">
        <v>820</v>
      </c>
      <c r="H2318" s="4" t="s">
        <v>15</v>
      </c>
      <c r="I2318" s="4" t="s">
        <v>325</v>
      </c>
      <c r="J2318" s="4" t="s">
        <v>827</v>
      </c>
      <c r="K2318" s="4" t="s">
        <v>35</v>
      </c>
      <c r="L2318" s="4" t="s">
        <v>3743</v>
      </c>
      <c r="M2318" s="4" t="s">
        <v>3746</v>
      </c>
      <c r="N2318" s="4" t="s">
        <v>3747</v>
      </c>
      <c r="O2318" s="17">
        <f>INDEX('список ID из СУЭ с должностями'!$A:$F,MATCH(E2318,'список ID из СУЭ с должностями'!$B:$B,0),5)</f>
        <v>0</v>
      </c>
    </row>
    <row r="2319" spans="1:15" ht="105">
      <c r="A2319" s="3" t="s">
        <v>10</v>
      </c>
      <c r="B2319" s="3" t="s">
        <v>11</v>
      </c>
      <c r="C2319" s="4">
        <v>2026</v>
      </c>
      <c r="D2319" s="5" t="s">
        <v>12</v>
      </c>
      <c r="E2319" s="4">
        <v>320</v>
      </c>
      <c r="F2319" s="4" t="s">
        <v>1290</v>
      </c>
      <c r="G2319" s="4" t="s">
        <v>820</v>
      </c>
      <c r="H2319" s="4" t="s">
        <v>15</v>
      </c>
      <c r="I2319" s="4" t="s">
        <v>358</v>
      </c>
      <c r="J2319" s="4" t="s">
        <v>825</v>
      </c>
      <c r="K2319" s="4" t="s">
        <v>66</v>
      </c>
      <c r="L2319" s="4" t="s">
        <v>3743</v>
      </c>
      <c r="M2319" s="4" t="s">
        <v>3746</v>
      </c>
      <c r="N2319" s="4" t="s">
        <v>3747</v>
      </c>
      <c r="O2319" s="17">
        <f>INDEX('список ID из СУЭ с должностями'!$A:$F,MATCH(E2319,'список ID из СУЭ с должностями'!$B:$B,0),5)</f>
        <v>0</v>
      </c>
    </row>
    <row r="2320" spans="1:15" ht="315">
      <c r="A2320" s="3" t="s">
        <v>10</v>
      </c>
      <c r="B2320" s="3" t="s">
        <v>11</v>
      </c>
      <c r="C2320" s="4">
        <v>2026</v>
      </c>
      <c r="D2320" s="5" t="s">
        <v>12</v>
      </c>
      <c r="E2320" s="4">
        <v>320</v>
      </c>
      <c r="F2320" s="4" t="s">
        <v>1290</v>
      </c>
      <c r="G2320" s="4" t="s">
        <v>820</v>
      </c>
      <c r="H2320" s="4" t="s">
        <v>15</v>
      </c>
      <c r="I2320" s="4" t="s">
        <v>352</v>
      </c>
      <c r="J2320" s="4" t="s">
        <v>2199</v>
      </c>
      <c r="K2320" s="4" t="s">
        <v>25</v>
      </c>
      <c r="L2320" s="4" t="s">
        <v>3743</v>
      </c>
      <c r="M2320" s="4" t="s">
        <v>3746</v>
      </c>
      <c r="N2320" s="4" t="s">
        <v>3747</v>
      </c>
      <c r="O2320" s="17">
        <f>INDEX('список ID из СУЭ с должностями'!$A:$F,MATCH(E2320,'список ID из СУЭ с должностями'!$B:$B,0),5)</f>
        <v>0</v>
      </c>
    </row>
    <row r="2321" spans="1:15" ht="120">
      <c r="A2321" s="3" t="s">
        <v>10</v>
      </c>
      <c r="B2321" s="3" t="s">
        <v>11</v>
      </c>
      <c r="C2321" s="4">
        <v>2026</v>
      </c>
      <c r="D2321" s="5" t="s">
        <v>12</v>
      </c>
      <c r="E2321" s="4">
        <v>320</v>
      </c>
      <c r="F2321" s="4" t="s">
        <v>1290</v>
      </c>
      <c r="G2321" s="4" t="s">
        <v>820</v>
      </c>
      <c r="H2321" s="4" t="s">
        <v>15</v>
      </c>
      <c r="I2321" s="4" t="s">
        <v>356</v>
      </c>
      <c r="J2321" s="4" t="s">
        <v>2200</v>
      </c>
      <c r="K2321" s="4" t="s">
        <v>25</v>
      </c>
      <c r="L2321" s="4" t="s">
        <v>3743</v>
      </c>
      <c r="M2321" s="4" t="s">
        <v>3746</v>
      </c>
      <c r="N2321" s="4" t="s">
        <v>3747</v>
      </c>
      <c r="O2321" s="17">
        <f>INDEX('список ID из СУЭ с должностями'!$A:$F,MATCH(E2321,'список ID из СУЭ с должностями'!$B:$B,0),5)</f>
        <v>0</v>
      </c>
    </row>
    <row r="2322" spans="1:15" ht="315">
      <c r="A2322" s="3" t="s">
        <v>10</v>
      </c>
      <c r="B2322" s="3" t="s">
        <v>11</v>
      </c>
      <c r="C2322" s="4">
        <v>2026</v>
      </c>
      <c r="D2322" s="5" t="s">
        <v>12</v>
      </c>
      <c r="E2322" s="4">
        <v>320</v>
      </c>
      <c r="F2322" s="4" t="s">
        <v>1290</v>
      </c>
      <c r="G2322" s="4" t="s">
        <v>820</v>
      </c>
      <c r="H2322" s="4" t="s">
        <v>15</v>
      </c>
      <c r="I2322" s="4" t="s">
        <v>28</v>
      </c>
      <c r="J2322" s="4" t="s">
        <v>2196</v>
      </c>
      <c r="K2322" s="4" t="s">
        <v>38</v>
      </c>
      <c r="L2322" s="4" t="s">
        <v>3743</v>
      </c>
      <c r="M2322" s="4" t="s">
        <v>3746</v>
      </c>
      <c r="N2322" s="4" t="s">
        <v>3747</v>
      </c>
      <c r="O2322" s="17">
        <f>INDEX('список ID из СУЭ с должностями'!$A:$F,MATCH(E2322,'список ID из СУЭ с должностями'!$B:$B,0),5)</f>
        <v>0</v>
      </c>
    </row>
    <row r="2323" spans="1:15" ht="75">
      <c r="A2323" s="3" t="s">
        <v>10</v>
      </c>
      <c r="B2323" s="3" t="s">
        <v>11</v>
      </c>
      <c r="C2323" s="4">
        <v>2026</v>
      </c>
      <c r="D2323" s="5" t="s">
        <v>12</v>
      </c>
      <c r="E2323" s="4">
        <v>321</v>
      </c>
      <c r="F2323" s="4" t="s">
        <v>193</v>
      </c>
      <c r="G2323" s="4" t="s">
        <v>2526</v>
      </c>
      <c r="H2323" s="4" t="s">
        <v>15</v>
      </c>
      <c r="I2323" s="4" t="s">
        <v>601</v>
      </c>
      <c r="J2323" s="4" t="s">
        <v>602</v>
      </c>
      <c r="K2323" s="4" t="s">
        <v>52</v>
      </c>
      <c r="L2323" s="4" t="s">
        <v>3742</v>
      </c>
      <c r="M2323" s="4" t="s">
        <v>3746</v>
      </c>
      <c r="N2323" s="4" t="s">
        <v>3747</v>
      </c>
      <c r="O2323" s="17" t="str">
        <f>INDEX('список ID из СУЭ с должностями'!$A:$F,MATCH(E2323,'список ID из СУЭ с должностями'!$B:$B,0),5)</f>
        <v>Инж смены</v>
      </c>
    </row>
    <row r="2324" spans="1:15" ht="75">
      <c r="A2324" s="3" t="s">
        <v>10</v>
      </c>
      <c r="B2324" s="3" t="s">
        <v>11</v>
      </c>
      <c r="C2324" s="4">
        <v>2026</v>
      </c>
      <c r="D2324" s="5" t="s">
        <v>12</v>
      </c>
      <c r="E2324" s="4">
        <v>321</v>
      </c>
      <c r="F2324" s="4" t="s">
        <v>193</v>
      </c>
      <c r="G2324" s="4" t="s">
        <v>2526</v>
      </c>
      <c r="H2324" s="4" t="s">
        <v>15</v>
      </c>
      <c r="I2324" s="4" t="s">
        <v>603</v>
      </c>
      <c r="J2324" s="4" t="s">
        <v>604</v>
      </c>
      <c r="K2324" s="4" t="s">
        <v>52</v>
      </c>
      <c r="L2324" s="4" t="s">
        <v>3742</v>
      </c>
      <c r="M2324" s="4" t="s">
        <v>3746</v>
      </c>
      <c r="N2324" s="4" t="s">
        <v>3747</v>
      </c>
      <c r="O2324" s="17" t="str">
        <f>INDEX('список ID из СУЭ с должностями'!$A:$F,MATCH(E2324,'список ID из СУЭ с должностями'!$B:$B,0),5)</f>
        <v>Инж смены</v>
      </c>
    </row>
    <row r="2325" spans="1:15" ht="75">
      <c r="A2325" s="3" t="s">
        <v>10</v>
      </c>
      <c r="B2325" s="3" t="s">
        <v>11</v>
      </c>
      <c r="C2325" s="4">
        <v>2026</v>
      </c>
      <c r="D2325" s="5" t="s">
        <v>12</v>
      </c>
      <c r="E2325" s="4">
        <v>321</v>
      </c>
      <c r="F2325" s="4" t="s">
        <v>193</v>
      </c>
      <c r="G2325" s="4" t="s">
        <v>2526</v>
      </c>
      <c r="H2325" s="4" t="s">
        <v>15</v>
      </c>
      <c r="I2325" s="4" t="s">
        <v>605</v>
      </c>
      <c r="J2325" s="4" t="s">
        <v>965</v>
      </c>
      <c r="K2325" s="4" t="s">
        <v>52</v>
      </c>
      <c r="L2325" s="4" t="s">
        <v>3742</v>
      </c>
      <c r="M2325" s="4" t="s">
        <v>3746</v>
      </c>
      <c r="N2325" s="4" t="s">
        <v>3747</v>
      </c>
      <c r="O2325" s="17" t="str">
        <f>INDEX('список ID из СУЭ с должностями'!$A:$F,MATCH(E2325,'список ID из СУЭ с должностями'!$B:$B,0),5)</f>
        <v>Инж смены</v>
      </c>
    </row>
    <row r="2326" spans="1:15" ht="75">
      <c r="A2326" s="3" t="s">
        <v>10</v>
      </c>
      <c r="B2326" s="3" t="s">
        <v>11</v>
      </c>
      <c r="C2326" s="4">
        <v>2026</v>
      </c>
      <c r="D2326" s="5" t="s">
        <v>12</v>
      </c>
      <c r="E2326" s="4">
        <v>321</v>
      </c>
      <c r="F2326" s="4" t="s">
        <v>193</v>
      </c>
      <c r="G2326" s="4" t="s">
        <v>2526</v>
      </c>
      <c r="H2326" s="4" t="s">
        <v>15</v>
      </c>
      <c r="I2326" s="4" t="s">
        <v>1047</v>
      </c>
      <c r="J2326" s="4" t="s">
        <v>1048</v>
      </c>
      <c r="K2326" s="4" t="s">
        <v>52</v>
      </c>
      <c r="L2326" s="4" t="s">
        <v>3742</v>
      </c>
      <c r="M2326" s="4" t="s">
        <v>3746</v>
      </c>
      <c r="N2326" s="4" t="s">
        <v>3747</v>
      </c>
      <c r="O2326" s="17" t="str">
        <f>INDEX('список ID из СУЭ с должностями'!$A:$F,MATCH(E2326,'список ID из СУЭ с должностями'!$B:$B,0),5)</f>
        <v>Инж смены</v>
      </c>
    </row>
    <row r="2327" spans="1:15" ht="75">
      <c r="A2327" s="3" t="s">
        <v>10</v>
      </c>
      <c r="B2327" s="3" t="s">
        <v>11</v>
      </c>
      <c r="C2327" s="4">
        <v>2026</v>
      </c>
      <c r="D2327" s="5" t="s">
        <v>12</v>
      </c>
      <c r="E2327" s="4">
        <v>321</v>
      </c>
      <c r="F2327" s="4" t="s">
        <v>193</v>
      </c>
      <c r="G2327" s="4" t="s">
        <v>2526</v>
      </c>
      <c r="H2327" s="4" t="s">
        <v>15</v>
      </c>
      <c r="I2327" s="4" t="s">
        <v>607</v>
      </c>
      <c r="J2327" s="4" t="s">
        <v>1049</v>
      </c>
      <c r="K2327" s="4" t="s">
        <v>52</v>
      </c>
      <c r="L2327" s="4" t="s">
        <v>3742</v>
      </c>
      <c r="M2327" s="4" t="s">
        <v>3746</v>
      </c>
      <c r="N2327" s="4" t="s">
        <v>3747</v>
      </c>
      <c r="O2327" s="17" t="str">
        <f>INDEX('список ID из СУЭ с должностями'!$A:$F,MATCH(E2327,'список ID из СУЭ с должностями'!$B:$B,0),5)</f>
        <v>Инж смены</v>
      </c>
    </row>
    <row r="2328" spans="1:15" ht="75">
      <c r="A2328" s="3" t="s">
        <v>10</v>
      </c>
      <c r="B2328" s="3" t="s">
        <v>11</v>
      </c>
      <c r="C2328" s="4">
        <v>2026</v>
      </c>
      <c r="D2328" s="5" t="s">
        <v>12</v>
      </c>
      <c r="E2328" s="4">
        <v>321</v>
      </c>
      <c r="F2328" s="4" t="s">
        <v>193</v>
      </c>
      <c r="G2328" s="4" t="s">
        <v>2526</v>
      </c>
      <c r="H2328" s="4" t="s">
        <v>15</v>
      </c>
      <c r="I2328" s="4" t="s">
        <v>1050</v>
      </c>
      <c r="J2328" s="4" t="s">
        <v>610</v>
      </c>
      <c r="K2328" s="4" t="s">
        <v>52</v>
      </c>
      <c r="L2328" s="4" t="s">
        <v>3742</v>
      </c>
      <c r="M2328" s="4" t="s">
        <v>3746</v>
      </c>
      <c r="N2328" s="4" t="s">
        <v>3747</v>
      </c>
      <c r="O2328" s="17" t="str">
        <f>INDEX('список ID из СУЭ с должностями'!$A:$F,MATCH(E2328,'список ID из СУЭ с должностями'!$B:$B,0),5)</f>
        <v>Инж смены</v>
      </c>
    </row>
    <row r="2329" spans="1:15" ht="75">
      <c r="A2329" s="3" t="s">
        <v>10</v>
      </c>
      <c r="B2329" s="3" t="s">
        <v>11</v>
      </c>
      <c r="C2329" s="4">
        <v>2026</v>
      </c>
      <c r="D2329" s="5" t="s">
        <v>12</v>
      </c>
      <c r="E2329" s="4">
        <v>321</v>
      </c>
      <c r="F2329" s="4" t="s">
        <v>193</v>
      </c>
      <c r="G2329" s="4" t="s">
        <v>2526</v>
      </c>
      <c r="H2329" s="4" t="s">
        <v>15</v>
      </c>
      <c r="I2329" s="4" t="s">
        <v>599</v>
      </c>
      <c r="J2329" s="4" t="s">
        <v>1051</v>
      </c>
      <c r="K2329" s="4" t="s">
        <v>52</v>
      </c>
      <c r="L2329" s="4" t="s">
        <v>3742</v>
      </c>
      <c r="M2329" s="4" t="s">
        <v>3746</v>
      </c>
      <c r="N2329" s="4" t="s">
        <v>3747</v>
      </c>
      <c r="O2329" s="17" t="str">
        <f>INDEX('список ID из СУЭ с должностями'!$A:$F,MATCH(E2329,'список ID из СУЭ с должностями'!$B:$B,0),5)</f>
        <v>Инж смены</v>
      </c>
    </row>
    <row r="2330" spans="1:15" ht="75">
      <c r="A2330" s="3" t="s">
        <v>10</v>
      </c>
      <c r="B2330" s="3" t="s">
        <v>11</v>
      </c>
      <c r="C2330" s="4">
        <v>2026</v>
      </c>
      <c r="D2330" s="5" t="s">
        <v>12</v>
      </c>
      <c r="E2330" s="4">
        <v>322</v>
      </c>
      <c r="F2330" s="4" t="s">
        <v>146</v>
      </c>
      <c r="G2330" s="4" t="s">
        <v>558</v>
      </c>
      <c r="H2330" s="4" t="s">
        <v>15</v>
      </c>
      <c r="I2330" s="4" t="s">
        <v>35</v>
      </c>
      <c r="J2330" s="4">
        <v>0</v>
      </c>
      <c r="K2330" s="4" t="s">
        <v>35</v>
      </c>
      <c r="L2330" s="4" t="s">
        <v>3743</v>
      </c>
      <c r="M2330" s="4" t="s">
        <v>3746</v>
      </c>
      <c r="N2330" s="4" t="s">
        <v>3747</v>
      </c>
      <c r="O2330" s="17">
        <f>INDEX('список ID из СУЭ с должностями'!$A:$F,MATCH(E2330,'список ID из СУЭ с должностями'!$B:$B,0),5)</f>
        <v>0</v>
      </c>
    </row>
    <row r="2331" spans="1:15" ht="75">
      <c r="A2331" s="3" t="s">
        <v>10</v>
      </c>
      <c r="B2331" s="3" t="s">
        <v>11</v>
      </c>
      <c r="C2331" s="4">
        <v>2026</v>
      </c>
      <c r="D2331" s="5" t="s">
        <v>12</v>
      </c>
      <c r="E2331" s="4">
        <v>322</v>
      </c>
      <c r="F2331" s="4" t="s">
        <v>146</v>
      </c>
      <c r="G2331" s="4" t="s">
        <v>558</v>
      </c>
      <c r="H2331" s="4" t="s">
        <v>15</v>
      </c>
      <c r="I2331" s="4" t="s">
        <v>188</v>
      </c>
      <c r="J2331" s="4">
        <v>0</v>
      </c>
      <c r="K2331" s="4" t="s">
        <v>188</v>
      </c>
      <c r="L2331" s="4" t="s">
        <v>3743</v>
      </c>
      <c r="M2331" s="4" t="s">
        <v>3746</v>
      </c>
      <c r="N2331" s="4" t="s">
        <v>3747</v>
      </c>
      <c r="O2331" s="17">
        <f>INDEX('список ID из СУЭ с должностями'!$A:$F,MATCH(E2331,'список ID из СУЭ с должностями'!$B:$B,0),5)</f>
        <v>0</v>
      </c>
    </row>
    <row r="2332" spans="1:15" ht="90">
      <c r="A2332" s="3" t="s">
        <v>10</v>
      </c>
      <c r="B2332" s="3" t="s">
        <v>11</v>
      </c>
      <c r="C2332" s="4">
        <v>2026</v>
      </c>
      <c r="D2332" s="5" t="s">
        <v>12</v>
      </c>
      <c r="E2332" s="4">
        <v>322</v>
      </c>
      <c r="F2332" s="4" t="s">
        <v>146</v>
      </c>
      <c r="G2332" s="4" t="s">
        <v>558</v>
      </c>
      <c r="H2332" s="4" t="s">
        <v>21</v>
      </c>
      <c r="I2332" s="4" t="s">
        <v>2527</v>
      </c>
      <c r="J2332" s="4" t="s">
        <v>2528</v>
      </c>
      <c r="K2332" s="4" t="s">
        <v>993</v>
      </c>
      <c r="L2332" s="4" t="s">
        <v>3743</v>
      </c>
      <c r="M2332" s="4" t="s">
        <v>3746</v>
      </c>
      <c r="N2332" s="4" t="s">
        <v>3754</v>
      </c>
      <c r="O2332" s="17">
        <f>INDEX('список ID из СУЭ с должностями'!$A:$F,MATCH(E2332,'список ID из СУЭ с должностями'!$B:$B,0),5)</f>
        <v>0</v>
      </c>
    </row>
    <row r="2333" spans="1:15" ht="135">
      <c r="A2333" s="3" t="s">
        <v>10</v>
      </c>
      <c r="B2333" s="3" t="s">
        <v>11</v>
      </c>
      <c r="C2333" s="4">
        <v>2026</v>
      </c>
      <c r="D2333" s="5" t="s">
        <v>12</v>
      </c>
      <c r="E2333" s="4">
        <v>322</v>
      </c>
      <c r="F2333" s="4" t="s">
        <v>146</v>
      </c>
      <c r="G2333" s="4" t="s">
        <v>558</v>
      </c>
      <c r="H2333" s="4" t="s">
        <v>21</v>
      </c>
      <c r="I2333" s="4" t="s">
        <v>2529</v>
      </c>
      <c r="J2333" s="4" t="s">
        <v>2530</v>
      </c>
      <c r="K2333" s="4" t="s">
        <v>993</v>
      </c>
      <c r="L2333" s="4" t="s">
        <v>3743</v>
      </c>
      <c r="M2333" s="4" t="s">
        <v>3746</v>
      </c>
      <c r="N2333" s="4" t="s">
        <v>3754</v>
      </c>
      <c r="O2333" s="17">
        <f>INDEX('список ID из СУЭ с должностями'!$A:$F,MATCH(E2333,'список ID из СУЭ с должностями'!$B:$B,0),5)</f>
        <v>0</v>
      </c>
    </row>
    <row r="2334" spans="1:15" ht="75">
      <c r="A2334" s="3" t="s">
        <v>10</v>
      </c>
      <c r="B2334" s="3" t="s">
        <v>11</v>
      </c>
      <c r="C2334" s="4">
        <v>2026</v>
      </c>
      <c r="D2334" s="5" t="s">
        <v>12</v>
      </c>
      <c r="E2334" s="4">
        <v>322</v>
      </c>
      <c r="F2334" s="4" t="s">
        <v>146</v>
      </c>
      <c r="G2334" s="4" t="s">
        <v>558</v>
      </c>
      <c r="H2334" s="4" t="s">
        <v>21</v>
      </c>
      <c r="I2334" s="4" t="s">
        <v>559</v>
      </c>
      <c r="J2334" s="4" t="s">
        <v>560</v>
      </c>
      <c r="K2334" s="4" t="s">
        <v>25</v>
      </c>
      <c r="L2334" s="4" t="s">
        <v>3743</v>
      </c>
      <c r="M2334" s="4" t="s">
        <v>3746</v>
      </c>
      <c r="N2334" s="4" t="s">
        <v>3747</v>
      </c>
      <c r="O2334" s="17">
        <f>INDEX('список ID из СУЭ с должностями'!$A:$F,MATCH(E2334,'список ID из СУЭ с должностями'!$B:$B,0),5)</f>
        <v>0</v>
      </c>
    </row>
    <row r="2335" spans="1:15" ht="120">
      <c r="A2335" s="3" t="s">
        <v>10</v>
      </c>
      <c r="B2335" s="3" t="s">
        <v>11</v>
      </c>
      <c r="C2335" s="4">
        <v>2026</v>
      </c>
      <c r="D2335" s="5" t="s">
        <v>12</v>
      </c>
      <c r="E2335" s="4">
        <v>322</v>
      </c>
      <c r="F2335" s="4" t="s">
        <v>146</v>
      </c>
      <c r="G2335" s="4" t="s">
        <v>558</v>
      </c>
      <c r="H2335" s="4" t="s">
        <v>21</v>
      </c>
      <c r="I2335" s="4" t="s">
        <v>561</v>
      </c>
      <c r="J2335" s="4" t="s">
        <v>562</v>
      </c>
      <c r="K2335" s="4" t="s">
        <v>20</v>
      </c>
      <c r="L2335" s="4" t="s">
        <v>3743</v>
      </c>
      <c r="M2335" s="4" t="s">
        <v>3746</v>
      </c>
      <c r="N2335" s="4" t="s">
        <v>3747</v>
      </c>
      <c r="O2335" s="17">
        <f>INDEX('список ID из СУЭ с должностями'!$A:$F,MATCH(E2335,'список ID из СУЭ с должностями'!$B:$B,0),5)</f>
        <v>0</v>
      </c>
    </row>
    <row r="2336" spans="1:15" ht="120">
      <c r="A2336" s="3" t="s">
        <v>10</v>
      </c>
      <c r="B2336" s="3" t="s">
        <v>11</v>
      </c>
      <c r="C2336" s="4">
        <v>2026</v>
      </c>
      <c r="D2336" s="5" t="s">
        <v>264</v>
      </c>
      <c r="E2336" s="4">
        <v>323</v>
      </c>
      <c r="F2336" s="4" t="s">
        <v>280</v>
      </c>
      <c r="G2336" s="4" t="s">
        <v>240</v>
      </c>
      <c r="H2336" s="4" t="s">
        <v>21</v>
      </c>
      <c r="I2336" s="4" t="s">
        <v>1674</v>
      </c>
      <c r="J2336" s="4" t="s">
        <v>1675</v>
      </c>
      <c r="K2336" s="4" t="s">
        <v>52</v>
      </c>
      <c r="L2336" s="4" t="s">
        <v>3743</v>
      </c>
      <c r="M2336" s="4" t="s">
        <v>3746</v>
      </c>
      <c r="N2336" s="4" t="s">
        <v>3747</v>
      </c>
      <c r="O2336" s="17" t="str">
        <f>INDEX('список ID из СУЭ с должностями'!$A:$F,MATCH(E2336,'список ID из СУЭ с должностями'!$B:$B,0),5)</f>
        <v>ВИП</v>
      </c>
    </row>
    <row r="2337" spans="1:15" ht="75">
      <c r="A2337" s="3" t="s">
        <v>10</v>
      </c>
      <c r="B2337" s="3" t="s">
        <v>11</v>
      </c>
      <c r="C2337" s="4">
        <v>2026</v>
      </c>
      <c r="D2337" s="5" t="s">
        <v>264</v>
      </c>
      <c r="E2337" s="4">
        <v>323</v>
      </c>
      <c r="F2337" s="4" t="s">
        <v>280</v>
      </c>
      <c r="G2337" s="4" t="s">
        <v>240</v>
      </c>
      <c r="H2337" s="4" t="s">
        <v>15</v>
      </c>
      <c r="I2337" s="4" t="s">
        <v>2052</v>
      </c>
      <c r="J2337" s="4" t="s">
        <v>79</v>
      </c>
      <c r="K2337" s="4" t="s">
        <v>38</v>
      </c>
      <c r="L2337" s="4" t="s">
        <v>3742</v>
      </c>
      <c r="M2337" s="4" t="s">
        <v>3746</v>
      </c>
      <c r="N2337" s="4" t="s">
        <v>3747</v>
      </c>
      <c r="O2337" s="17" t="str">
        <f>INDEX('список ID из СУЭ с должностями'!$A:$F,MATCH(E2337,'список ID из СУЭ с должностями'!$B:$B,0),5)</f>
        <v>ВИП</v>
      </c>
    </row>
    <row r="2338" spans="1:15" ht="75">
      <c r="A2338" s="3" t="s">
        <v>10</v>
      </c>
      <c r="B2338" s="3" t="s">
        <v>11</v>
      </c>
      <c r="C2338" s="4">
        <v>2026</v>
      </c>
      <c r="D2338" s="5" t="s">
        <v>264</v>
      </c>
      <c r="E2338" s="4">
        <v>323</v>
      </c>
      <c r="F2338" s="4" t="s">
        <v>280</v>
      </c>
      <c r="G2338" s="4" t="s">
        <v>240</v>
      </c>
      <c r="H2338" s="4" t="s">
        <v>41</v>
      </c>
      <c r="I2338" s="4" t="s">
        <v>62</v>
      </c>
      <c r="J2338" s="4" t="s">
        <v>2068</v>
      </c>
      <c r="K2338" s="4" t="s">
        <v>55</v>
      </c>
      <c r="L2338" s="4" t="s">
        <v>3743</v>
      </c>
      <c r="M2338" s="4" t="s">
        <v>3746</v>
      </c>
      <c r="N2338" s="4" t="s">
        <v>3747</v>
      </c>
      <c r="O2338" s="17" t="str">
        <f>INDEX('список ID из СУЭ с должностями'!$A:$F,MATCH(E2338,'список ID из СУЭ с должностями'!$B:$B,0),5)</f>
        <v>ВИП</v>
      </c>
    </row>
    <row r="2339" spans="1:15" ht="409.5">
      <c r="A2339" s="3" t="s">
        <v>10</v>
      </c>
      <c r="B2339" s="3" t="s">
        <v>11</v>
      </c>
      <c r="C2339" s="4">
        <v>2026</v>
      </c>
      <c r="D2339" s="5" t="s">
        <v>264</v>
      </c>
      <c r="E2339" s="4">
        <v>323</v>
      </c>
      <c r="F2339" s="4" t="s">
        <v>280</v>
      </c>
      <c r="G2339" s="4" t="s">
        <v>240</v>
      </c>
      <c r="H2339" s="4" t="s">
        <v>15</v>
      </c>
      <c r="I2339" s="4" t="s">
        <v>189</v>
      </c>
      <c r="J2339" s="4" t="s">
        <v>2069</v>
      </c>
      <c r="K2339" s="4" t="s">
        <v>66</v>
      </c>
      <c r="L2339" s="4" t="s">
        <v>3743</v>
      </c>
      <c r="M2339" s="4" t="s">
        <v>3746</v>
      </c>
      <c r="N2339" s="4" t="s">
        <v>3747</v>
      </c>
      <c r="O2339" s="17" t="str">
        <f>INDEX('список ID из СУЭ с должностями'!$A:$F,MATCH(E2339,'список ID из СУЭ с должностями'!$B:$B,0),5)</f>
        <v>ВИП</v>
      </c>
    </row>
    <row r="2340" spans="1:15" ht="75">
      <c r="A2340" s="3" t="s">
        <v>10</v>
      </c>
      <c r="B2340" s="3" t="s">
        <v>11</v>
      </c>
      <c r="C2340" s="4">
        <v>2026</v>
      </c>
      <c r="D2340" s="5" t="s">
        <v>264</v>
      </c>
      <c r="E2340" s="4">
        <v>323</v>
      </c>
      <c r="F2340" s="4" t="s">
        <v>280</v>
      </c>
      <c r="G2340" s="4" t="s">
        <v>240</v>
      </c>
      <c r="H2340" s="4" t="s">
        <v>15</v>
      </c>
      <c r="I2340" s="4" t="s">
        <v>2070</v>
      </c>
      <c r="J2340" s="4" t="s">
        <v>2071</v>
      </c>
      <c r="K2340" s="4" t="s">
        <v>52</v>
      </c>
      <c r="L2340" s="4" t="s">
        <v>3743</v>
      </c>
      <c r="M2340" s="4" t="s">
        <v>3746</v>
      </c>
      <c r="N2340" s="4" t="s">
        <v>3747</v>
      </c>
      <c r="O2340" s="17" t="str">
        <f>INDEX('список ID из СУЭ с должностями'!$A:$F,MATCH(E2340,'список ID из СУЭ с должностями'!$B:$B,0),5)</f>
        <v>ВИП</v>
      </c>
    </row>
    <row r="2341" spans="1:15" ht="75">
      <c r="A2341" s="3" t="s">
        <v>10</v>
      </c>
      <c r="B2341" s="3" t="s">
        <v>11</v>
      </c>
      <c r="C2341" s="4">
        <v>2026</v>
      </c>
      <c r="D2341" s="5" t="s">
        <v>264</v>
      </c>
      <c r="E2341" s="4">
        <v>323</v>
      </c>
      <c r="F2341" s="4" t="s">
        <v>280</v>
      </c>
      <c r="G2341" s="4" t="s">
        <v>240</v>
      </c>
      <c r="H2341" s="4" t="s">
        <v>15</v>
      </c>
      <c r="I2341" s="4" t="s">
        <v>2048</v>
      </c>
      <c r="J2341" s="4" t="s">
        <v>2072</v>
      </c>
      <c r="K2341" s="4" t="s">
        <v>151</v>
      </c>
      <c r="L2341" s="4" t="s">
        <v>3742</v>
      </c>
      <c r="M2341" s="4" t="s">
        <v>3746</v>
      </c>
      <c r="N2341" s="4" t="s">
        <v>3747</v>
      </c>
      <c r="O2341" s="17" t="str">
        <f>INDEX('список ID из СУЭ с должностями'!$A:$F,MATCH(E2341,'список ID из СУЭ с должностями'!$B:$B,0),5)</f>
        <v>ВИП</v>
      </c>
    </row>
    <row r="2342" spans="1:15" ht="75">
      <c r="A2342" s="3" t="s">
        <v>10</v>
      </c>
      <c r="B2342" s="3" t="s">
        <v>11</v>
      </c>
      <c r="C2342" s="4">
        <v>2026</v>
      </c>
      <c r="D2342" s="5" t="s">
        <v>264</v>
      </c>
      <c r="E2342" s="4">
        <v>323</v>
      </c>
      <c r="F2342" s="4" t="s">
        <v>280</v>
      </c>
      <c r="G2342" s="4" t="s">
        <v>240</v>
      </c>
      <c r="H2342" s="4" t="s">
        <v>15</v>
      </c>
      <c r="I2342" s="4" t="s">
        <v>191</v>
      </c>
      <c r="J2342" s="4" t="s">
        <v>200</v>
      </c>
      <c r="K2342" s="4" t="s">
        <v>66</v>
      </c>
      <c r="L2342" s="4" t="s">
        <v>3742</v>
      </c>
      <c r="M2342" s="4" t="s">
        <v>3746</v>
      </c>
      <c r="N2342" s="4" t="s">
        <v>3747</v>
      </c>
      <c r="O2342" s="17" t="str">
        <f>INDEX('список ID из СУЭ с должностями'!$A:$F,MATCH(E2342,'список ID из СУЭ с должностями'!$B:$B,0),5)</f>
        <v>ВИП</v>
      </c>
    </row>
    <row r="2343" spans="1:15" ht="285">
      <c r="A2343" s="3" t="s">
        <v>10</v>
      </c>
      <c r="B2343" s="3" t="s">
        <v>11</v>
      </c>
      <c r="C2343" s="4">
        <v>2026</v>
      </c>
      <c r="D2343" s="5" t="s">
        <v>264</v>
      </c>
      <c r="E2343" s="4">
        <v>323</v>
      </c>
      <c r="F2343" s="4" t="s">
        <v>280</v>
      </c>
      <c r="G2343" s="4" t="s">
        <v>240</v>
      </c>
      <c r="H2343" s="4" t="s">
        <v>15</v>
      </c>
      <c r="I2343" s="4" t="s">
        <v>48</v>
      </c>
      <c r="J2343" s="4" t="s">
        <v>2067</v>
      </c>
      <c r="K2343" s="4" t="s">
        <v>35</v>
      </c>
      <c r="L2343" s="4" t="s">
        <v>3743</v>
      </c>
      <c r="M2343" s="4" t="s">
        <v>3746</v>
      </c>
      <c r="N2343" s="4" t="s">
        <v>3747</v>
      </c>
      <c r="O2343" s="17" t="str">
        <f>INDEX('список ID из СУЭ с должностями'!$A:$F,MATCH(E2343,'список ID из СУЭ с должностями'!$B:$B,0),5)</f>
        <v>ВИП</v>
      </c>
    </row>
    <row r="2344" spans="1:15" ht="409.5">
      <c r="A2344" s="3" t="s">
        <v>10</v>
      </c>
      <c r="B2344" s="3" t="s">
        <v>11</v>
      </c>
      <c r="C2344" s="4">
        <v>2026</v>
      </c>
      <c r="D2344" s="5" t="s">
        <v>264</v>
      </c>
      <c r="E2344" s="4">
        <v>323</v>
      </c>
      <c r="F2344" s="4" t="s">
        <v>280</v>
      </c>
      <c r="G2344" s="4" t="s">
        <v>240</v>
      </c>
      <c r="H2344" s="4" t="s">
        <v>15</v>
      </c>
      <c r="I2344" s="4" t="s">
        <v>25</v>
      </c>
      <c r="J2344" s="4" t="s">
        <v>1673</v>
      </c>
      <c r="K2344" s="4" t="s">
        <v>25</v>
      </c>
      <c r="L2344" s="4" t="s">
        <v>3743</v>
      </c>
      <c r="M2344" s="4" t="s">
        <v>3746</v>
      </c>
      <c r="N2344" s="4" t="s">
        <v>3747</v>
      </c>
      <c r="O2344" s="17" t="str">
        <f>INDEX('список ID из СУЭ с должностями'!$A:$F,MATCH(E2344,'список ID из СУЭ с должностями'!$B:$B,0),5)</f>
        <v>ВИП</v>
      </c>
    </row>
    <row r="2345" spans="1:15" ht="75">
      <c r="A2345" s="3" t="s">
        <v>10</v>
      </c>
      <c r="B2345" s="3" t="s">
        <v>11</v>
      </c>
      <c r="C2345" s="4">
        <v>2026</v>
      </c>
      <c r="D2345" s="5" t="s">
        <v>264</v>
      </c>
      <c r="E2345" s="4">
        <v>323</v>
      </c>
      <c r="F2345" s="4" t="s">
        <v>280</v>
      </c>
      <c r="G2345" s="4" t="s">
        <v>240</v>
      </c>
      <c r="H2345" s="4" t="s">
        <v>21</v>
      </c>
      <c r="I2345" s="4" t="s">
        <v>2073</v>
      </c>
      <c r="J2345" s="4" t="s">
        <v>2074</v>
      </c>
      <c r="K2345" s="4" t="s">
        <v>55</v>
      </c>
      <c r="L2345" s="4" t="s">
        <v>3742</v>
      </c>
      <c r="M2345" s="4" t="s">
        <v>3746</v>
      </c>
      <c r="N2345" s="4" t="s">
        <v>3747</v>
      </c>
      <c r="O2345" s="17" t="str">
        <f>INDEX('список ID из СУЭ с должностями'!$A:$F,MATCH(E2345,'список ID из СУЭ с должностями'!$B:$B,0),5)</f>
        <v>ВИП</v>
      </c>
    </row>
    <row r="2346" spans="1:15" ht="60">
      <c r="A2346" s="3" t="s">
        <v>10</v>
      </c>
      <c r="B2346" s="3" t="s">
        <v>11</v>
      </c>
      <c r="C2346" s="4">
        <v>2026</v>
      </c>
      <c r="D2346" s="5" t="s">
        <v>12</v>
      </c>
      <c r="E2346" s="4">
        <v>324</v>
      </c>
      <c r="F2346" s="4" t="s">
        <v>67</v>
      </c>
      <c r="G2346" s="4" t="s">
        <v>386</v>
      </c>
      <c r="H2346" s="4" t="s">
        <v>21</v>
      </c>
      <c r="I2346" s="4" t="s">
        <v>2531</v>
      </c>
      <c r="J2346" s="4" t="s">
        <v>2532</v>
      </c>
      <c r="K2346" s="4" t="s">
        <v>25</v>
      </c>
      <c r="L2346" s="4" t="s">
        <v>3743</v>
      </c>
      <c r="M2346" s="4" t="s">
        <v>3746</v>
      </c>
      <c r="N2346" s="4" t="s">
        <v>3747</v>
      </c>
      <c r="O2346" s="17">
        <f>INDEX('список ID из СУЭ с должностями'!$A:$F,MATCH(E2346,'список ID из СУЭ с должностями'!$B:$B,0),5)</f>
        <v>0</v>
      </c>
    </row>
    <row r="2347" spans="1:15" ht="60">
      <c r="A2347" s="3" t="s">
        <v>10</v>
      </c>
      <c r="B2347" s="3" t="s">
        <v>11</v>
      </c>
      <c r="C2347" s="4">
        <v>2026</v>
      </c>
      <c r="D2347" s="5" t="s">
        <v>12</v>
      </c>
      <c r="E2347" s="4">
        <v>324</v>
      </c>
      <c r="F2347" s="4" t="s">
        <v>67</v>
      </c>
      <c r="G2347" s="4" t="s">
        <v>386</v>
      </c>
      <c r="H2347" s="4" t="s">
        <v>41</v>
      </c>
      <c r="I2347" s="4" t="s">
        <v>2533</v>
      </c>
      <c r="J2347" s="4" t="s">
        <v>2534</v>
      </c>
      <c r="K2347" s="4" t="s">
        <v>188</v>
      </c>
      <c r="L2347" s="4" t="s">
        <v>3743</v>
      </c>
      <c r="M2347" s="4" t="s">
        <v>3746</v>
      </c>
      <c r="N2347" s="4" t="s">
        <v>3747</v>
      </c>
      <c r="O2347" s="17">
        <f>INDEX('список ID из СУЭ с должностями'!$A:$F,MATCH(E2347,'список ID из СУЭ с должностями'!$B:$B,0),5)</f>
        <v>0</v>
      </c>
    </row>
    <row r="2348" spans="1:15" ht="60">
      <c r="A2348" s="3" t="s">
        <v>10</v>
      </c>
      <c r="B2348" s="3" t="s">
        <v>11</v>
      </c>
      <c r="C2348" s="4">
        <v>2026</v>
      </c>
      <c r="D2348" s="5" t="s">
        <v>12</v>
      </c>
      <c r="E2348" s="4">
        <v>324</v>
      </c>
      <c r="F2348" s="4" t="s">
        <v>67</v>
      </c>
      <c r="G2348" s="4" t="s">
        <v>386</v>
      </c>
      <c r="H2348" s="4" t="s">
        <v>15</v>
      </c>
      <c r="I2348" s="4" t="s">
        <v>2535</v>
      </c>
      <c r="J2348" s="4" t="s">
        <v>2536</v>
      </c>
      <c r="K2348" s="4" t="s">
        <v>188</v>
      </c>
      <c r="L2348" s="4" t="s">
        <v>3742</v>
      </c>
      <c r="M2348" s="4" t="s">
        <v>3746</v>
      </c>
      <c r="N2348" s="4" t="s">
        <v>3747</v>
      </c>
      <c r="O2348" s="17">
        <f>INDEX('список ID из СУЭ с должностями'!$A:$F,MATCH(E2348,'список ID из СУЭ с должностями'!$B:$B,0),5)</f>
        <v>0</v>
      </c>
    </row>
    <row r="2349" spans="1:15" ht="45">
      <c r="A2349" s="3" t="s">
        <v>10</v>
      </c>
      <c r="B2349" s="3" t="s">
        <v>11</v>
      </c>
      <c r="C2349" s="4">
        <v>2026</v>
      </c>
      <c r="D2349" s="5" t="s">
        <v>12</v>
      </c>
      <c r="E2349" s="4">
        <v>324</v>
      </c>
      <c r="F2349" s="4" t="s">
        <v>67</v>
      </c>
      <c r="G2349" s="4" t="s">
        <v>386</v>
      </c>
      <c r="H2349" s="4" t="s">
        <v>15</v>
      </c>
      <c r="I2349" s="4" t="s">
        <v>2100</v>
      </c>
      <c r="J2349" s="4" t="s">
        <v>2537</v>
      </c>
      <c r="K2349" s="4" t="s">
        <v>35</v>
      </c>
      <c r="L2349" s="4" t="s">
        <v>3742</v>
      </c>
      <c r="M2349" s="4" t="s">
        <v>3746</v>
      </c>
      <c r="N2349" s="4" t="s">
        <v>3747</v>
      </c>
      <c r="O2349" s="17">
        <f>INDEX('список ID из СУЭ с должностями'!$A:$F,MATCH(E2349,'список ID из СУЭ с должностями'!$B:$B,0),5)</f>
        <v>0</v>
      </c>
    </row>
    <row r="2350" spans="1:15" ht="45">
      <c r="A2350" s="3" t="s">
        <v>10</v>
      </c>
      <c r="B2350" s="3" t="s">
        <v>11</v>
      </c>
      <c r="C2350" s="4">
        <v>2026</v>
      </c>
      <c r="D2350" s="5" t="s">
        <v>12</v>
      </c>
      <c r="E2350" s="4">
        <v>324</v>
      </c>
      <c r="F2350" s="4" t="s">
        <v>67</v>
      </c>
      <c r="G2350" s="4" t="s">
        <v>386</v>
      </c>
      <c r="H2350" s="4" t="s">
        <v>15</v>
      </c>
      <c r="I2350" s="4" t="s">
        <v>2538</v>
      </c>
      <c r="J2350" s="4" t="s">
        <v>2539</v>
      </c>
      <c r="K2350" s="4" t="s">
        <v>66</v>
      </c>
      <c r="L2350" s="4" t="s">
        <v>3742</v>
      </c>
      <c r="M2350" s="4" t="s">
        <v>3746</v>
      </c>
      <c r="N2350" s="4" t="s">
        <v>3747</v>
      </c>
      <c r="O2350" s="17">
        <f>INDEX('список ID из СУЭ с должностями'!$A:$F,MATCH(E2350,'список ID из СУЭ с должностями'!$B:$B,0),5)</f>
        <v>0</v>
      </c>
    </row>
    <row r="2351" spans="1:15" ht="45">
      <c r="A2351" s="3" t="s">
        <v>10</v>
      </c>
      <c r="B2351" s="3" t="s">
        <v>11</v>
      </c>
      <c r="C2351" s="4">
        <v>2026</v>
      </c>
      <c r="D2351" s="5" t="s">
        <v>12</v>
      </c>
      <c r="E2351" s="4">
        <v>324</v>
      </c>
      <c r="F2351" s="4" t="s">
        <v>67</v>
      </c>
      <c r="G2351" s="4" t="s">
        <v>386</v>
      </c>
      <c r="H2351" s="4" t="s">
        <v>21</v>
      </c>
      <c r="I2351" s="4" t="s">
        <v>2540</v>
      </c>
      <c r="J2351" s="4" t="s">
        <v>115</v>
      </c>
      <c r="K2351" s="4" t="s">
        <v>66</v>
      </c>
      <c r="L2351" s="4" t="s">
        <v>3742</v>
      </c>
      <c r="M2351" s="4" t="s">
        <v>3746</v>
      </c>
      <c r="N2351" s="4" t="s">
        <v>3747</v>
      </c>
      <c r="O2351" s="17">
        <f>INDEX('список ID из СУЭ с должностями'!$A:$F,MATCH(E2351,'список ID из СУЭ с должностями'!$B:$B,0),5)</f>
        <v>0</v>
      </c>
    </row>
    <row r="2352" spans="1:15" ht="60">
      <c r="A2352" s="3" t="s">
        <v>10</v>
      </c>
      <c r="B2352" s="3" t="s">
        <v>11</v>
      </c>
      <c r="C2352" s="4">
        <v>2026</v>
      </c>
      <c r="D2352" s="5" t="s">
        <v>12</v>
      </c>
      <c r="E2352" s="4">
        <v>325</v>
      </c>
      <c r="F2352" s="4" t="s">
        <v>67</v>
      </c>
      <c r="G2352" s="4" t="s">
        <v>68</v>
      </c>
      <c r="H2352" s="4" t="s">
        <v>21</v>
      </c>
      <c r="I2352" s="4" t="s">
        <v>2541</v>
      </c>
      <c r="J2352" s="4" t="s">
        <v>2542</v>
      </c>
      <c r="K2352" s="4" t="s">
        <v>23</v>
      </c>
      <c r="L2352" s="4" t="s">
        <v>3743</v>
      </c>
      <c r="M2352" s="4" t="s">
        <v>3748</v>
      </c>
      <c r="N2352" s="4" t="s">
        <v>3752</v>
      </c>
      <c r="O2352" s="17">
        <f>INDEX('список ID из СУЭ с должностями'!$A:$F,MATCH(E2352,'список ID из СУЭ с должностями'!$B:$B,0),5)</f>
        <v>0</v>
      </c>
    </row>
    <row r="2353" spans="1:15" ht="120">
      <c r="A2353" s="3" t="s">
        <v>10</v>
      </c>
      <c r="B2353" s="3" t="s">
        <v>11</v>
      </c>
      <c r="C2353" s="4">
        <v>2026</v>
      </c>
      <c r="D2353" s="5" t="s">
        <v>12</v>
      </c>
      <c r="E2353" s="4">
        <v>325</v>
      </c>
      <c r="F2353" s="4" t="s">
        <v>67</v>
      </c>
      <c r="G2353" s="4" t="s">
        <v>68</v>
      </c>
      <c r="H2353" s="4" t="s">
        <v>41</v>
      </c>
      <c r="I2353" s="4" t="s">
        <v>2543</v>
      </c>
      <c r="J2353" s="4" t="s">
        <v>2544</v>
      </c>
      <c r="K2353" s="4" t="s">
        <v>23</v>
      </c>
      <c r="L2353" s="4" t="s">
        <v>3743</v>
      </c>
      <c r="M2353" s="4" t="s">
        <v>3748</v>
      </c>
      <c r="N2353" s="4" t="s">
        <v>3749</v>
      </c>
      <c r="O2353" s="17">
        <f>INDEX('список ID из СУЭ с должностями'!$A:$F,MATCH(E2353,'список ID из СУЭ с должностями'!$B:$B,0),5)</f>
        <v>0</v>
      </c>
    </row>
    <row r="2354" spans="1:15" ht="150">
      <c r="A2354" s="3" t="s">
        <v>10</v>
      </c>
      <c r="B2354" s="3" t="s">
        <v>11</v>
      </c>
      <c r="C2354" s="4">
        <v>2026</v>
      </c>
      <c r="D2354" s="5" t="s">
        <v>12</v>
      </c>
      <c r="E2354" s="4">
        <v>325</v>
      </c>
      <c r="F2354" s="4" t="s">
        <v>67</v>
      </c>
      <c r="G2354" s="4" t="s">
        <v>68</v>
      </c>
      <c r="H2354" s="4" t="s">
        <v>41</v>
      </c>
      <c r="I2354" s="4" t="s">
        <v>2545</v>
      </c>
      <c r="J2354" s="4" t="s">
        <v>2546</v>
      </c>
      <c r="K2354" s="4" t="s">
        <v>23</v>
      </c>
      <c r="L2354" s="4" t="s">
        <v>3743</v>
      </c>
      <c r="M2354" s="4" t="s">
        <v>3748</v>
      </c>
      <c r="N2354" s="4" t="s">
        <v>3752</v>
      </c>
      <c r="O2354" s="17">
        <f>INDEX('список ID из СУЭ с должностями'!$A:$F,MATCH(E2354,'список ID из СУЭ с должностями'!$B:$B,0),5)</f>
        <v>0</v>
      </c>
    </row>
    <row r="2355" spans="1:15" ht="90">
      <c r="A2355" s="3" t="s">
        <v>10</v>
      </c>
      <c r="B2355" s="3" t="s">
        <v>11</v>
      </c>
      <c r="C2355" s="4">
        <v>2026</v>
      </c>
      <c r="D2355" s="5" t="s">
        <v>12</v>
      </c>
      <c r="E2355" s="4">
        <v>325</v>
      </c>
      <c r="F2355" s="4" t="s">
        <v>67</v>
      </c>
      <c r="G2355" s="4" t="s">
        <v>68</v>
      </c>
      <c r="H2355" s="4" t="s">
        <v>15</v>
      </c>
      <c r="I2355" s="4" t="s">
        <v>2547</v>
      </c>
      <c r="J2355" s="4" t="s">
        <v>2548</v>
      </c>
      <c r="K2355" s="4" t="s">
        <v>23</v>
      </c>
      <c r="L2355" s="4" t="s">
        <v>3743</v>
      </c>
      <c r="M2355" s="4" t="s">
        <v>3748</v>
      </c>
      <c r="N2355" s="4" t="s">
        <v>3752</v>
      </c>
      <c r="O2355" s="17">
        <f>INDEX('список ID из СУЭ с должностями'!$A:$F,MATCH(E2355,'список ID из СУЭ с должностями'!$B:$B,0),5)</f>
        <v>0</v>
      </c>
    </row>
    <row r="2356" spans="1:15" ht="60">
      <c r="A2356" s="3" t="s">
        <v>10</v>
      </c>
      <c r="B2356" s="3" t="s">
        <v>11</v>
      </c>
      <c r="C2356" s="4">
        <v>2026</v>
      </c>
      <c r="D2356" s="5" t="s">
        <v>12</v>
      </c>
      <c r="E2356" s="4">
        <v>325</v>
      </c>
      <c r="F2356" s="4" t="s">
        <v>67</v>
      </c>
      <c r="G2356" s="4" t="s">
        <v>68</v>
      </c>
      <c r="H2356" s="4" t="s">
        <v>15</v>
      </c>
      <c r="I2356" s="4" t="s">
        <v>2549</v>
      </c>
      <c r="J2356" s="4" t="s">
        <v>79</v>
      </c>
      <c r="K2356" s="4" t="s">
        <v>38</v>
      </c>
      <c r="L2356" s="4" t="s">
        <v>3742</v>
      </c>
      <c r="M2356" s="4" t="s">
        <v>3746</v>
      </c>
      <c r="N2356" s="4" t="s">
        <v>3747</v>
      </c>
      <c r="O2356" s="17">
        <f>INDEX('список ID из СУЭ с должностями'!$A:$F,MATCH(E2356,'список ID из СУЭ с должностями'!$B:$B,0),5)</f>
        <v>0</v>
      </c>
    </row>
    <row r="2357" spans="1:15" ht="105">
      <c r="A2357" s="3" t="s">
        <v>10</v>
      </c>
      <c r="B2357" s="3" t="s">
        <v>11</v>
      </c>
      <c r="C2357" s="4">
        <v>2026</v>
      </c>
      <c r="D2357" s="5" t="s">
        <v>12</v>
      </c>
      <c r="E2357" s="4">
        <v>326</v>
      </c>
      <c r="F2357" s="4" t="s">
        <v>2228</v>
      </c>
      <c r="G2357" s="4" t="s">
        <v>2550</v>
      </c>
      <c r="H2357" s="4" t="s">
        <v>21</v>
      </c>
      <c r="I2357" s="4" t="s">
        <v>2551</v>
      </c>
      <c r="J2357" s="4" t="s">
        <v>2552</v>
      </c>
      <c r="K2357" s="4" t="s">
        <v>2235</v>
      </c>
      <c r="L2357" s="4" t="s">
        <v>3743</v>
      </c>
      <c r="M2357" s="4" t="s">
        <v>3746</v>
      </c>
      <c r="N2357" s="4" t="s">
        <v>3775</v>
      </c>
      <c r="O2357" s="17">
        <f>INDEX('список ID из СУЭ с должностями'!$A:$F,MATCH(E2357,'список ID из СУЭ с должностями'!$B:$B,0),5)</f>
        <v>0</v>
      </c>
    </row>
    <row r="2358" spans="1:15" ht="60">
      <c r="A2358" s="3" t="s">
        <v>10</v>
      </c>
      <c r="B2358" s="3" t="s">
        <v>11</v>
      </c>
      <c r="C2358" s="4">
        <v>2026</v>
      </c>
      <c r="D2358" s="5" t="s">
        <v>12</v>
      </c>
      <c r="E2358" s="4">
        <v>326</v>
      </c>
      <c r="F2358" s="4" t="s">
        <v>2228</v>
      </c>
      <c r="G2358" s="4" t="s">
        <v>2550</v>
      </c>
      <c r="H2358" s="4" t="s">
        <v>15</v>
      </c>
      <c r="I2358" s="4" t="s">
        <v>2553</v>
      </c>
      <c r="J2358" s="4" t="s">
        <v>2554</v>
      </c>
      <c r="K2358" s="4" t="s">
        <v>2232</v>
      </c>
      <c r="L2358" s="4" t="s">
        <v>3743</v>
      </c>
      <c r="M2358" s="4" t="s">
        <v>3746</v>
      </c>
      <c r="N2358" s="4" t="s">
        <v>3775</v>
      </c>
      <c r="O2358" s="17">
        <f>INDEX('список ID из СУЭ с должностями'!$A:$F,MATCH(E2358,'список ID из СУЭ с должностями'!$B:$B,0),5)</f>
        <v>0</v>
      </c>
    </row>
    <row r="2359" spans="1:15" ht="60">
      <c r="A2359" s="3" t="s">
        <v>10</v>
      </c>
      <c r="B2359" s="3" t="s">
        <v>11</v>
      </c>
      <c r="C2359" s="4">
        <v>2026</v>
      </c>
      <c r="D2359" s="5" t="s">
        <v>12</v>
      </c>
      <c r="E2359" s="4">
        <v>326</v>
      </c>
      <c r="F2359" s="4" t="s">
        <v>2228</v>
      </c>
      <c r="G2359" s="4" t="s">
        <v>2550</v>
      </c>
      <c r="H2359" s="4" t="s">
        <v>15</v>
      </c>
      <c r="I2359" s="4" t="s">
        <v>2555</v>
      </c>
      <c r="J2359" s="4" t="s">
        <v>2556</v>
      </c>
      <c r="K2359" s="4" t="s">
        <v>30</v>
      </c>
      <c r="L2359" s="4" t="s">
        <v>3743</v>
      </c>
      <c r="M2359" s="4" t="s">
        <v>3746</v>
      </c>
      <c r="N2359" s="4" t="s">
        <v>3747</v>
      </c>
      <c r="O2359" s="17">
        <f>INDEX('список ID из СУЭ с должностями'!$A:$F,MATCH(E2359,'список ID из СУЭ с должностями'!$B:$B,0),5)</f>
        <v>0</v>
      </c>
    </row>
    <row r="2360" spans="1:15" ht="195">
      <c r="A2360" s="3" t="s">
        <v>10</v>
      </c>
      <c r="B2360" s="3" t="s">
        <v>11</v>
      </c>
      <c r="C2360" s="4">
        <v>2026</v>
      </c>
      <c r="D2360" s="5" t="s">
        <v>12</v>
      </c>
      <c r="E2360" s="4">
        <v>326</v>
      </c>
      <c r="F2360" s="4" t="s">
        <v>2228</v>
      </c>
      <c r="G2360" s="4" t="s">
        <v>2550</v>
      </c>
      <c r="H2360" s="4" t="s">
        <v>21</v>
      </c>
      <c r="I2360" s="4" t="s">
        <v>2252</v>
      </c>
      <c r="J2360" s="4" t="s">
        <v>2253</v>
      </c>
      <c r="K2360" s="4" t="s">
        <v>2232</v>
      </c>
      <c r="L2360" s="4" t="s">
        <v>3743</v>
      </c>
      <c r="M2360" s="4" t="s">
        <v>3746</v>
      </c>
      <c r="N2360" s="4" t="s">
        <v>3775</v>
      </c>
      <c r="O2360" s="17">
        <f>INDEX('список ID из СУЭ с должностями'!$A:$F,MATCH(E2360,'список ID из СУЭ с должностями'!$B:$B,0),5)</f>
        <v>0</v>
      </c>
    </row>
    <row r="2361" spans="1:15" ht="105">
      <c r="A2361" s="3" t="s">
        <v>10</v>
      </c>
      <c r="B2361" s="3" t="s">
        <v>11</v>
      </c>
      <c r="C2361" s="4">
        <v>2026</v>
      </c>
      <c r="D2361" s="5" t="s">
        <v>12</v>
      </c>
      <c r="E2361" s="4">
        <v>326</v>
      </c>
      <c r="F2361" s="4" t="s">
        <v>2228</v>
      </c>
      <c r="G2361" s="4" t="s">
        <v>2550</v>
      </c>
      <c r="H2361" s="4" t="s">
        <v>15</v>
      </c>
      <c r="I2361" s="4" t="s">
        <v>2557</v>
      </c>
      <c r="J2361" s="4" t="s">
        <v>2558</v>
      </c>
      <c r="K2361" s="4" t="s">
        <v>2232</v>
      </c>
      <c r="L2361" s="4" t="s">
        <v>3743</v>
      </c>
      <c r="M2361" s="4" t="s">
        <v>3746</v>
      </c>
      <c r="N2361" s="4" t="s">
        <v>3775</v>
      </c>
      <c r="O2361" s="17">
        <f>INDEX('список ID из СУЭ с должностями'!$A:$F,MATCH(E2361,'список ID из СУЭ с должностями'!$B:$B,0),5)</f>
        <v>0</v>
      </c>
    </row>
    <row r="2362" spans="1:15" ht="105">
      <c r="A2362" s="3" t="s">
        <v>10</v>
      </c>
      <c r="B2362" s="3" t="s">
        <v>11</v>
      </c>
      <c r="C2362" s="4">
        <v>2026</v>
      </c>
      <c r="D2362" s="5" t="s">
        <v>12</v>
      </c>
      <c r="E2362" s="4">
        <v>326</v>
      </c>
      <c r="F2362" s="4" t="s">
        <v>2228</v>
      </c>
      <c r="G2362" s="4" t="s">
        <v>2550</v>
      </c>
      <c r="H2362" s="4" t="s">
        <v>15</v>
      </c>
      <c r="I2362" s="4" t="s">
        <v>2559</v>
      </c>
      <c r="J2362" s="4" t="s">
        <v>2560</v>
      </c>
      <c r="K2362" s="4" t="s">
        <v>2235</v>
      </c>
      <c r="L2362" s="4" t="s">
        <v>3743</v>
      </c>
      <c r="M2362" s="4" t="s">
        <v>3746</v>
      </c>
      <c r="N2362" s="4" t="s">
        <v>3775</v>
      </c>
      <c r="O2362" s="17">
        <f>INDEX('список ID из СУЭ с должностями'!$A:$F,MATCH(E2362,'список ID из СУЭ с должностями'!$B:$B,0),5)</f>
        <v>0</v>
      </c>
    </row>
    <row r="2363" spans="1:15" ht="75">
      <c r="A2363" s="3" t="s">
        <v>10</v>
      </c>
      <c r="B2363" s="3" t="s">
        <v>11</v>
      </c>
      <c r="C2363" s="4">
        <v>2026</v>
      </c>
      <c r="D2363" s="5" t="s">
        <v>12</v>
      </c>
      <c r="E2363" s="4">
        <v>326</v>
      </c>
      <c r="F2363" s="4" t="s">
        <v>2228</v>
      </c>
      <c r="G2363" s="4" t="s">
        <v>2550</v>
      </c>
      <c r="H2363" s="4" t="s">
        <v>15</v>
      </c>
      <c r="I2363" s="4" t="s">
        <v>2561</v>
      </c>
      <c r="J2363" s="4" t="s">
        <v>2562</v>
      </c>
      <c r="K2363" s="4" t="s">
        <v>38</v>
      </c>
      <c r="L2363" s="4" t="s">
        <v>3743</v>
      </c>
      <c r="M2363" s="4" t="s">
        <v>3746</v>
      </c>
      <c r="N2363" s="4" t="s">
        <v>3747</v>
      </c>
      <c r="O2363" s="17">
        <f>INDEX('список ID из СУЭ с должностями'!$A:$F,MATCH(E2363,'список ID из СУЭ с должностями'!$B:$B,0),5)</f>
        <v>0</v>
      </c>
    </row>
    <row r="2364" spans="1:15" ht="90">
      <c r="A2364" s="3" t="s">
        <v>10</v>
      </c>
      <c r="B2364" s="3" t="s">
        <v>11</v>
      </c>
      <c r="C2364" s="4">
        <v>2026</v>
      </c>
      <c r="D2364" s="5" t="s">
        <v>12</v>
      </c>
      <c r="E2364" s="4">
        <v>327</v>
      </c>
      <c r="F2364" s="4" t="s">
        <v>67</v>
      </c>
      <c r="G2364" s="4" t="s">
        <v>1347</v>
      </c>
      <c r="H2364" s="4" t="s">
        <v>15</v>
      </c>
      <c r="I2364" s="4" t="s">
        <v>2100</v>
      </c>
      <c r="J2364" s="4" t="s">
        <v>2563</v>
      </c>
      <c r="K2364" s="4" t="s">
        <v>35</v>
      </c>
      <c r="L2364" s="4" t="s">
        <v>3743</v>
      </c>
      <c r="M2364" s="4" t="s">
        <v>3746</v>
      </c>
      <c r="N2364" s="4" t="s">
        <v>3747</v>
      </c>
      <c r="O2364" s="17">
        <f>INDEX('список ID из СУЭ с должностями'!$A:$F,MATCH(E2364,'список ID из СУЭ с должностями'!$B:$B,0),5)</f>
        <v>0</v>
      </c>
    </row>
    <row r="2365" spans="1:15" ht="409.5">
      <c r="A2365" s="3" t="s">
        <v>10</v>
      </c>
      <c r="B2365" s="3" t="s">
        <v>11</v>
      </c>
      <c r="C2365" s="4">
        <v>2026</v>
      </c>
      <c r="D2365" s="5" t="s">
        <v>12</v>
      </c>
      <c r="E2365" s="4">
        <v>327</v>
      </c>
      <c r="F2365" s="4" t="s">
        <v>67</v>
      </c>
      <c r="G2365" s="4" t="s">
        <v>1347</v>
      </c>
      <c r="H2365" s="4" t="s">
        <v>15</v>
      </c>
      <c r="I2365" s="4" t="s">
        <v>1354</v>
      </c>
      <c r="J2365" s="4" t="s">
        <v>2564</v>
      </c>
      <c r="K2365" s="4" t="s">
        <v>35</v>
      </c>
      <c r="L2365" s="4" t="s">
        <v>3743</v>
      </c>
      <c r="M2365" s="4" t="s">
        <v>3746</v>
      </c>
      <c r="N2365" s="4" t="s">
        <v>3747</v>
      </c>
      <c r="O2365" s="17">
        <f>INDEX('список ID из СУЭ с должностями'!$A:$F,MATCH(E2365,'список ID из СУЭ с должностями'!$B:$B,0),5)</f>
        <v>0</v>
      </c>
    </row>
    <row r="2366" spans="1:15" ht="75">
      <c r="A2366" s="3" t="s">
        <v>10</v>
      </c>
      <c r="B2366" s="3" t="s">
        <v>11</v>
      </c>
      <c r="C2366" s="4">
        <v>2026</v>
      </c>
      <c r="D2366" s="5" t="s">
        <v>12</v>
      </c>
      <c r="E2366" s="4">
        <v>327</v>
      </c>
      <c r="F2366" s="4" t="s">
        <v>67</v>
      </c>
      <c r="G2366" s="4" t="s">
        <v>1347</v>
      </c>
      <c r="H2366" s="4" t="s">
        <v>15</v>
      </c>
      <c r="I2366" s="4" t="s">
        <v>2565</v>
      </c>
      <c r="J2366" s="4" t="s">
        <v>1914</v>
      </c>
      <c r="K2366" s="4" t="s">
        <v>52</v>
      </c>
      <c r="L2366" s="4" t="s">
        <v>3743</v>
      </c>
      <c r="M2366" s="4" t="s">
        <v>3746</v>
      </c>
      <c r="N2366" s="4" t="s">
        <v>3747</v>
      </c>
      <c r="O2366" s="17">
        <f>INDEX('список ID из СУЭ с должностями'!$A:$F,MATCH(E2366,'список ID из СУЭ с должностями'!$B:$B,0),5)</f>
        <v>0</v>
      </c>
    </row>
    <row r="2367" spans="1:15" ht="75">
      <c r="A2367" s="3" t="s">
        <v>10</v>
      </c>
      <c r="B2367" s="3" t="s">
        <v>11</v>
      </c>
      <c r="C2367" s="4">
        <v>2026</v>
      </c>
      <c r="D2367" s="5" t="s">
        <v>12</v>
      </c>
      <c r="E2367" s="4">
        <v>327</v>
      </c>
      <c r="F2367" s="4" t="s">
        <v>67</v>
      </c>
      <c r="G2367" s="4" t="s">
        <v>1347</v>
      </c>
      <c r="H2367" s="4" t="s">
        <v>15</v>
      </c>
      <c r="I2367" s="4" t="s">
        <v>2566</v>
      </c>
      <c r="J2367" s="4" t="s">
        <v>1914</v>
      </c>
      <c r="K2367" s="4" t="s">
        <v>25</v>
      </c>
      <c r="L2367" s="4" t="s">
        <v>3743</v>
      </c>
      <c r="M2367" s="4" t="s">
        <v>3746</v>
      </c>
      <c r="N2367" s="4" t="s">
        <v>3747</v>
      </c>
      <c r="O2367" s="17">
        <f>INDEX('список ID из СУЭ с должностями'!$A:$F,MATCH(E2367,'список ID из СУЭ с должностями'!$B:$B,0),5)</f>
        <v>0</v>
      </c>
    </row>
    <row r="2368" spans="1:15" ht="75">
      <c r="A2368" s="3" t="s">
        <v>10</v>
      </c>
      <c r="B2368" s="3" t="s">
        <v>11</v>
      </c>
      <c r="C2368" s="4">
        <v>2026</v>
      </c>
      <c r="D2368" s="5" t="s">
        <v>12</v>
      </c>
      <c r="E2368" s="4">
        <v>327</v>
      </c>
      <c r="F2368" s="4" t="s">
        <v>67</v>
      </c>
      <c r="G2368" s="4" t="s">
        <v>1347</v>
      </c>
      <c r="H2368" s="4" t="s">
        <v>15</v>
      </c>
      <c r="I2368" s="4" t="s">
        <v>2567</v>
      </c>
      <c r="J2368" s="4" t="s">
        <v>1914</v>
      </c>
      <c r="K2368" s="4" t="s">
        <v>25</v>
      </c>
      <c r="L2368" s="4" t="s">
        <v>3743</v>
      </c>
      <c r="M2368" s="4" t="s">
        <v>3746</v>
      </c>
      <c r="N2368" s="4" t="s">
        <v>3747</v>
      </c>
      <c r="O2368" s="17">
        <f>INDEX('список ID из СУЭ с должностями'!$A:$F,MATCH(E2368,'список ID из СУЭ с должностями'!$B:$B,0),5)</f>
        <v>0</v>
      </c>
    </row>
    <row r="2369" spans="1:15" ht="60">
      <c r="A2369" s="3" t="s">
        <v>10</v>
      </c>
      <c r="B2369" s="3" t="s">
        <v>11</v>
      </c>
      <c r="C2369" s="4">
        <v>2026</v>
      </c>
      <c r="D2369" s="5" t="s">
        <v>12</v>
      </c>
      <c r="E2369" s="4">
        <v>328</v>
      </c>
      <c r="F2369" s="4" t="s">
        <v>247</v>
      </c>
      <c r="G2369" s="4" t="s">
        <v>158</v>
      </c>
      <c r="H2369" s="4" t="s">
        <v>21</v>
      </c>
      <c r="I2369" s="4" t="s">
        <v>221</v>
      </c>
      <c r="J2369" s="4" t="s">
        <v>2568</v>
      </c>
      <c r="K2369" s="4" t="s">
        <v>151</v>
      </c>
      <c r="L2369" s="4" t="s">
        <v>3743</v>
      </c>
      <c r="M2369" s="4" t="s">
        <v>3746</v>
      </c>
      <c r="N2369" s="4" t="s">
        <v>3747</v>
      </c>
      <c r="O2369" s="17">
        <f>INDEX('список ID из СУЭ с должностями'!$A:$F,MATCH(E2369,'список ID из СУЭ с должностями'!$B:$B,0),5)</f>
        <v>0</v>
      </c>
    </row>
    <row r="2370" spans="1:15" ht="105">
      <c r="A2370" s="3" t="s">
        <v>10</v>
      </c>
      <c r="B2370" s="3" t="s">
        <v>11</v>
      </c>
      <c r="C2370" s="4">
        <v>2026</v>
      </c>
      <c r="D2370" s="5" t="s">
        <v>12</v>
      </c>
      <c r="E2370" s="4">
        <v>328</v>
      </c>
      <c r="F2370" s="4" t="s">
        <v>247</v>
      </c>
      <c r="G2370" s="4" t="s">
        <v>158</v>
      </c>
      <c r="H2370" s="4" t="s">
        <v>21</v>
      </c>
      <c r="I2370" s="4" t="s">
        <v>2569</v>
      </c>
      <c r="J2370" s="4" t="s">
        <v>2570</v>
      </c>
      <c r="K2370" s="4" t="s">
        <v>151</v>
      </c>
      <c r="L2370" s="4" t="s">
        <v>3743</v>
      </c>
      <c r="M2370" s="4" t="s">
        <v>3746</v>
      </c>
      <c r="N2370" s="4" t="s">
        <v>3747</v>
      </c>
      <c r="O2370" s="17">
        <f>INDEX('список ID из СУЭ с должностями'!$A:$F,MATCH(E2370,'список ID из СУЭ с должностями'!$B:$B,0),5)</f>
        <v>0</v>
      </c>
    </row>
    <row r="2371" spans="1:15" ht="120">
      <c r="A2371" s="3" t="s">
        <v>10</v>
      </c>
      <c r="B2371" s="3" t="s">
        <v>11</v>
      </c>
      <c r="C2371" s="4">
        <v>2026</v>
      </c>
      <c r="D2371" s="5" t="s">
        <v>12</v>
      </c>
      <c r="E2371" s="4">
        <v>328</v>
      </c>
      <c r="F2371" s="4" t="s">
        <v>247</v>
      </c>
      <c r="G2371" s="4" t="s">
        <v>158</v>
      </c>
      <c r="H2371" s="4" t="s">
        <v>21</v>
      </c>
      <c r="I2371" s="4" t="s">
        <v>2571</v>
      </c>
      <c r="J2371" s="4" t="s">
        <v>2572</v>
      </c>
      <c r="K2371" s="4" t="s">
        <v>151</v>
      </c>
      <c r="L2371" s="4" t="s">
        <v>3743</v>
      </c>
      <c r="M2371" s="4" t="s">
        <v>3746</v>
      </c>
      <c r="N2371" s="4" t="s">
        <v>3747</v>
      </c>
      <c r="O2371" s="17">
        <f>INDEX('список ID из СУЭ с должностями'!$A:$F,MATCH(E2371,'список ID из СУЭ с должностями'!$B:$B,0),5)</f>
        <v>0</v>
      </c>
    </row>
    <row r="2372" spans="1:15" ht="60">
      <c r="A2372" s="3" t="s">
        <v>10</v>
      </c>
      <c r="B2372" s="3" t="s">
        <v>11</v>
      </c>
      <c r="C2372" s="4">
        <v>2026</v>
      </c>
      <c r="D2372" s="5" t="s">
        <v>12</v>
      </c>
      <c r="E2372" s="4">
        <v>328</v>
      </c>
      <c r="F2372" s="4" t="s">
        <v>247</v>
      </c>
      <c r="G2372" s="4" t="s">
        <v>158</v>
      </c>
      <c r="H2372" s="4" t="s">
        <v>21</v>
      </c>
      <c r="I2372" s="4" t="s">
        <v>528</v>
      </c>
      <c r="J2372" s="4" t="s">
        <v>2573</v>
      </c>
      <c r="K2372" s="4" t="s">
        <v>151</v>
      </c>
      <c r="L2372" s="4" t="s">
        <v>3743</v>
      </c>
      <c r="M2372" s="4" t="s">
        <v>3746</v>
      </c>
      <c r="N2372" s="4" t="s">
        <v>3747</v>
      </c>
      <c r="O2372" s="17">
        <f>INDEX('список ID из СУЭ с должностями'!$A:$F,MATCH(E2372,'список ID из СУЭ с должностями'!$B:$B,0),5)</f>
        <v>0</v>
      </c>
    </row>
    <row r="2373" spans="1:15" ht="60">
      <c r="A2373" s="3" t="s">
        <v>10</v>
      </c>
      <c r="B2373" s="3" t="s">
        <v>11</v>
      </c>
      <c r="C2373" s="4">
        <v>2026</v>
      </c>
      <c r="D2373" s="5" t="s">
        <v>12</v>
      </c>
      <c r="E2373" s="4">
        <v>328</v>
      </c>
      <c r="F2373" s="4" t="s">
        <v>247</v>
      </c>
      <c r="G2373" s="4" t="s">
        <v>158</v>
      </c>
      <c r="H2373" s="4" t="s">
        <v>21</v>
      </c>
      <c r="I2373" s="4" t="s">
        <v>259</v>
      </c>
      <c r="J2373" s="4" t="s">
        <v>2574</v>
      </c>
      <c r="K2373" s="4" t="s">
        <v>38</v>
      </c>
      <c r="L2373" s="4" t="s">
        <v>3743</v>
      </c>
      <c r="M2373" s="4" t="s">
        <v>3746</v>
      </c>
      <c r="N2373" s="4" t="s">
        <v>3747</v>
      </c>
      <c r="O2373" s="17">
        <f>INDEX('список ID из СУЭ с должностями'!$A:$F,MATCH(E2373,'список ID из СУЭ с должностями'!$B:$B,0),5)</f>
        <v>0</v>
      </c>
    </row>
    <row r="2374" spans="1:15" ht="60">
      <c r="A2374" s="3" t="s">
        <v>10</v>
      </c>
      <c r="B2374" s="3" t="s">
        <v>11</v>
      </c>
      <c r="C2374" s="4">
        <v>2026</v>
      </c>
      <c r="D2374" s="5" t="s">
        <v>12</v>
      </c>
      <c r="E2374" s="4">
        <v>328</v>
      </c>
      <c r="F2374" s="4" t="s">
        <v>247</v>
      </c>
      <c r="G2374" s="4" t="s">
        <v>158</v>
      </c>
      <c r="H2374" s="4" t="s">
        <v>21</v>
      </c>
      <c r="I2374" s="4" t="s">
        <v>171</v>
      </c>
      <c r="J2374" s="4" t="s">
        <v>530</v>
      </c>
      <c r="K2374" s="4" t="s">
        <v>25</v>
      </c>
      <c r="L2374" s="4" t="s">
        <v>3743</v>
      </c>
      <c r="M2374" s="4" t="s">
        <v>3746</v>
      </c>
      <c r="N2374" s="4" t="s">
        <v>3747</v>
      </c>
      <c r="O2374" s="17">
        <f>INDEX('список ID из СУЭ с должностями'!$A:$F,MATCH(E2374,'список ID из СУЭ с должностями'!$B:$B,0),5)</f>
        <v>0</v>
      </c>
    </row>
    <row r="2375" spans="1:15" ht="135">
      <c r="A2375" s="3" t="s">
        <v>10</v>
      </c>
      <c r="B2375" s="3" t="s">
        <v>11</v>
      </c>
      <c r="C2375" s="4">
        <v>2026</v>
      </c>
      <c r="D2375" s="5" t="s">
        <v>12</v>
      </c>
      <c r="E2375" s="4">
        <v>328</v>
      </c>
      <c r="F2375" s="4" t="s">
        <v>247</v>
      </c>
      <c r="G2375" s="4" t="s">
        <v>158</v>
      </c>
      <c r="H2375" s="4" t="s">
        <v>15</v>
      </c>
      <c r="I2375" s="4" t="s">
        <v>262</v>
      </c>
      <c r="J2375" s="4" t="s">
        <v>646</v>
      </c>
      <c r="K2375" s="4" t="s">
        <v>35</v>
      </c>
      <c r="L2375" s="4" t="s">
        <v>3743</v>
      </c>
      <c r="M2375" s="4" t="s">
        <v>3746</v>
      </c>
      <c r="N2375" s="4" t="s">
        <v>3747</v>
      </c>
      <c r="O2375" s="17">
        <f>INDEX('список ID из СУЭ с должностями'!$A:$F,MATCH(E2375,'список ID из СУЭ с должностями'!$B:$B,0),5)</f>
        <v>0</v>
      </c>
    </row>
    <row r="2376" spans="1:15" ht="195">
      <c r="A2376" s="3" t="s">
        <v>10</v>
      </c>
      <c r="B2376" s="3" t="s">
        <v>11</v>
      </c>
      <c r="C2376" s="4">
        <v>2026</v>
      </c>
      <c r="D2376" s="5" t="s">
        <v>12</v>
      </c>
      <c r="E2376" s="4">
        <v>328</v>
      </c>
      <c r="F2376" s="4" t="s">
        <v>247</v>
      </c>
      <c r="G2376" s="4" t="s">
        <v>158</v>
      </c>
      <c r="H2376" s="4" t="s">
        <v>15</v>
      </c>
      <c r="I2376" s="4" t="s">
        <v>532</v>
      </c>
      <c r="J2376" s="4" t="s">
        <v>2575</v>
      </c>
      <c r="K2376" s="4" t="s">
        <v>52</v>
      </c>
      <c r="L2376" s="4" t="s">
        <v>3743</v>
      </c>
      <c r="M2376" s="4" t="s">
        <v>3746</v>
      </c>
      <c r="N2376" s="4" t="s">
        <v>3747</v>
      </c>
      <c r="O2376" s="17">
        <f>INDEX('список ID из СУЭ с должностями'!$A:$F,MATCH(E2376,'список ID из СУЭ с должностями'!$B:$B,0),5)</f>
        <v>0</v>
      </c>
    </row>
    <row r="2377" spans="1:15" ht="60">
      <c r="A2377" s="3" t="s">
        <v>10</v>
      </c>
      <c r="B2377" s="3" t="s">
        <v>11</v>
      </c>
      <c r="C2377" s="4">
        <v>2026</v>
      </c>
      <c r="D2377" s="5" t="s">
        <v>12</v>
      </c>
      <c r="E2377" s="4">
        <v>328</v>
      </c>
      <c r="F2377" s="4" t="s">
        <v>247</v>
      </c>
      <c r="G2377" s="4" t="s">
        <v>158</v>
      </c>
      <c r="H2377" s="4" t="s">
        <v>15</v>
      </c>
      <c r="I2377" s="4" t="s">
        <v>2576</v>
      </c>
      <c r="J2377" s="4" t="s">
        <v>2577</v>
      </c>
      <c r="K2377" s="4" t="s">
        <v>151</v>
      </c>
      <c r="L2377" s="4" t="s">
        <v>3743</v>
      </c>
      <c r="M2377" s="4" t="s">
        <v>3746</v>
      </c>
      <c r="N2377" s="4" t="s">
        <v>3747</v>
      </c>
      <c r="O2377" s="17">
        <f>INDEX('список ID из СУЭ с должностями'!$A:$F,MATCH(E2377,'список ID из СУЭ с должностями'!$B:$B,0),5)</f>
        <v>0</v>
      </c>
    </row>
    <row r="2378" spans="1:15" ht="75">
      <c r="A2378" s="3" t="s">
        <v>10</v>
      </c>
      <c r="B2378" s="3" t="s">
        <v>11</v>
      </c>
      <c r="C2378" s="4">
        <v>2026</v>
      </c>
      <c r="D2378" s="5" t="s">
        <v>12</v>
      </c>
      <c r="E2378" s="4">
        <v>329</v>
      </c>
      <c r="F2378" s="4" t="s">
        <v>247</v>
      </c>
      <c r="G2378" s="4" t="s">
        <v>158</v>
      </c>
      <c r="H2378" s="4" t="s">
        <v>21</v>
      </c>
      <c r="I2378" s="4" t="s">
        <v>2578</v>
      </c>
      <c r="J2378" s="4" t="s">
        <v>2579</v>
      </c>
      <c r="K2378" s="4" t="s">
        <v>151</v>
      </c>
      <c r="L2378" s="4" t="s">
        <v>3743</v>
      </c>
      <c r="M2378" s="4" t="s">
        <v>3746</v>
      </c>
      <c r="N2378" s="4" t="s">
        <v>3747</v>
      </c>
      <c r="O2378" s="17">
        <f>INDEX('список ID из СУЭ с должностями'!$A:$F,MATCH(E2378,'список ID из СУЭ с должностями'!$B:$B,0),5)</f>
        <v>0</v>
      </c>
    </row>
    <row r="2379" spans="1:15" ht="90">
      <c r="A2379" s="3" t="s">
        <v>10</v>
      </c>
      <c r="B2379" s="3" t="s">
        <v>11</v>
      </c>
      <c r="C2379" s="4">
        <v>2026</v>
      </c>
      <c r="D2379" s="5" t="s">
        <v>12</v>
      </c>
      <c r="E2379" s="4">
        <v>329</v>
      </c>
      <c r="F2379" s="4" t="s">
        <v>247</v>
      </c>
      <c r="G2379" s="4" t="s">
        <v>158</v>
      </c>
      <c r="H2379" s="4" t="s">
        <v>21</v>
      </c>
      <c r="I2379" s="4" t="s">
        <v>2569</v>
      </c>
      <c r="J2379" s="4" t="s">
        <v>2580</v>
      </c>
      <c r="K2379" s="4" t="s">
        <v>151</v>
      </c>
      <c r="L2379" s="4" t="s">
        <v>3743</v>
      </c>
      <c r="M2379" s="4" t="s">
        <v>3746</v>
      </c>
      <c r="N2379" s="4" t="s">
        <v>3747</v>
      </c>
      <c r="O2379" s="17">
        <f>INDEX('список ID из СУЭ с должностями'!$A:$F,MATCH(E2379,'список ID из СУЭ с должностями'!$B:$B,0),5)</f>
        <v>0</v>
      </c>
    </row>
    <row r="2380" spans="1:15" ht="60">
      <c r="A2380" s="3" t="s">
        <v>10</v>
      </c>
      <c r="B2380" s="3" t="s">
        <v>11</v>
      </c>
      <c r="C2380" s="4">
        <v>2026</v>
      </c>
      <c r="D2380" s="5" t="s">
        <v>12</v>
      </c>
      <c r="E2380" s="4">
        <v>329</v>
      </c>
      <c r="F2380" s="4" t="s">
        <v>247</v>
      </c>
      <c r="G2380" s="4" t="s">
        <v>158</v>
      </c>
      <c r="H2380" s="4" t="s">
        <v>21</v>
      </c>
      <c r="I2380" s="4" t="s">
        <v>2571</v>
      </c>
      <c r="J2380" s="4" t="s">
        <v>2581</v>
      </c>
      <c r="K2380" s="4" t="s">
        <v>151</v>
      </c>
      <c r="L2380" s="4" t="s">
        <v>3743</v>
      </c>
      <c r="M2380" s="4" t="s">
        <v>3746</v>
      </c>
      <c r="N2380" s="4" t="s">
        <v>3747</v>
      </c>
      <c r="O2380" s="17">
        <f>INDEX('список ID из СУЭ с должностями'!$A:$F,MATCH(E2380,'список ID из СУЭ с должностями'!$B:$B,0),5)</f>
        <v>0</v>
      </c>
    </row>
    <row r="2381" spans="1:15" ht="60">
      <c r="A2381" s="3" t="s">
        <v>10</v>
      </c>
      <c r="B2381" s="3" t="s">
        <v>11</v>
      </c>
      <c r="C2381" s="4">
        <v>2026</v>
      </c>
      <c r="D2381" s="5" t="s">
        <v>12</v>
      </c>
      <c r="E2381" s="4">
        <v>329</v>
      </c>
      <c r="F2381" s="4" t="s">
        <v>247</v>
      </c>
      <c r="G2381" s="4" t="s">
        <v>158</v>
      </c>
      <c r="H2381" s="4" t="s">
        <v>21</v>
      </c>
      <c r="I2381" s="4" t="s">
        <v>2582</v>
      </c>
      <c r="J2381" s="4" t="s">
        <v>2583</v>
      </c>
      <c r="K2381" s="4" t="s">
        <v>151</v>
      </c>
      <c r="L2381" s="4" t="s">
        <v>3743</v>
      </c>
      <c r="M2381" s="4" t="s">
        <v>3746</v>
      </c>
      <c r="N2381" s="4" t="s">
        <v>3747</v>
      </c>
      <c r="O2381" s="17">
        <f>INDEX('список ID из СУЭ с должностями'!$A:$F,MATCH(E2381,'список ID из СУЭ с должностями'!$B:$B,0),5)</f>
        <v>0</v>
      </c>
    </row>
    <row r="2382" spans="1:15" ht="60">
      <c r="A2382" s="3" t="s">
        <v>10</v>
      </c>
      <c r="B2382" s="3" t="s">
        <v>11</v>
      </c>
      <c r="C2382" s="4">
        <v>2026</v>
      </c>
      <c r="D2382" s="5" t="s">
        <v>12</v>
      </c>
      <c r="E2382" s="4">
        <v>329</v>
      </c>
      <c r="F2382" s="4" t="s">
        <v>247</v>
      </c>
      <c r="G2382" s="4" t="s">
        <v>158</v>
      </c>
      <c r="H2382" s="4" t="s">
        <v>21</v>
      </c>
      <c r="I2382" s="4" t="s">
        <v>2584</v>
      </c>
      <c r="J2382" s="4" t="s">
        <v>2585</v>
      </c>
      <c r="K2382" s="4" t="s">
        <v>151</v>
      </c>
      <c r="L2382" s="4" t="s">
        <v>3743</v>
      </c>
      <c r="M2382" s="4" t="s">
        <v>3746</v>
      </c>
      <c r="N2382" s="4" t="s">
        <v>3747</v>
      </c>
      <c r="O2382" s="17">
        <f>INDEX('список ID из СУЭ с должностями'!$A:$F,MATCH(E2382,'список ID из СУЭ с должностями'!$B:$B,0),5)</f>
        <v>0</v>
      </c>
    </row>
    <row r="2383" spans="1:15" ht="60">
      <c r="A2383" s="3" t="s">
        <v>10</v>
      </c>
      <c r="B2383" s="3" t="s">
        <v>11</v>
      </c>
      <c r="C2383" s="4">
        <v>2026</v>
      </c>
      <c r="D2383" s="5" t="s">
        <v>12</v>
      </c>
      <c r="E2383" s="4">
        <v>329</v>
      </c>
      <c r="F2383" s="4" t="s">
        <v>247</v>
      </c>
      <c r="G2383" s="4" t="s">
        <v>158</v>
      </c>
      <c r="H2383" s="4" t="s">
        <v>21</v>
      </c>
      <c r="I2383" s="4" t="s">
        <v>259</v>
      </c>
      <c r="J2383" s="4" t="s">
        <v>2586</v>
      </c>
      <c r="K2383" s="4" t="s">
        <v>38</v>
      </c>
      <c r="L2383" s="4" t="s">
        <v>3743</v>
      </c>
      <c r="M2383" s="4" t="s">
        <v>3746</v>
      </c>
      <c r="N2383" s="4" t="s">
        <v>3747</v>
      </c>
      <c r="O2383" s="17">
        <f>INDEX('список ID из СУЭ с должностями'!$A:$F,MATCH(E2383,'список ID из СУЭ с должностями'!$B:$B,0),5)</f>
        <v>0</v>
      </c>
    </row>
    <row r="2384" spans="1:15" ht="60">
      <c r="A2384" s="3" t="s">
        <v>10</v>
      </c>
      <c r="B2384" s="3" t="s">
        <v>11</v>
      </c>
      <c r="C2384" s="4">
        <v>2026</v>
      </c>
      <c r="D2384" s="5" t="s">
        <v>12</v>
      </c>
      <c r="E2384" s="4">
        <v>329</v>
      </c>
      <c r="F2384" s="4" t="s">
        <v>247</v>
      </c>
      <c r="G2384" s="4" t="s">
        <v>158</v>
      </c>
      <c r="H2384" s="4" t="s">
        <v>21</v>
      </c>
      <c r="I2384" s="4" t="s">
        <v>171</v>
      </c>
      <c r="J2384" s="4" t="s">
        <v>530</v>
      </c>
      <c r="K2384" s="4" t="s">
        <v>25</v>
      </c>
      <c r="L2384" s="4" t="s">
        <v>3743</v>
      </c>
      <c r="M2384" s="4" t="s">
        <v>3746</v>
      </c>
      <c r="N2384" s="4" t="s">
        <v>3747</v>
      </c>
      <c r="O2384" s="17">
        <f>INDEX('список ID из СУЭ с должностями'!$A:$F,MATCH(E2384,'список ID из СУЭ с должностями'!$B:$B,0),5)</f>
        <v>0</v>
      </c>
    </row>
    <row r="2385" spans="1:15" ht="135">
      <c r="A2385" s="3" t="s">
        <v>10</v>
      </c>
      <c r="B2385" s="3" t="s">
        <v>11</v>
      </c>
      <c r="C2385" s="4">
        <v>2026</v>
      </c>
      <c r="D2385" s="5" t="s">
        <v>12</v>
      </c>
      <c r="E2385" s="4">
        <v>329</v>
      </c>
      <c r="F2385" s="4" t="s">
        <v>247</v>
      </c>
      <c r="G2385" s="4" t="s">
        <v>158</v>
      </c>
      <c r="H2385" s="4" t="s">
        <v>15</v>
      </c>
      <c r="I2385" s="4" t="s">
        <v>262</v>
      </c>
      <c r="J2385" s="4" t="s">
        <v>646</v>
      </c>
      <c r="K2385" s="4" t="s">
        <v>35</v>
      </c>
      <c r="L2385" s="4" t="s">
        <v>3743</v>
      </c>
      <c r="M2385" s="4" t="s">
        <v>3746</v>
      </c>
      <c r="N2385" s="4" t="s">
        <v>3747</v>
      </c>
      <c r="O2385" s="17">
        <f>INDEX('список ID из СУЭ с должностями'!$A:$F,MATCH(E2385,'список ID из СУЭ с должностями'!$B:$B,0),5)</f>
        <v>0</v>
      </c>
    </row>
    <row r="2386" spans="1:15" ht="135">
      <c r="A2386" s="3" t="s">
        <v>10</v>
      </c>
      <c r="B2386" s="3" t="s">
        <v>11</v>
      </c>
      <c r="C2386" s="4">
        <v>2026</v>
      </c>
      <c r="D2386" s="5" t="s">
        <v>12</v>
      </c>
      <c r="E2386" s="4">
        <v>329</v>
      </c>
      <c r="F2386" s="4" t="s">
        <v>247</v>
      </c>
      <c r="G2386" s="4" t="s">
        <v>158</v>
      </c>
      <c r="H2386" s="4" t="s">
        <v>15</v>
      </c>
      <c r="I2386" s="4" t="s">
        <v>532</v>
      </c>
      <c r="J2386" s="4" t="s">
        <v>2587</v>
      </c>
      <c r="K2386" s="4" t="s">
        <v>52</v>
      </c>
      <c r="L2386" s="4" t="s">
        <v>3743</v>
      </c>
      <c r="M2386" s="4" t="s">
        <v>3746</v>
      </c>
      <c r="N2386" s="4" t="s">
        <v>3747</v>
      </c>
      <c r="O2386" s="17">
        <f>INDEX('список ID из СУЭ с должностями'!$A:$F,MATCH(E2386,'список ID из СУЭ с должностями'!$B:$B,0),5)</f>
        <v>0</v>
      </c>
    </row>
    <row r="2387" spans="1:15" ht="60">
      <c r="A2387" s="3" t="s">
        <v>10</v>
      </c>
      <c r="B2387" s="3" t="s">
        <v>11</v>
      </c>
      <c r="C2387" s="4">
        <v>2026</v>
      </c>
      <c r="D2387" s="5" t="s">
        <v>12</v>
      </c>
      <c r="E2387" s="4">
        <v>329</v>
      </c>
      <c r="F2387" s="4" t="s">
        <v>247</v>
      </c>
      <c r="G2387" s="4" t="s">
        <v>158</v>
      </c>
      <c r="H2387" s="4" t="s">
        <v>15</v>
      </c>
      <c r="I2387" s="4" t="s">
        <v>2576</v>
      </c>
      <c r="J2387" s="4" t="s">
        <v>2588</v>
      </c>
      <c r="K2387" s="4" t="s">
        <v>151</v>
      </c>
      <c r="L2387" s="4" t="s">
        <v>3743</v>
      </c>
      <c r="M2387" s="4" t="s">
        <v>3746</v>
      </c>
      <c r="N2387" s="4" t="s">
        <v>3747</v>
      </c>
      <c r="O2387" s="17">
        <f>INDEX('список ID из СУЭ с должностями'!$A:$F,MATCH(E2387,'список ID из СУЭ с должностями'!$B:$B,0),5)</f>
        <v>0</v>
      </c>
    </row>
    <row r="2388" spans="1:15" ht="105">
      <c r="A2388" s="3" t="s">
        <v>10</v>
      </c>
      <c r="B2388" s="3" t="s">
        <v>11</v>
      </c>
      <c r="C2388" s="4">
        <v>2026</v>
      </c>
      <c r="D2388" s="5" t="s">
        <v>12</v>
      </c>
      <c r="E2388" s="4">
        <v>330</v>
      </c>
      <c r="F2388" s="4" t="s">
        <v>316</v>
      </c>
      <c r="G2388" s="4" t="s">
        <v>349</v>
      </c>
      <c r="H2388" s="4" t="s">
        <v>41</v>
      </c>
      <c r="I2388" s="4" t="s">
        <v>2589</v>
      </c>
      <c r="J2388" s="4" t="s">
        <v>2590</v>
      </c>
      <c r="K2388" s="4" t="s">
        <v>2591</v>
      </c>
      <c r="L2388" s="4" t="s">
        <v>3743</v>
      </c>
      <c r="M2388" s="4" t="s">
        <v>3750</v>
      </c>
      <c r="N2388" s="4" t="s">
        <v>3762</v>
      </c>
      <c r="O2388" s="17">
        <f>INDEX('список ID из СУЭ с должностями'!$A:$F,MATCH(E2388,'список ID из СУЭ с должностями'!$B:$B,0),5)</f>
        <v>0</v>
      </c>
    </row>
    <row r="2389" spans="1:15" ht="150">
      <c r="A2389" s="3" t="s">
        <v>10</v>
      </c>
      <c r="B2389" s="3" t="s">
        <v>11</v>
      </c>
      <c r="C2389" s="4">
        <v>2026</v>
      </c>
      <c r="D2389" s="5" t="s">
        <v>12</v>
      </c>
      <c r="E2389" s="4">
        <v>330</v>
      </c>
      <c r="F2389" s="4" t="s">
        <v>316</v>
      </c>
      <c r="G2389" s="4" t="s">
        <v>349</v>
      </c>
      <c r="H2389" s="4" t="s">
        <v>41</v>
      </c>
      <c r="I2389" s="4" t="s">
        <v>352</v>
      </c>
      <c r="J2389" s="4" t="s">
        <v>2592</v>
      </c>
      <c r="K2389" s="4" t="s">
        <v>352</v>
      </c>
      <c r="L2389" s="4" t="s">
        <v>3743</v>
      </c>
      <c r="M2389" s="4" t="s">
        <v>3750</v>
      </c>
      <c r="N2389" s="4" t="s">
        <v>3762</v>
      </c>
      <c r="O2389" s="17">
        <f>INDEX('список ID из СУЭ с должностями'!$A:$F,MATCH(E2389,'список ID из СУЭ с должностями'!$B:$B,0),5)</f>
        <v>0</v>
      </c>
    </row>
    <row r="2390" spans="1:15" ht="315">
      <c r="A2390" s="3" t="s">
        <v>10</v>
      </c>
      <c r="B2390" s="3" t="s">
        <v>11</v>
      </c>
      <c r="C2390" s="4">
        <v>2026</v>
      </c>
      <c r="D2390" s="5" t="s">
        <v>12</v>
      </c>
      <c r="E2390" s="4">
        <v>330</v>
      </c>
      <c r="F2390" s="4" t="s">
        <v>316</v>
      </c>
      <c r="G2390" s="4" t="s">
        <v>349</v>
      </c>
      <c r="H2390" s="4" t="s">
        <v>41</v>
      </c>
      <c r="I2390" s="4" t="s">
        <v>28</v>
      </c>
      <c r="J2390" s="4" t="s">
        <v>2017</v>
      </c>
      <c r="K2390" s="4" t="s">
        <v>28</v>
      </c>
      <c r="L2390" s="4" t="s">
        <v>3743</v>
      </c>
      <c r="M2390" s="4" t="s">
        <v>3750</v>
      </c>
      <c r="N2390" s="4" t="s">
        <v>3762</v>
      </c>
      <c r="O2390" s="17">
        <f>INDEX('список ID из СУЭ с должностями'!$A:$F,MATCH(E2390,'список ID из СУЭ с должностями'!$B:$B,0),5)</f>
        <v>0</v>
      </c>
    </row>
    <row r="2391" spans="1:15" ht="150">
      <c r="A2391" s="3" t="s">
        <v>10</v>
      </c>
      <c r="B2391" s="3" t="s">
        <v>11</v>
      </c>
      <c r="C2391" s="4">
        <v>2026</v>
      </c>
      <c r="D2391" s="5" t="s">
        <v>12</v>
      </c>
      <c r="E2391" s="4">
        <v>330</v>
      </c>
      <c r="F2391" s="4" t="s">
        <v>316</v>
      </c>
      <c r="G2391" s="4" t="s">
        <v>349</v>
      </c>
      <c r="H2391" s="4" t="s">
        <v>21</v>
      </c>
      <c r="I2391" s="4" t="s">
        <v>354</v>
      </c>
      <c r="J2391" s="4" t="s">
        <v>2593</v>
      </c>
      <c r="K2391" s="4" t="s">
        <v>20</v>
      </c>
      <c r="L2391" s="4" t="s">
        <v>3743</v>
      </c>
      <c r="M2391" s="4" t="s">
        <v>3746</v>
      </c>
      <c r="N2391" s="4" t="s">
        <v>3747</v>
      </c>
      <c r="O2391" s="17">
        <f>INDEX('список ID из СУЭ с должностями'!$A:$F,MATCH(E2391,'список ID из СУЭ с должностями'!$B:$B,0),5)</f>
        <v>0</v>
      </c>
    </row>
    <row r="2392" spans="1:15" ht="150">
      <c r="A2392" s="3" t="s">
        <v>10</v>
      </c>
      <c r="B2392" s="3" t="s">
        <v>11</v>
      </c>
      <c r="C2392" s="4">
        <v>2026</v>
      </c>
      <c r="D2392" s="5" t="s">
        <v>12</v>
      </c>
      <c r="E2392" s="4">
        <v>330</v>
      </c>
      <c r="F2392" s="4" t="s">
        <v>316</v>
      </c>
      <c r="G2392" s="4" t="s">
        <v>349</v>
      </c>
      <c r="H2392" s="4" t="s">
        <v>15</v>
      </c>
      <c r="I2392" s="4" t="s">
        <v>323</v>
      </c>
      <c r="J2392" s="4" t="s">
        <v>2594</v>
      </c>
      <c r="K2392" s="4" t="s">
        <v>188</v>
      </c>
      <c r="L2392" s="4" t="s">
        <v>3743</v>
      </c>
      <c r="M2392" s="4" t="s">
        <v>3746</v>
      </c>
      <c r="N2392" s="4" t="s">
        <v>3747</v>
      </c>
      <c r="O2392" s="17">
        <f>INDEX('список ID из СУЭ с должностями'!$A:$F,MATCH(E2392,'список ID из СУЭ с должностями'!$B:$B,0),5)</f>
        <v>0</v>
      </c>
    </row>
    <row r="2393" spans="1:15" ht="105">
      <c r="A2393" s="3" t="s">
        <v>10</v>
      </c>
      <c r="B2393" s="3" t="s">
        <v>11</v>
      </c>
      <c r="C2393" s="4">
        <v>2026</v>
      </c>
      <c r="D2393" s="5" t="s">
        <v>12</v>
      </c>
      <c r="E2393" s="4">
        <v>330</v>
      </c>
      <c r="F2393" s="4" t="s">
        <v>316</v>
      </c>
      <c r="G2393" s="4" t="s">
        <v>349</v>
      </c>
      <c r="H2393" s="4" t="s">
        <v>15</v>
      </c>
      <c r="I2393" s="4" t="s">
        <v>356</v>
      </c>
      <c r="J2393" s="4" t="s">
        <v>2019</v>
      </c>
      <c r="K2393" s="4" t="s">
        <v>52</v>
      </c>
      <c r="L2393" s="4" t="s">
        <v>3743</v>
      </c>
      <c r="M2393" s="4" t="s">
        <v>3746</v>
      </c>
      <c r="N2393" s="4" t="s">
        <v>3747</v>
      </c>
      <c r="O2393" s="17">
        <f>INDEX('список ID из СУЭ с должностями'!$A:$F,MATCH(E2393,'список ID из СУЭ с должностями'!$B:$B,0),5)</f>
        <v>0</v>
      </c>
    </row>
    <row r="2394" spans="1:15" ht="210">
      <c r="A2394" s="3" t="s">
        <v>10</v>
      </c>
      <c r="B2394" s="3" t="s">
        <v>11</v>
      </c>
      <c r="C2394" s="4">
        <v>2026</v>
      </c>
      <c r="D2394" s="5" t="s">
        <v>12</v>
      </c>
      <c r="E2394" s="4">
        <v>330</v>
      </c>
      <c r="F2394" s="4" t="s">
        <v>316</v>
      </c>
      <c r="G2394" s="4" t="s">
        <v>349</v>
      </c>
      <c r="H2394" s="4" t="s">
        <v>15</v>
      </c>
      <c r="I2394" s="4" t="s">
        <v>318</v>
      </c>
      <c r="J2394" s="4" t="s">
        <v>2595</v>
      </c>
      <c r="K2394" s="4" t="s">
        <v>25</v>
      </c>
      <c r="L2394" s="4" t="s">
        <v>3743</v>
      </c>
      <c r="M2394" s="4" t="s">
        <v>3746</v>
      </c>
      <c r="N2394" s="4" t="s">
        <v>3747</v>
      </c>
      <c r="O2394" s="17">
        <f>INDEX('список ID из СУЭ с должностями'!$A:$F,MATCH(E2394,'список ID из СУЭ с должностями'!$B:$B,0),5)</f>
        <v>0</v>
      </c>
    </row>
    <row r="2395" spans="1:15" ht="240">
      <c r="A2395" s="3" t="s">
        <v>10</v>
      </c>
      <c r="B2395" s="3" t="s">
        <v>11</v>
      </c>
      <c r="C2395" s="4">
        <v>2026</v>
      </c>
      <c r="D2395" s="5" t="s">
        <v>12</v>
      </c>
      <c r="E2395" s="4">
        <v>330</v>
      </c>
      <c r="F2395" s="4" t="s">
        <v>316</v>
      </c>
      <c r="G2395" s="4" t="s">
        <v>349</v>
      </c>
      <c r="H2395" s="4" t="s">
        <v>15</v>
      </c>
      <c r="I2395" s="4" t="s">
        <v>361</v>
      </c>
      <c r="J2395" s="4" t="s">
        <v>2596</v>
      </c>
      <c r="K2395" s="4" t="s">
        <v>20</v>
      </c>
      <c r="L2395" s="4" t="s">
        <v>3743</v>
      </c>
      <c r="M2395" s="4" t="s">
        <v>3746</v>
      </c>
      <c r="N2395" s="4" t="s">
        <v>3747</v>
      </c>
      <c r="O2395" s="17">
        <f>INDEX('список ID из СУЭ с должностями'!$A:$F,MATCH(E2395,'список ID из СУЭ с должностями'!$B:$B,0),5)</f>
        <v>0</v>
      </c>
    </row>
    <row r="2396" spans="1:15" ht="105">
      <c r="A2396" s="3" t="s">
        <v>10</v>
      </c>
      <c r="B2396" s="3" t="s">
        <v>11</v>
      </c>
      <c r="C2396" s="4">
        <v>2026</v>
      </c>
      <c r="D2396" s="5" t="s">
        <v>12</v>
      </c>
      <c r="E2396" s="4">
        <v>330</v>
      </c>
      <c r="F2396" s="4" t="s">
        <v>316</v>
      </c>
      <c r="G2396" s="4" t="s">
        <v>349</v>
      </c>
      <c r="H2396" s="4" t="s">
        <v>15</v>
      </c>
      <c r="I2396" s="4" t="s">
        <v>358</v>
      </c>
      <c r="J2396" s="4" t="s">
        <v>2020</v>
      </c>
      <c r="K2396" s="4" t="s">
        <v>20</v>
      </c>
      <c r="L2396" s="4" t="s">
        <v>3743</v>
      </c>
      <c r="M2396" s="4" t="s">
        <v>3746</v>
      </c>
      <c r="N2396" s="4" t="s">
        <v>3747</v>
      </c>
      <c r="O2396" s="17">
        <f>INDEX('список ID из СУЭ с должностями'!$A:$F,MATCH(E2396,'список ID из СУЭ с должностями'!$B:$B,0),5)</f>
        <v>0</v>
      </c>
    </row>
    <row r="2397" spans="1:15" ht="120">
      <c r="A2397" s="3" t="s">
        <v>10</v>
      </c>
      <c r="B2397" s="3" t="s">
        <v>11</v>
      </c>
      <c r="C2397" s="4">
        <v>2026</v>
      </c>
      <c r="D2397" s="5" t="s">
        <v>12</v>
      </c>
      <c r="E2397" s="4">
        <v>331</v>
      </c>
      <c r="F2397" s="4" t="s">
        <v>39</v>
      </c>
      <c r="G2397" s="4" t="s">
        <v>2597</v>
      </c>
      <c r="H2397" s="4" t="s">
        <v>21</v>
      </c>
      <c r="I2397" s="4" t="s">
        <v>1674</v>
      </c>
      <c r="J2397" s="4" t="s">
        <v>1675</v>
      </c>
      <c r="K2397" s="4" t="s">
        <v>52</v>
      </c>
      <c r="L2397" s="4" t="s">
        <v>3743</v>
      </c>
      <c r="M2397" s="4" t="s">
        <v>3746</v>
      </c>
      <c r="N2397" s="4" t="s">
        <v>3747</v>
      </c>
      <c r="O2397" s="17" t="str">
        <f>INDEX('список ID из СУЭ с должностями'!$A:$F,MATCH(E2397,'список ID из СУЭ с должностями'!$B:$B,0),5)</f>
        <v>НС</v>
      </c>
    </row>
    <row r="2398" spans="1:15" ht="60">
      <c r="A2398" s="3" t="s">
        <v>10</v>
      </c>
      <c r="B2398" s="3" t="s">
        <v>11</v>
      </c>
      <c r="C2398" s="4">
        <v>2026</v>
      </c>
      <c r="D2398" s="5" t="s">
        <v>12</v>
      </c>
      <c r="E2398" s="4">
        <v>331</v>
      </c>
      <c r="F2398" s="4" t="s">
        <v>39</v>
      </c>
      <c r="G2398" s="4" t="s">
        <v>2597</v>
      </c>
      <c r="H2398" s="4" t="s">
        <v>15</v>
      </c>
      <c r="I2398" s="4" t="s">
        <v>2052</v>
      </c>
      <c r="J2398" s="4" t="s">
        <v>79</v>
      </c>
      <c r="K2398" s="4" t="s">
        <v>38</v>
      </c>
      <c r="L2398" s="4" t="s">
        <v>3742</v>
      </c>
      <c r="M2398" s="4" t="s">
        <v>3746</v>
      </c>
      <c r="N2398" s="4" t="s">
        <v>3747</v>
      </c>
      <c r="O2398" s="17" t="str">
        <f>INDEX('список ID из СУЭ с должностями'!$A:$F,MATCH(E2398,'список ID из СУЭ с должностями'!$B:$B,0),5)</f>
        <v>НС</v>
      </c>
    </row>
    <row r="2399" spans="1:15" ht="45">
      <c r="A2399" s="3" t="s">
        <v>10</v>
      </c>
      <c r="B2399" s="3" t="s">
        <v>11</v>
      </c>
      <c r="C2399" s="4">
        <v>2026</v>
      </c>
      <c r="D2399" s="5" t="s">
        <v>12</v>
      </c>
      <c r="E2399" s="4">
        <v>331</v>
      </c>
      <c r="F2399" s="4" t="s">
        <v>39</v>
      </c>
      <c r="G2399" s="4" t="s">
        <v>2597</v>
      </c>
      <c r="H2399" s="4" t="s">
        <v>41</v>
      </c>
      <c r="I2399" s="4" t="s">
        <v>62</v>
      </c>
      <c r="J2399" s="4" t="s">
        <v>2068</v>
      </c>
      <c r="K2399" s="4" t="s">
        <v>55</v>
      </c>
      <c r="L2399" s="4" t="s">
        <v>3743</v>
      </c>
      <c r="M2399" s="4" t="s">
        <v>3746</v>
      </c>
      <c r="N2399" s="4" t="s">
        <v>3747</v>
      </c>
      <c r="O2399" s="17" t="str">
        <f>INDEX('список ID из СУЭ с должностями'!$A:$F,MATCH(E2399,'список ID из СУЭ с должностями'!$B:$B,0),5)</f>
        <v>НС</v>
      </c>
    </row>
    <row r="2400" spans="1:15" ht="409.5">
      <c r="A2400" s="3" t="s">
        <v>10</v>
      </c>
      <c r="B2400" s="3" t="s">
        <v>11</v>
      </c>
      <c r="C2400" s="4">
        <v>2026</v>
      </c>
      <c r="D2400" s="5" t="s">
        <v>12</v>
      </c>
      <c r="E2400" s="4">
        <v>331</v>
      </c>
      <c r="F2400" s="4" t="s">
        <v>39</v>
      </c>
      <c r="G2400" s="4" t="s">
        <v>2597</v>
      </c>
      <c r="H2400" s="4" t="s">
        <v>15</v>
      </c>
      <c r="I2400" s="4" t="s">
        <v>189</v>
      </c>
      <c r="J2400" s="4" t="s">
        <v>2069</v>
      </c>
      <c r="K2400" s="4" t="s">
        <v>66</v>
      </c>
      <c r="L2400" s="4" t="s">
        <v>3743</v>
      </c>
      <c r="M2400" s="4" t="s">
        <v>3746</v>
      </c>
      <c r="N2400" s="4" t="s">
        <v>3747</v>
      </c>
      <c r="O2400" s="17" t="str">
        <f>INDEX('список ID из СУЭ с должностями'!$A:$F,MATCH(E2400,'список ID из СУЭ с должностями'!$B:$B,0),5)</f>
        <v>НС</v>
      </c>
    </row>
    <row r="2401" spans="1:15" ht="60">
      <c r="A2401" s="3" t="s">
        <v>10</v>
      </c>
      <c r="B2401" s="3" t="s">
        <v>11</v>
      </c>
      <c r="C2401" s="4">
        <v>2026</v>
      </c>
      <c r="D2401" s="5" t="s">
        <v>12</v>
      </c>
      <c r="E2401" s="4">
        <v>331</v>
      </c>
      <c r="F2401" s="4" t="s">
        <v>39</v>
      </c>
      <c r="G2401" s="4" t="s">
        <v>2597</v>
      </c>
      <c r="H2401" s="4" t="s">
        <v>15</v>
      </c>
      <c r="I2401" s="4" t="s">
        <v>2070</v>
      </c>
      <c r="J2401" s="4" t="s">
        <v>2071</v>
      </c>
      <c r="K2401" s="4" t="s">
        <v>52</v>
      </c>
      <c r="L2401" s="4" t="s">
        <v>3743</v>
      </c>
      <c r="M2401" s="4" t="s">
        <v>3746</v>
      </c>
      <c r="N2401" s="4" t="s">
        <v>3747</v>
      </c>
      <c r="O2401" s="17" t="str">
        <f>INDEX('список ID из СУЭ с должностями'!$A:$F,MATCH(E2401,'список ID из СУЭ с должностями'!$B:$B,0),5)</f>
        <v>НС</v>
      </c>
    </row>
    <row r="2402" spans="1:15" ht="60">
      <c r="A2402" s="3" t="s">
        <v>10</v>
      </c>
      <c r="B2402" s="3" t="s">
        <v>11</v>
      </c>
      <c r="C2402" s="4">
        <v>2026</v>
      </c>
      <c r="D2402" s="5" t="s">
        <v>12</v>
      </c>
      <c r="E2402" s="4">
        <v>331</v>
      </c>
      <c r="F2402" s="4" t="s">
        <v>39</v>
      </c>
      <c r="G2402" s="4" t="s">
        <v>2597</v>
      </c>
      <c r="H2402" s="4" t="s">
        <v>15</v>
      </c>
      <c r="I2402" s="4" t="s">
        <v>2048</v>
      </c>
      <c r="J2402" s="4" t="s">
        <v>2072</v>
      </c>
      <c r="K2402" s="4" t="s">
        <v>151</v>
      </c>
      <c r="L2402" s="4" t="s">
        <v>3742</v>
      </c>
      <c r="M2402" s="4" t="s">
        <v>3746</v>
      </c>
      <c r="N2402" s="4" t="s">
        <v>3747</v>
      </c>
      <c r="O2402" s="17" t="str">
        <f>INDEX('список ID из СУЭ с должностями'!$A:$F,MATCH(E2402,'список ID из СУЭ с должностями'!$B:$B,0),5)</f>
        <v>НС</v>
      </c>
    </row>
    <row r="2403" spans="1:15" ht="45">
      <c r="A2403" s="3" t="s">
        <v>10</v>
      </c>
      <c r="B2403" s="3" t="s">
        <v>11</v>
      </c>
      <c r="C2403" s="4">
        <v>2026</v>
      </c>
      <c r="D2403" s="5" t="s">
        <v>12</v>
      </c>
      <c r="E2403" s="4">
        <v>331</v>
      </c>
      <c r="F2403" s="4" t="s">
        <v>39</v>
      </c>
      <c r="G2403" s="4" t="s">
        <v>2597</v>
      </c>
      <c r="H2403" s="4" t="s">
        <v>15</v>
      </c>
      <c r="I2403" s="4" t="s">
        <v>191</v>
      </c>
      <c r="J2403" s="4" t="s">
        <v>200</v>
      </c>
      <c r="K2403" s="4" t="s">
        <v>66</v>
      </c>
      <c r="L2403" s="4" t="s">
        <v>3742</v>
      </c>
      <c r="M2403" s="4" t="s">
        <v>3746</v>
      </c>
      <c r="N2403" s="4" t="s">
        <v>3747</v>
      </c>
      <c r="O2403" s="17" t="str">
        <f>INDEX('список ID из СУЭ с должностями'!$A:$F,MATCH(E2403,'список ID из СУЭ с должностями'!$B:$B,0),5)</f>
        <v>НС</v>
      </c>
    </row>
    <row r="2404" spans="1:15" ht="285">
      <c r="A2404" s="3" t="s">
        <v>10</v>
      </c>
      <c r="B2404" s="3" t="s">
        <v>11</v>
      </c>
      <c r="C2404" s="4">
        <v>2026</v>
      </c>
      <c r="D2404" s="5" t="s">
        <v>12</v>
      </c>
      <c r="E2404" s="4">
        <v>331</v>
      </c>
      <c r="F2404" s="4" t="s">
        <v>39</v>
      </c>
      <c r="G2404" s="4" t="s">
        <v>2597</v>
      </c>
      <c r="H2404" s="4" t="s">
        <v>15</v>
      </c>
      <c r="I2404" s="4" t="s">
        <v>48</v>
      </c>
      <c r="J2404" s="4" t="s">
        <v>2067</v>
      </c>
      <c r="K2404" s="4" t="s">
        <v>35</v>
      </c>
      <c r="L2404" s="4" t="s">
        <v>3743</v>
      </c>
      <c r="M2404" s="4" t="s">
        <v>3746</v>
      </c>
      <c r="N2404" s="4" t="s">
        <v>3747</v>
      </c>
      <c r="O2404" s="17" t="str">
        <f>INDEX('список ID из СУЭ с должностями'!$A:$F,MATCH(E2404,'список ID из СУЭ с должностями'!$B:$B,0),5)</f>
        <v>НС</v>
      </c>
    </row>
    <row r="2405" spans="1:15" ht="45">
      <c r="A2405" s="3" t="s">
        <v>10</v>
      </c>
      <c r="B2405" s="3" t="s">
        <v>11</v>
      </c>
      <c r="C2405" s="4">
        <v>2026</v>
      </c>
      <c r="D2405" s="5" t="s">
        <v>12</v>
      </c>
      <c r="E2405" s="4">
        <v>331</v>
      </c>
      <c r="F2405" s="4" t="s">
        <v>39</v>
      </c>
      <c r="G2405" s="4" t="s">
        <v>2597</v>
      </c>
      <c r="H2405" s="4" t="s">
        <v>21</v>
      </c>
      <c r="I2405" s="4" t="s">
        <v>2073</v>
      </c>
      <c r="J2405" s="4" t="s">
        <v>2074</v>
      </c>
      <c r="K2405" s="4" t="s">
        <v>55</v>
      </c>
      <c r="L2405" s="4" t="s">
        <v>3742</v>
      </c>
      <c r="M2405" s="4" t="s">
        <v>3746</v>
      </c>
      <c r="N2405" s="4" t="s">
        <v>3747</v>
      </c>
      <c r="O2405" s="17" t="str">
        <f>INDEX('список ID из СУЭ с должностями'!$A:$F,MATCH(E2405,'список ID из СУЭ с должностями'!$B:$B,0),5)</f>
        <v>НС</v>
      </c>
    </row>
    <row r="2406" spans="1:15" ht="409.5">
      <c r="A2406" s="3" t="s">
        <v>10</v>
      </c>
      <c r="B2406" s="3" t="s">
        <v>11</v>
      </c>
      <c r="C2406" s="4">
        <v>2026</v>
      </c>
      <c r="D2406" s="5" t="s">
        <v>12</v>
      </c>
      <c r="E2406" s="4">
        <v>331</v>
      </c>
      <c r="F2406" s="4" t="s">
        <v>39</v>
      </c>
      <c r="G2406" s="4" t="s">
        <v>2597</v>
      </c>
      <c r="H2406" s="4" t="s">
        <v>15</v>
      </c>
      <c r="I2406" s="4" t="s">
        <v>25</v>
      </c>
      <c r="J2406" s="4" t="s">
        <v>1673</v>
      </c>
      <c r="K2406" s="4" t="s">
        <v>25</v>
      </c>
      <c r="L2406" s="4" t="s">
        <v>3743</v>
      </c>
      <c r="M2406" s="4" t="s">
        <v>3746</v>
      </c>
      <c r="N2406" s="4" t="s">
        <v>3747</v>
      </c>
      <c r="O2406" s="17" t="str">
        <f>INDEX('список ID из СУЭ с должностями'!$A:$F,MATCH(E2406,'список ID из СУЭ с должностями'!$B:$B,0),5)</f>
        <v>НС</v>
      </c>
    </row>
    <row r="2407" spans="1:15" ht="150">
      <c r="A2407" s="3" t="s">
        <v>10</v>
      </c>
      <c r="B2407" s="3" t="s">
        <v>11</v>
      </c>
      <c r="C2407" s="4">
        <v>2026</v>
      </c>
      <c r="D2407" s="5" t="s">
        <v>12</v>
      </c>
      <c r="E2407" s="4">
        <v>332</v>
      </c>
      <c r="F2407" s="4" t="s">
        <v>39</v>
      </c>
      <c r="G2407" s="4" t="s">
        <v>45</v>
      </c>
      <c r="H2407" s="4" t="s">
        <v>41</v>
      </c>
      <c r="I2407" s="4" t="s">
        <v>42</v>
      </c>
      <c r="J2407" s="4" t="s">
        <v>43</v>
      </c>
      <c r="K2407" s="4" t="s">
        <v>25</v>
      </c>
      <c r="L2407" s="4" t="s">
        <v>3743</v>
      </c>
      <c r="M2407" s="4" t="s">
        <v>3746</v>
      </c>
      <c r="N2407" s="4" t="s">
        <v>3747</v>
      </c>
      <c r="O2407" s="17" t="str">
        <f>INDEX('список ID из СУЭ с должностями'!$A:$F,MATCH(E2407,'список ID из СУЭ с должностями'!$B:$B,0),5)</f>
        <v>НС</v>
      </c>
    </row>
    <row r="2408" spans="1:15" ht="45">
      <c r="A2408" s="3" t="s">
        <v>10</v>
      </c>
      <c r="B2408" s="3" t="s">
        <v>11</v>
      </c>
      <c r="C2408" s="4">
        <v>2026</v>
      </c>
      <c r="D2408" s="5" t="s">
        <v>12</v>
      </c>
      <c r="E2408" s="4">
        <v>332</v>
      </c>
      <c r="F2408" s="4" t="s">
        <v>39</v>
      </c>
      <c r="G2408" s="4" t="s">
        <v>45</v>
      </c>
      <c r="H2408" s="4" t="s">
        <v>15</v>
      </c>
      <c r="I2408" s="4" t="s">
        <v>64</v>
      </c>
      <c r="J2408" s="4" t="s">
        <v>65</v>
      </c>
      <c r="K2408" s="4" t="s">
        <v>66</v>
      </c>
      <c r="L2408" s="4" t="s">
        <v>3742</v>
      </c>
      <c r="M2408" s="4" t="s">
        <v>3746</v>
      </c>
      <c r="N2408" s="4" t="s">
        <v>3747</v>
      </c>
      <c r="O2408" s="17" t="str">
        <f>INDEX('список ID из СУЭ с должностями'!$A:$F,MATCH(E2408,'список ID из СУЭ с должностями'!$B:$B,0),5)</f>
        <v>НС</v>
      </c>
    </row>
    <row r="2409" spans="1:15" ht="45">
      <c r="A2409" s="3" t="s">
        <v>10</v>
      </c>
      <c r="B2409" s="3" t="s">
        <v>11</v>
      </c>
      <c r="C2409" s="4">
        <v>2026</v>
      </c>
      <c r="D2409" s="5" t="s">
        <v>12</v>
      </c>
      <c r="E2409" s="4">
        <v>332</v>
      </c>
      <c r="F2409" s="4" t="s">
        <v>39</v>
      </c>
      <c r="G2409" s="4" t="s">
        <v>45</v>
      </c>
      <c r="H2409" s="4" t="s">
        <v>15</v>
      </c>
      <c r="I2409" s="4" t="s">
        <v>62</v>
      </c>
      <c r="J2409" s="4" t="s">
        <v>63</v>
      </c>
      <c r="K2409" s="4" t="s">
        <v>52</v>
      </c>
      <c r="L2409" s="4" t="s">
        <v>3743</v>
      </c>
      <c r="M2409" s="4" t="s">
        <v>3746</v>
      </c>
      <c r="N2409" s="4" t="s">
        <v>3747</v>
      </c>
      <c r="O2409" s="17" t="str">
        <f>INDEX('список ID из СУЭ с должностями'!$A:$F,MATCH(E2409,'список ID из СУЭ с должностями'!$B:$B,0),5)</f>
        <v>НС</v>
      </c>
    </row>
    <row r="2410" spans="1:15" ht="165">
      <c r="A2410" s="3" t="s">
        <v>10</v>
      </c>
      <c r="B2410" s="3" t="s">
        <v>11</v>
      </c>
      <c r="C2410" s="4">
        <v>2026</v>
      </c>
      <c r="D2410" s="5" t="s">
        <v>12</v>
      </c>
      <c r="E2410" s="4">
        <v>332</v>
      </c>
      <c r="F2410" s="4" t="s">
        <v>39</v>
      </c>
      <c r="G2410" s="4" t="s">
        <v>45</v>
      </c>
      <c r="H2410" s="4" t="s">
        <v>15</v>
      </c>
      <c r="I2410" s="4" t="s">
        <v>1582</v>
      </c>
      <c r="J2410" s="4" t="s">
        <v>1621</v>
      </c>
      <c r="K2410" s="4" t="s">
        <v>52</v>
      </c>
      <c r="L2410" s="4" t="s">
        <v>3743</v>
      </c>
      <c r="M2410" s="4" t="s">
        <v>3746</v>
      </c>
      <c r="N2410" s="4" t="s">
        <v>3747</v>
      </c>
      <c r="O2410" s="17" t="str">
        <f>INDEX('список ID из СУЭ с должностями'!$A:$F,MATCH(E2410,'список ID из СУЭ с должностями'!$B:$B,0),5)</f>
        <v>НС</v>
      </c>
    </row>
    <row r="2411" spans="1:15" ht="60">
      <c r="A2411" s="3" t="s">
        <v>10</v>
      </c>
      <c r="B2411" s="3" t="s">
        <v>11</v>
      </c>
      <c r="C2411" s="4">
        <v>2026</v>
      </c>
      <c r="D2411" s="5" t="s">
        <v>12</v>
      </c>
      <c r="E2411" s="4">
        <v>332</v>
      </c>
      <c r="F2411" s="4" t="s">
        <v>39</v>
      </c>
      <c r="G2411" s="4" t="s">
        <v>45</v>
      </c>
      <c r="H2411" s="4" t="s">
        <v>15</v>
      </c>
      <c r="I2411" s="4" t="s">
        <v>58</v>
      </c>
      <c r="J2411" s="4" t="s">
        <v>59</v>
      </c>
      <c r="K2411" s="4" t="s">
        <v>30</v>
      </c>
      <c r="L2411" s="4" t="s">
        <v>3742</v>
      </c>
      <c r="M2411" s="4" t="s">
        <v>3746</v>
      </c>
      <c r="N2411" s="4" t="s">
        <v>3747</v>
      </c>
      <c r="O2411" s="17" t="str">
        <f>INDEX('список ID из СУЭ с должностями'!$A:$F,MATCH(E2411,'список ID из СУЭ с должностями'!$B:$B,0),5)</f>
        <v>НС</v>
      </c>
    </row>
    <row r="2412" spans="1:15" ht="60">
      <c r="A2412" s="3" t="s">
        <v>10</v>
      </c>
      <c r="B2412" s="3" t="s">
        <v>11</v>
      </c>
      <c r="C2412" s="4">
        <v>2026</v>
      </c>
      <c r="D2412" s="5" t="s">
        <v>12</v>
      </c>
      <c r="E2412" s="4">
        <v>332</v>
      </c>
      <c r="F2412" s="4" t="s">
        <v>39</v>
      </c>
      <c r="G2412" s="4" t="s">
        <v>45</v>
      </c>
      <c r="H2412" s="4" t="s">
        <v>15</v>
      </c>
      <c r="I2412" s="4" t="s">
        <v>56</v>
      </c>
      <c r="J2412" s="4" t="s">
        <v>57</v>
      </c>
      <c r="K2412" s="4" t="s">
        <v>55</v>
      </c>
      <c r="L2412" s="4" t="s">
        <v>3743</v>
      </c>
      <c r="M2412" s="4" t="s">
        <v>3746</v>
      </c>
      <c r="N2412" s="4" t="s">
        <v>3747</v>
      </c>
      <c r="O2412" s="17" t="str">
        <f>INDEX('список ID из СУЭ с должностями'!$A:$F,MATCH(E2412,'список ID из СУЭ с должностями'!$B:$B,0),5)</f>
        <v>НС</v>
      </c>
    </row>
    <row r="2413" spans="1:15" ht="45">
      <c r="A2413" s="3" t="s">
        <v>10</v>
      </c>
      <c r="B2413" s="3" t="s">
        <v>11</v>
      </c>
      <c r="C2413" s="4">
        <v>2026</v>
      </c>
      <c r="D2413" s="5" t="s">
        <v>12</v>
      </c>
      <c r="E2413" s="4">
        <v>332</v>
      </c>
      <c r="F2413" s="4" t="s">
        <v>39</v>
      </c>
      <c r="G2413" s="4" t="s">
        <v>45</v>
      </c>
      <c r="H2413" s="4" t="s">
        <v>15</v>
      </c>
      <c r="I2413" s="4" t="s">
        <v>53</v>
      </c>
      <c r="J2413" s="4" t="s">
        <v>1622</v>
      </c>
      <c r="K2413" s="4" t="s">
        <v>55</v>
      </c>
      <c r="L2413" s="4" t="s">
        <v>3743</v>
      </c>
      <c r="M2413" s="4" t="s">
        <v>3746</v>
      </c>
      <c r="N2413" s="4" t="s">
        <v>3747</v>
      </c>
      <c r="O2413" s="17" t="str">
        <f>INDEX('список ID из СУЭ с должностями'!$A:$F,MATCH(E2413,'список ID из СУЭ с должностями'!$B:$B,0),5)</f>
        <v>НС</v>
      </c>
    </row>
    <row r="2414" spans="1:15" ht="45">
      <c r="A2414" s="3" t="s">
        <v>10</v>
      </c>
      <c r="B2414" s="3" t="s">
        <v>11</v>
      </c>
      <c r="C2414" s="4">
        <v>2026</v>
      </c>
      <c r="D2414" s="5" t="s">
        <v>12</v>
      </c>
      <c r="E2414" s="4">
        <v>332</v>
      </c>
      <c r="F2414" s="4" t="s">
        <v>39</v>
      </c>
      <c r="G2414" s="4" t="s">
        <v>45</v>
      </c>
      <c r="H2414" s="4" t="s">
        <v>15</v>
      </c>
      <c r="I2414" s="4" t="s">
        <v>2598</v>
      </c>
      <c r="J2414" s="4" t="s">
        <v>2089</v>
      </c>
      <c r="K2414" s="4" t="s">
        <v>52</v>
      </c>
      <c r="L2414" s="4" t="s">
        <v>3742</v>
      </c>
      <c r="M2414" s="4" t="s">
        <v>3746</v>
      </c>
      <c r="N2414" s="4" t="s">
        <v>3747</v>
      </c>
      <c r="O2414" s="17" t="str">
        <f>INDEX('список ID из СУЭ с должностями'!$A:$F,MATCH(E2414,'список ID из СУЭ с должностями'!$B:$B,0),5)</f>
        <v>НС</v>
      </c>
    </row>
    <row r="2415" spans="1:15" ht="105">
      <c r="A2415" s="3" t="s">
        <v>10</v>
      </c>
      <c r="B2415" s="3" t="s">
        <v>11</v>
      </c>
      <c r="C2415" s="4">
        <v>2026</v>
      </c>
      <c r="D2415" s="5" t="s">
        <v>12</v>
      </c>
      <c r="E2415" s="4">
        <v>332</v>
      </c>
      <c r="F2415" s="4" t="s">
        <v>39</v>
      </c>
      <c r="G2415" s="4" t="s">
        <v>45</v>
      </c>
      <c r="H2415" s="4" t="s">
        <v>15</v>
      </c>
      <c r="I2415" s="4" t="s">
        <v>48</v>
      </c>
      <c r="J2415" s="4" t="s">
        <v>49</v>
      </c>
      <c r="K2415" s="4" t="s">
        <v>35</v>
      </c>
      <c r="L2415" s="4" t="s">
        <v>3743</v>
      </c>
      <c r="M2415" s="4" t="s">
        <v>3746</v>
      </c>
      <c r="N2415" s="4" t="s">
        <v>3747</v>
      </c>
      <c r="O2415" s="17" t="str">
        <f>INDEX('список ID из СУЭ с должностями'!$A:$F,MATCH(E2415,'список ID из СУЭ с должностями'!$B:$B,0),5)</f>
        <v>НС</v>
      </c>
    </row>
    <row r="2416" spans="1:15" ht="150">
      <c r="A2416" s="3" t="s">
        <v>10</v>
      </c>
      <c r="B2416" s="3" t="s">
        <v>11</v>
      </c>
      <c r="C2416" s="4">
        <v>2026</v>
      </c>
      <c r="D2416" s="5" t="s">
        <v>12</v>
      </c>
      <c r="E2416" s="4">
        <v>332</v>
      </c>
      <c r="F2416" s="4" t="s">
        <v>39</v>
      </c>
      <c r="G2416" s="4" t="s">
        <v>45</v>
      </c>
      <c r="H2416" s="4" t="s">
        <v>15</v>
      </c>
      <c r="I2416" s="4" t="s">
        <v>46</v>
      </c>
      <c r="J2416" s="4" t="s">
        <v>47</v>
      </c>
      <c r="K2416" s="4" t="s">
        <v>20</v>
      </c>
      <c r="L2416" s="4" t="s">
        <v>3743</v>
      </c>
      <c r="M2416" s="4" t="s">
        <v>3746</v>
      </c>
      <c r="N2416" s="4" t="s">
        <v>3747</v>
      </c>
      <c r="O2416" s="17" t="str">
        <f>INDEX('список ID из СУЭ с должностями'!$A:$F,MATCH(E2416,'список ID из СУЭ с должностями'!$B:$B,0),5)</f>
        <v>НС</v>
      </c>
    </row>
    <row r="2417" spans="1:15" ht="409.5">
      <c r="A2417" s="3" t="s">
        <v>10</v>
      </c>
      <c r="B2417" s="3" t="s">
        <v>11</v>
      </c>
      <c r="C2417" s="4">
        <v>2026</v>
      </c>
      <c r="D2417" s="5" t="s">
        <v>12</v>
      </c>
      <c r="E2417" s="4">
        <v>333</v>
      </c>
      <c r="F2417" s="4" t="s">
        <v>458</v>
      </c>
      <c r="G2417" s="4" t="s">
        <v>854</v>
      </c>
      <c r="H2417" s="4" t="s">
        <v>21</v>
      </c>
      <c r="I2417" s="4" t="s">
        <v>437</v>
      </c>
      <c r="J2417" s="4" t="s">
        <v>1167</v>
      </c>
      <c r="K2417" s="4" t="s">
        <v>52</v>
      </c>
      <c r="L2417" s="4" t="s">
        <v>3743</v>
      </c>
      <c r="M2417" s="4" t="s">
        <v>3746</v>
      </c>
      <c r="N2417" s="4" t="s">
        <v>3747</v>
      </c>
      <c r="O2417" s="17">
        <f>INDEX('список ID из СУЭ с должностями'!$A:$F,MATCH(E2417,'список ID из СУЭ с должностями'!$B:$B,0),5)</f>
        <v>0</v>
      </c>
    </row>
    <row r="2418" spans="1:15" ht="409.5">
      <c r="A2418" s="3" t="s">
        <v>10</v>
      </c>
      <c r="B2418" s="3" t="s">
        <v>11</v>
      </c>
      <c r="C2418" s="4">
        <v>2026</v>
      </c>
      <c r="D2418" s="5" t="s">
        <v>12</v>
      </c>
      <c r="E2418" s="4">
        <v>333</v>
      </c>
      <c r="F2418" s="4" t="s">
        <v>458</v>
      </c>
      <c r="G2418" s="4" t="s">
        <v>854</v>
      </c>
      <c r="H2418" s="4" t="s">
        <v>21</v>
      </c>
      <c r="I2418" s="4" t="s">
        <v>1168</v>
      </c>
      <c r="J2418" s="4" t="s">
        <v>1169</v>
      </c>
      <c r="K2418" s="4" t="s">
        <v>25</v>
      </c>
      <c r="L2418" s="4" t="s">
        <v>3743</v>
      </c>
      <c r="M2418" s="4" t="s">
        <v>3746</v>
      </c>
      <c r="N2418" s="4" t="s">
        <v>3747</v>
      </c>
      <c r="O2418" s="17">
        <f>INDEX('список ID из СУЭ с должностями'!$A:$F,MATCH(E2418,'список ID из СУЭ с должностями'!$B:$B,0),5)</f>
        <v>0</v>
      </c>
    </row>
    <row r="2419" spans="1:15" ht="409.5">
      <c r="A2419" s="3" t="s">
        <v>10</v>
      </c>
      <c r="B2419" s="3" t="s">
        <v>11</v>
      </c>
      <c r="C2419" s="4">
        <v>2026</v>
      </c>
      <c r="D2419" s="5" t="s">
        <v>12</v>
      </c>
      <c r="E2419" s="4">
        <v>333</v>
      </c>
      <c r="F2419" s="4" t="s">
        <v>458</v>
      </c>
      <c r="G2419" s="4" t="s">
        <v>854</v>
      </c>
      <c r="H2419" s="4" t="s">
        <v>15</v>
      </c>
      <c r="I2419" s="4" t="s">
        <v>460</v>
      </c>
      <c r="J2419" s="4" t="s">
        <v>1170</v>
      </c>
      <c r="K2419" s="4" t="s">
        <v>38</v>
      </c>
      <c r="L2419" s="4" t="s">
        <v>3743</v>
      </c>
      <c r="M2419" s="4" t="s">
        <v>3746</v>
      </c>
      <c r="N2419" s="4" t="s">
        <v>3747</v>
      </c>
      <c r="O2419" s="17">
        <f>INDEX('список ID из СУЭ с должностями'!$A:$F,MATCH(E2419,'список ID из СУЭ с должностями'!$B:$B,0),5)</f>
        <v>0</v>
      </c>
    </row>
    <row r="2420" spans="1:15" ht="135">
      <c r="A2420" s="3" t="s">
        <v>10</v>
      </c>
      <c r="B2420" s="3" t="s">
        <v>11</v>
      </c>
      <c r="C2420" s="4">
        <v>2026</v>
      </c>
      <c r="D2420" s="5" t="s">
        <v>12</v>
      </c>
      <c r="E2420" s="4">
        <v>333</v>
      </c>
      <c r="F2420" s="4" t="s">
        <v>458</v>
      </c>
      <c r="G2420" s="4" t="s">
        <v>854</v>
      </c>
      <c r="H2420" s="4" t="s">
        <v>21</v>
      </c>
      <c r="I2420" s="4" t="s">
        <v>1171</v>
      </c>
      <c r="J2420" s="4" t="s">
        <v>1172</v>
      </c>
      <c r="K2420" s="4" t="s">
        <v>230</v>
      </c>
      <c r="L2420" s="4" t="s">
        <v>3743</v>
      </c>
      <c r="M2420" s="4" t="s">
        <v>3746</v>
      </c>
      <c r="N2420" s="4" t="s">
        <v>3754</v>
      </c>
      <c r="O2420" s="17">
        <f>INDEX('список ID из СУЭ с должностями'!$A:$F,MATCH(E2420,'список ID из СУЭ с должностями'!$B:$B,0),5)</f>
        <v>0</v>
      </c>
    </row>
    <row r="2421" spans="1:15" ht="390">
      <c r="A2421" s="3" t="s">
        <v>10</v>
      </c>
      <c r="B2421" s="3" t="s">
        <v>11</v>
      </c>
      <c r="C2421" s="4">
        <v>2026</v>
      </c>
      <c r="D2421" s="5" t="s">
        <v>12</v>
      </c>
      <c r="E2421" s="4">
        <v>333</v>
      </c>
      <c r="F2421" s="4" t="s">
        <v>458</v>
      </c>
      <c r="G2421" s="4" t="s">
        <v>854</v>
      </c>
      <c r="H2421" s="4" t="s">
        <v>15</v>
      </c>
      <c r="I2421" s="4" t="s">
        <v>855</v>
      </c>
      <c r="J2421" s="4" t="s">
        <v>1892</v>
      </c>
      <c r="K2421" s="4" t="s">
        <v>66</v>
      </c>
      <c r="L2421" s="4" t="s">
        <v>3743</v>
      </c>
      <c r="M2421" s="4" t="s">
        <v>3746</v>
      </c>
      <c r="N2421" s="4" t="s">
        <v>3747</v>
      </c>
      <c r="O2421" s="17">
        <f>INDEX('список ID из СУЭ с должностями'!$A:$F,MATCH(E2421,'список ID из СУЭ с должностями'!$B:$B,0),5)</f>
        <v>0</v>
      </c>
    </row>
    <row r="2422" spans="1:15" ht="315">
      <c r="A2422" s="3" t="s">
        <v>10</v>
      </c>
      <c r="B2422" s="3" t="s">
        <v>11</v>
      </c>
      <c r="C2422" s="4">
        <v>2026</v>
      </c>
      <c r="D2422" s="5" t="s">
        <v>12</v>
      </c>
      <c r="E2422" s="4">
        <v>333</v>
      </c>
      <c r="F2422" s="4" t="s">
        <v>458</v>
      </c>
      <c r="G2422" s="4" t="s">
        <v>854</v>
      </c>
      <c r="H2422" s="4" t="s">
        <v>15</v>
      </c>
      <c r="I2422" s="4" t="s">
        <v>147</v>
      </c>
      <c r="J2422" s="4" t="s">
        <v>1706</v>
      </c>
      <c r="K2422" s="4" t="s">
        <v>35</v>
      </c>
      <c r="L2422" s="4" t="s">
        <v>3743</v>
      </c>
      <c r="M2422" s="4" t="s">
        <v>3746</v>
      </c>
      <c r="N2422" s="4" t="s">
        <v>3747</v>
      </c>
      <c r="O2422" s="17">
        <f>INDEX('список ID из СУЭ с должностями'!$A:$F,MATCH(E2422,'список ID из СУЭ с должностями'!$B:$B,0),5)</f>
        <v>0</v>
      </c>
    </row>
    <row r="2423" spans="1:15" ht="315">
      <c r="A2423" s="3" t="s">
        <v>10</v>
      </c>
      <c r="B2423" s="3" t="s">
        <v>11</v>
      </c>
      <c r="C2423" s="4">
        <v>2026</v>
      </c>
      <c r="D2423" s="5" t="s">
        <v>12</v>
      </c>
      <c r="E2423" s="4">
        <v>333</v>
      </c>
      <c r="F2423" s="4" t="s">
        <v>458</v>
      </c>
      <c r="G2423" s="4" t="s">
        <v>854</v>
      </c>
      <c r="H2423" s="4" t="s">
        <v>15</v>
      </c>
      <c r="I2423" s="4" t="s">
        <v>303</v>
      </c>
      <c r="J2423" s="4" t="s">
        <v>2599</v>
      </c>
      <c r="K2423" s="4" t="s">
        <v>66</v>
      </c>
      <c r="L2423" s="4" t="s">
        <v>3743</v>
      </c>
      <c r="M2423" s="4" t="s">
        <v>3746</v>
      </c>
      <c r="N2423" s="4" t="s">
        <v>3747</v>
      </c>
      <c r="O2423" s="17">
        <f>INDEX('список ID из СУЭ с должностями'!$A:$F,MATCH(E2423,'список ID из СУЭ с должностями'!$B:$B,0),5)</f>
        <v>0</v>
      </c>
    </row>
    <row r="2424" spans="1:15" ht="409.5">
      <c r="A2424" s="3" t="s">
        <v>10</v>
      </c>
      <c r="B2424" s="3" t="s">
        <v>11</v>
      </c>
      <c r="C2424" s="4">
        <v>2026</v>
      </c>
      <c r="D2424" s="5" t="s">
        <v>12</v>
      </c>
      <c r="E2424" s="4">
        <v>333</v>
      </c>
      <c r="F2424" s="4" t="s">
        <v>458</v>
      </c>
      <c r="G2424" s="4" t="s">
        <v>854</v>
      </c>
      <c r="H2424" s="4" t="s">
        <v>15</v>
      </c>
      <c r="I2424" s="4" t="s">
        <v>149</v>
      </c>
      <c r="J2424" s="4" t="s">
        <v>2600</v>
      </c>
      <c r="K2424" s="4" t="s">
        <v>52</v>
      </c>
      <c r="L2424" s="4" t="s">
        <v>3743</v>
      </c>
      <c r="M2424" s="4" t="s">
        <v>3746</v>
      </c>
      <c r="N2424" s="4" t="s">
        <v>3747</v>
      </c>
      <c r="O2424" s="17">
        <f>INDEX('список ID из СУЭ с должностями'!$A:$F,MATCH(E2424,'список ID из СУЭ с должностями'!$B:$B,0),5)</f>
        <v>0</v>
      </c>
    </row>
    <row r="2425" spans="1:15" ht="75">
      <c r="A2425" s="3" t="s">
        <v>10</v>
      </c>
      <c r="B2425" s="3" t="s">
        <v>11</v>
      </c>
      <c r="C2425" s="4">
        <v>2026</v>
      </c>
      <c r="D2425" s="5" t="s">
        <v>12</v>
      </c>
      <c r="E2425" s="4">
        <v>334</v>
      </c>
      <c r="F2425" s="4" t="s">
        <v>280</v>
      </c>
      <c r="G2425" s="4" t="s">
        <v>1785</v>
      </c>
      <c r="H2425" s="4" t="s">
        <v>15</v>
      </c>
      <c r="I2425" s="4" t="s">
        <v>819</v>
      </c>
      <c r="J2425" s="4" t="s">
        <v>200</v>
      </c>
      <c r="K2425" s="4" t="s">
        <v>66</v>
      </c>
      <c r="L2425" s="4" t="s">
        <v>3742</v>
      </c>
      <c r="M2425" s="4" t="s">
        <v>3746</v>
      </c>
      <c r="N2425" s="4" t="s">
        <v>3747</v>
      </c>
      <c r="O2425" s="17" t="str">
        <f>INDEX('список ID из СУЭ с должностями'!$A:$F,MATCH(E2425,'список ID из СУЭ с должностями'!$B:$B,0),5)</f>
        <v>ВИП</v>
      </c>
    </row>
    <row r="2426" spans="1:15" ht="75">
      <c r="A2426" s="3" t="s">
        <v>10</v>
      </c>
      <c r="B2426" s="3" t="s">
        <v>11</v>
      </c>
      <c r="C2426" s="4">
        <v>2026</v>
      </c>
      <c r="D2426" s="5" t="s">
        <v>12</v>
      </c>
      <c r="E2426" s="4">
        <v>334</v>
      </c>
      <c r="F2426" s="4" t="s">
        <v>280</v>
      </c>
      <c r="G2426" s="4" t="s">
        <v>1785</v>
      </c>
      <c r="H2426" s="4" t="s">
        <v>15</v>
      </c>
      <c r="I2426" s="4" t="s">
        <v>1250</v>
      </c>
      <c r="J2426" s="4" t="s">
        <v>1251</v>
      </c>
      <c r="K2426" s="4" t="s">
        <v>52</v>
      </c>
      <c r="L2426" s="4" t="s">
        <v>3743</v>
      </c>
      <c r="M2426" s="4" t="s">
        <v>3746</v>
      </c>
      <c r="N2426" s="4" t="s">
        <v>3747</v>
      </c>
      <c r="O2426" s="17" t="str">
        <f>INDEX('список ID из СУЭ с должностями'!$A:$F,MATCH(E2426,'список ID из СУЭ с должностями'!$B:$B,0),5)</f>
        <v>ВИП</v>
      </c>
    </row>
    <row r="2427" spans="1:15" ht="75">
      <c r="A2427" s="3" t="s">
        <v>10</v>
      </c>
      <c r="B2427" s="3" t="s">
        <v>11</v>
      </c>
      <c r="C2427" s="4">
        <v>2026</v>
      </c>
      <c r="D2427" s="5" t="s">
        <v>12</v>
      </c>
      <c r="E2427" s="4">
        <v>334</v>
      </c>
      <c r="F2427" s="4" t="s">
        <v>280</v>
      </c>
      <c r="G2427" s="4" t="s">
        <v>1785</v>
      </c>
      <c r="H2427" s="4" t="s">
        <v>41</v>
      </c>
      <c r="I2427" s="4" t="s">
        <v>1593</v>
      </c>
      <c r="J2427" s="4" t="s">
        <v>2601</v>
      </c>
      <c r="K2427" s="4" t="s">
        <v>52</v>
      </c>
      <c r="L2427" s="4" t="s">
        <v>3742</v>
      </c>
      <c r="M2427" s="4" t="s">
        <v>3746</v>
      </c>
      <c r="N2427" s="4" t="s">
        <v>3747</v>
      </c>
      <c r="O2427" s="17" t="str">
        <f>INDEX('список ID из СУЭ с должностями'!$A:$F,MATCH(E2427,'список ID из СУЭ с должностями'!$B:$B,0),5)</f>
        <v>ВИП</v>
      </c>
    </row>
    <row r="2428" spans="1:15" ht="75">
      <c r="A2428" s="3" t="s">
        <v>10</v>
      </c>
      <c r="B2428" s="3" t="s">
        <v>11</v>
      </c>
      <c r="C2428" s="4">
        <v>2026</v>
      </c>
      <c r="D2428" s="5" t="s">
        <v>12</v>
      </c>
      <c r="E2428" s="4">
        <v>334</v>
      </c>
      <c r="F2428" s="4" t="s">
        <v>280</v>
      </c>
      <c r="G2428" s="4" t="s">
        <v>1785</v>
      </c>
      <c r="H2428" s="4" t="s">
        <v>15</v>
      </c>
      <c r="I2428" s="4" t="s">
        <v>48</v>
      </c>
      <c r="J2428" s="4" t="s">
        <v>187</v>
      </c>
      <c r="K2428" s="4" t="s">
        <v>35</v>
      </c>
      <c r="L2428" s="4" t="s">
        <v>3743</v>
      </c>
      <c r="M2428" s="4" t="s">
        <v>3746</v>
      </c>
      <c r="N2428" s="4" t="s">
        <v>3747</v>
      </c>
      <c r="O2428" s="17" t="str">
        <f>INDEX('список ID из СУЭ с должностями'!$A:$F,MATCH(E2428,'список ID из СУЭ с должностями'!$B:$B,0),5)</f>
        <v>ВИП</v>
      </c>
    </row>
    <row r="2429" spans="1:15" ht="75">
      <c r="A2429" s="3" t="s">
        <v>10</v>
      </c>
      <c r="B2429" s="3" t="s">
        <v>11</v>
      </c>
      <c r="C2429" s="4">
        <v>2026</v>
      </c>
      <c r="D2429" s="5" t="s">
        <v>12</v>
      </c>
      <c r="E2429" s="4">
        <v>334</v>
      </c>
      <c r="F2429" s="4" t="s">
        <v>280</v>
      </c>
      <c r="G2429" s="4" t="s">
        <v>1785</v>
      </c>
      <c r="H2429" s="4" t="s">
        <v>15</v>
      </c>
      <c r="I2429" s="4" t="s">
        <v>62</v>
      </c>
      <c r="J2429" s="4" t="s">
        <v>2602</v>
      </c>
      <c r="K2429" s="4" t="s">
        <v>55</v>
      </c>
      <c r="L2429" s="4" t="s">
        <v>3743</v>
      </c>
      <c r="M2429" s="4" t="s">
        <v>3746</v>
      </c>
      <c r="N2429" s="4" t="s">
        <v>3747</v>
      </c>
      <c r="O2429" s="17" t="str">
        <f>INDEX('список ID из СУЭ с должностями'!$A:$F,MATCH(E2429,'список ID из СУЭ с должностями'!$B:$B,0),5)</f>
        <v>ВИП</v>
      </c>
    </row>
    <row r="2430" spans="1:15" ht="120">
      <c r="A2430" s="3" t="s">
        <v>10</v>
      </c>
      <c r="B2430" s="3" t="s">
        <v>11</v>
      </c>
      <c r="C2430" s="4">
        <v>2026</v>
      </c>
      <c r="D2430" s="5" t="s">
        <v>12</v>
      </c>
      <c r="E2430" s="4">
        <v>334</v>
      </c>
      <c r="F2430" s="4" t="s">
        <v>280</v>
      </c>
      <c r="G2430" s="4" t="s">
        <v>1785</v>
      </c>
      <c r="H2430" s="4" t="s">
        <v>21</v>
      </c>
      <c r="I2430" s="4" t="s">
        <v>2603</v>
      </c>
      <c r="J2430" s="4" t="s">
        <v>2604</v>
      </c>
      <c r="K2430" s="4" t="s">
        <v>23</v>
      </c>
      <c r="L2430" s="4" t="s">
        <v>3743</v>
      </c>
      <c r="M2430" s="4" t="s">
        <v>3748</v>
      </c>
      <c r="N2430" s="4" t="s">
        <v>3752</v>
      </c>
      <c r="O2430" s="17" t="str">
        <f>INDEX('список ID из СУЭ с должностями'!$A:$F,MATCH(E2430,'список ID из СУЭ с должностями'!$B:$B,0),5)</f>
        <v>ВИП</v>
      </c>
    </row>
    <row r="2431" spans="1:15" ht="75">
      <c r="A2431" s="3" t="s">
        <v>10</v>
      </c>
      <c r="B2431" s="3" t="s">
        <v>11</v>
      </c>
      <c r="C2431" s="4">
        <v>2026</v>
      </c>
      <c r="D2431" s="5" t="s">
        <v>12</v>
      </c>
      <c r="E2431" s="4">
        <v>334</v>
      </c>
      <c r="F2431" s="4" t="s">
        <v>280</v>
      </c>
      <c r="G2431" s="4" t="s">
        <v>1785</v>
      </c>
      <c r="H2431" s="4" t="s">
        <v>15</v>
      </c>
      <c r="I2431" s="4" t="s">
        <v>1588</v>
      </c>
      <c r="J2431" s="4" t="s">
        <v>2605</v>
      </c>
      <c r="K2431" s="4" t="s">
        <v>151</v>
      </c>
      <c r="L2431" s="4" t="s">
        <v>3742</v>
      </c>
      <c r="M2431" s="4" t="s">
        <v>3746</v>
      </c>
      <c r="N2431" s="4" t="s">
        <v>3747</v>
      </c>
      <c r="O2431" s="17" t="str">
        <f>INDEX('список ID из СУЭ с должностями'!$A:$F,MATCH(E2431,'список ID из СУЭ с должностями'!$B:$B,0),5)</f>
        <v>ВИП</v>
      </c>
    </row>
    <row r="2432" spans="1:15" ht="105">
      <c r="A2432" s="3" t="s">
        <v>10</v>
      </c>
      <c r="B2432" s="3" t="s">
        <v>11</v>
      </c>
      <c r="C2432" s="4">
        <v>2026</v>
      </c>
      <c r="D2432" s="5" t="s">
        <v>12</v>
      </c>
      <c r="E2432" s="4">
        <v>334</v>
      </c>
      <c r="F2432" s="4" t="s">
        <v>280</v>
      </c>
      <c r="G2432" s="4" t="s">
        <v>1785</v>
      </c>
      <c r="H2432" s="4" t="s">
        <v>15</v>
      </c>
      <c r="I2432" s="4" t="s">
        <v>1591</v>
      </c>
      <c r="J2432" s="4" t="s">
        <v>2606</v>
      </c>
      <c r="K2432" s="4" t="s">
        <v>30</v>
      </c>
      <c r="L2432" s="4" t="s">
        <v>3743</v>
      </c>
      <c r="M2432" s="4" t="s">
        <v>3746</v>
      </c>
      <c r="N2432" s="4" t="s">
        <v>3747</v>
      </c>
      <c r="O2432" s="17" t="str">
        <f>INDEX('список ID из СУЭ с должностями'!$A:$F,MATCH(E2432,'список ID из СУЭ с должностями'!$B:$B,0),5)</f>
        <v>ВИП</v>
      </c>
    </row>
    <row r="2433" spans="1:15" ht="315">
      <c r="A2433" s="3" t="s">
        <v>10</v>
      </c>
      <c r="B2433" s="3" t="s">
        <v>11</v>
      </c>
      <c r="C2433" s="4">
        <v>2026</v>
      </c>
      <c r="D2433" s="5" t="s">
        <v>12</v>
      </c>
      <c r="E2433" s="4">
        <v>334</v>
      </c>
      <c r="F2433" s="4" t="s">
        <v>280</v>
      </c>
      <c r="G2433" s="4" t="s">
        <v>1785</v>
      </c>
      <c r="H2433" s="4" t="s">
        <v>15</v>
      </c>
      <c r="I2433" s="4" t="s">
        <v>1595</v>
      </c>
      <c r="J2433" s="4" t="s">
        <v>1596</v>
      </c>
      <c r="K2433" s="4" t="s">
        <v>66</v>
      </c>
      <c r="L2433" s="4" t="s">
        <v>3743</v>
      </c>
      <c r="M2433" s="4" t="s">
        <v>3746</v>
      </c>
      <c r="N2433" s="4" t="s">
        <v>3747</v>
      </c>
      <c r="O2433" s="17" t="str">
        <f>INDEX('список ID из СУЭ с должностями'!$A:$F,MATCH(E2433,'список ID из СУЭ с должностями'!$B:$B,0),5)</f>
        <v>ВИП</v>
      </c>
    </row>
    <row r="2434" spans="1:15" ht="75">
      <c r="A2434" s="3" t="s">
        <v>10</v>
      </c>
      <c r="B2434" s="3" t="s">
        <v>11</v>
      </c>
      <c r="C2434" s="4">
        <v>2026</v>
      </c>
      <c r="D2434" s="5" t="s">
        <v>12</v>
      </c>
      <c r="E2434" s="4">
        <v>334</v>
      </c>
      <c r="F2434" s="4" t="s">
        <v>280</v>
      </c>
      <c r="G2434" s="4" t="s">
        <v>1785</v>
      </c>
      <c r="H2434" s="4" t="s">
        <v>15</v>
      </c>
      <c r="I2434" s="4" t="s">
        <v>245</v>
      </c>
      <c r="J2434" s="4" t="s">
        <v>182</v>
      </c>
      <c r="K2434" s="4" t="s">
        <v>30</v>
      </c>
      <c r="L2434" s="4" t="s">
        <v>3742</v>
      </c>
      <c r="M2434" s="4" t="s">
        <v>3746</v>
      </c>
      <c r="N2434" s="4" t="s">
        <v>3747</v>
      </c>
      <c r="O2434" s="17" t="str">
        <f>INDEX('список ID из СУЭ с должностями'!$A:$F,MATCH(E2434,'список ID из СУЭ с должностями'!$B:$B,0),5)</f>
        <v>ВИП</v>
      </c>
    </row>
    <row r="2435" spans="1:15" ht="135">
      <c r="A2435" s="3" t="s">
        <v>10</v>
      </c>
      <c r="B2435" s="3" t="s">
        <v>11</v>
      </c>
      <c r="C2435" s="4">
        <v>2026</v>
      </c>
      <c r="D2435" s="5" t="s">
        <v>12</v>
      </c>
      <c r="E2435" s="4">
        <v>335</v>
      </c>
      <c r="F2435" s="4" t="s">
        <v>280</v>
      </c>
      <c r="G2435" s="4" t="s">
        <v>820</v>
      </c>
      <c r="H2435" s="4" t="s">
        <v>15</v>
      </c>
      <c r="I2435" s="4" t="s">
        <v>318</v>
      </c>
      <c r="J2435" s="4" t="s">
        <v>1205</v>
      </c>
      <c r="K2435" s="4" t="s">
        <v>25</v>
      </c>
      <c r="L2435" s="4" t="s">
        <v>3743</v>
      </c>
      <c r="M2435" s="4" t="s">
        <v>3746</v>
      </c>
      <c r="N2435" s="4" t="s">
        <v>3747</v>
      </c>
      <c r="O2435" s="17">
        <f>INDEX('список ID из СУЭ с должностями'!$A:$F,MATCH(E2435,'список ID из СУЭ с должностями'!$B:$B,0),5)</f>
        <v>0</v>
      </c>
    </row>
    <row r="2436" spans="1:15" ht="120">
      <c r="A2436" s="3" t="s">
        <v>10</v>
      </c>
      <c r="B2436" s="3" t="s">
        <v>11</v>
      </c>
      <c r="C2436" s="4">
        <v>2026</v>
      </c>
      <c r="D2436" s="5" t="s">
        <v>12</v>
      </c>
      <c r="E2436" s="4">
        <v>335</v>
      </c>
      <c r="F2436" s="4" t="s">
        <v>280</v>
      </c>
      <c r="G2436" s="4" t="s">
        <v>820</v>
      </c>
      <c r="H2436" s="4" t="s">
        <v>15</v>
      </c>
      <c r="I2436" s="4" t="s">
        <v>356</v>
      </c>
      <c r="J2436" s="4" t="s">
        <v>2200</v>
      </c>
      <c r="K2436" s="4" t="s">
        <v>25</v>
      </c>
      <c r="L2436" s="4" t="s">
        <v>3743</v>
      </c>
      <c r="M2436" s="4" t="s">
        <v>3746</v>
      </c>
      <c r="N2436" s="4" t="s">
        <v>3747</v>
      </c>
      <c r="O2436" s="17">
        <f>INDEX('список ID из СУЭ с должностями'!$A:$F,MATCH(E2436,'список ID из СУЭ с должностями'!$B:$B,0),5)</f>
        <v>0</v>
      </c>
    </row>
    <row r="2437" spans="1:15" ht="409.5">
      <c r="A2437" s="3" t="s">
        <v>10</v>
      </c>
      <c r="B2437" s="3" t="s">
        <v>11</v>
      </c>
      <c r="C2437" s="4">
        <v>2026</v>
      </c>
      <c r="D2437" s="5" t="s">
        <v>12</v>
      </c>
      <c r="E2437" s="4">
        <v>335</v>
      </c>
      <c r="F2437" s="4" t="s">
        <v>280</v>
      </c>
      <c r="G2437" s="4" t="s">
        <v>820</v>
      </c>
      <c r="H2437" s="4" t="s">
        <v>15</v>
      </c>
      <c r="I2437" s="4" t="s">
        <v>354</v>
      </c>
      <c r="J2437" s="4" t="s">
        <v>2201</v>
      </c>
      <c r="K2437" s="4" t="s">
        <v>25</v>
      </c>
      <c r="L2437" s="4" t="s">
        <v>3743</v>
      </c>
      <c r="M2437" s="4" t="s">
        <v>3746</v>
      </c>
      <c r="N2437" s="4" t="s">
        <v>3747</v>
      </c>
      <c r="O2437" s="17">
        <f>INDEX('список ID из СУЭ с должностями'!$A:$F,MATCH(E2437,'список ID из СУЭ с должностями'!$B:$B,0),5)</f>
        <v>0</v>
      </c>
    </row>
    <row r="2438" spans="1:15" ht="315">
      <c r="A2438" s="3" t="s">
        <v>10</v>
      </c>
      <c r="B2438" s="3" t="s">
        <v>11</v>
      </c>
      <c r="C2438" s="4">
        <v>2026</v>
      </c>
      <c r="D2438" s="5" t="s">
        <v>12</v>
      </c>
      <c r="E2438" s="4">
        <v>335</v>
      </c>
      <c r="F2438" s="4" t="s">
        <v>280</v>
      </c>
      <c r="G2438" s="4" t="s">
        <v>820</v>
      </c>
      <c r="H2438" s="4" t="s">
        <v>15</v>
      </c>
      <c r="I2438" s="4" t="s">
        <v>352</v>
      </c>
      <c r="J2438" s="4" t="s">
        <v>2199</v>
      </c>
      <c r="K2438" s="4" t="s">
        <v>25</v>
      </c>
      <c r="L2438" s="4" t="s">
        <v>3743</v>
      </c>
      <c r="M2438" s="4" t="s">
        <v>3746</v>
      </c>
      <c r="N2438" s="4" t="s">
        <v>3747</v>
      </c>
      <c r="O2438" s="17">
        <f>INDEX('список ID из СУЭ с должностями'!$A:$F,MATCH(E2438,'список ID из СУЭ с должностями'!$B:$B,0),5)</f>
        <v>0</v>
      </c>
    </row>
    <row r="2439" spans="1:15" ht="315">
      <c r="A2439" s="3" t="s">
        <v>10</v>
      </c>
      <c r="B2439" s="3" t="s">
        <v>11</v>
      </c>
      <c r="C2439" s="4">
        <v>2026</v>
      </c>
      <c r="D2439" s="5" t="s">
        <v>12</v>
      </c>
      <c r="E2439" s="4">
        <v>335</v>
      </c>
      <c r="F2439" s="4" t="s">
        <v>280</v>
      </c>
      <c r="G2439" s="4" t="s">
        <v>820</v>
      </c>
      <c r="H2439" s="4" t="s">
        <v>15</v>
      </c>
      <c r="I2439" s="4" t="s">
        <v>28</v>
      </c>
      <c r="J2439" s="4" t="s">
        <v>2196</v>
      </c>
      <c r="K2439" s="4" t="s">
        <v>38</v>
      </c>
      <c r="L2439" s="4" t="s">
        <v>3743</v>
      </c>
      <c r="M2439" s="4" t="s">
        <v>3746</v>
      </c>
      <c r="N2439" s="4" t="s">
        <v>3747</v>
      </c>
      <c r="O2439" s="17">
        <f>INDEX('список ID из СУЭ с должностями'!$A:$F,MATCH(E2439,'список ID из СУЭ с должностями'!$B:$B,0),5)</f>
        <v>0</v>
      </c>
    </row>
    <row r="2440" spans="1:15" ht="105">
      <c r="A2440" s="3" t="s">
        <v>10</v>
      </c>
      <c r="B2440" s="3" t="s">
        <v>11</v>
      </c>
      <c r="C2440" s="4">
        <v>2026</v>
      </c>
      <c r="D2440" s="5" t="s">
        <v>12</v>
      </c>
      <c r="E2440" s="4">
        <v>335</v>
      </c>
      <c r="F2440" s="4" t="s">
        <v>280</v>
      </c>
      <c r="G2440" s="4" t="s">
        <v>820</v>
      </c>
      <c r="H2440" s="4" t="s">
        <v>15</v>
      </c>
      <c r="I2440" s="4" t="s">
        <v>358</v>
      </c>
      <c r="J2440" s="4" t="s">
        <v>825</v>
      </c>
      <c r="K2440" s="4" t="s">
        <v>66</v>
      </c>
      <c r="L2440" s="4" t="s">
        <v>3743</v>
      </c>
      <c r="M2440" s="4" t="s">
        <v>3746</v>
      </c>
      <c r="N2440" s="4" t="s">
        <v>3747</v>
      </c>
      <c r="O2440" s="17">
        <f>INDEX('список ID из СУЭ с должностями'!$A:$F,MATCH(E2440,'список ID из СУЭ с должностями'!$B:$B,0),5)</f>
        <v>0</v>
      </c>
    </row>
    <row r="2441" spans="1:15" ht="330">
      <c r="A2441" s="3" t="s">
        <v>10</v>
      </c>
      <c r="B2441" s="3" t="s">
        <v>11</v>
      </c>
      <c r="C2441" s="4">
        <v>2026</v>
      </c>
      <c r="D2441" s="5" t="s">
        <v>12</v>
      </c>
      <c r="E2441" s="4">
        <v>335</v>
      </c>
      <c r="F2441" s="4" t="s">
        <v>280</v>
      </c>
      <c r="G2441" s="4" t="s">
        <v>820</v>
      </c>
      <c r="H2441" s="4" t="s">
        <v>15</v>
      </c>
      <c r="I2441" s="4" t="s">
        <v>323</v>
      </c>
      <c r="J2441" s="4" t="s">
        <v>826</v>
      </c>
      <c r="K2441" s="4" t="s">
        <v>151</v>
      </c>
      <c r="L2441" s="4" t="s">
        <v>3743</v>
      </c>
      <c r="M2441" s="4" t="s">
        <v>3746</v>
      </c>
      <c r="N2441" s="4" t="s">
        <v>3747</v>
      </c>
      <c r="O2441" s="17">
        <f>INDEX('список ID из СУЭ с должностями'!$A:$F,MATCH(E2441,'список ID из СУЭ с должностями'!$B:$B,0),5)</f>
        <v>0</v>
      </c>
    </row>
    <row r="2442" spans="1:15" ht="330">
      <c r="A2442" s="3" t="s">
        <v>10</v>
      </c>
      <c r="B2442" s="3" t="s">
        <v>11</v>
      </c>
      <c r="C2442" s="4">
        <v>2026</v>
      </c>
      <c r="D2442" s="5" t="s">
        <v>12</v>
      </c>
      <c r="E2442" s="4">
        <v>335</v>
      </c>
      <c r="F2442" s="4" t="s">
        <v>280</v>
      </c>
      <c r="G2442" s="4" t="s">
        <v>820</v>
      </c>
      <c r="H2442" s="4" t="s">
        <v>15</v>
      </c>
      <c r="I2442" s="4" t="s">
        <v>325</v>
      </c>
      <c r="J2442" s="4" t="s">
        <v>1060</v>
      </c>
      <c r="K2442" s="4" t="s">
        <v>35</v>
      </c>
      <c r="L2442" s="4" t="s">
        <v>3743</v>
      </c>
      <c r="M2442" s="4" t="s">
        <v>3746</v>
      </c>
      <c r="N2442" s="4" t="s">
        <v>3747</v>
      </c>
      <c r="O2442" s="17">
        <f>INDEX('список ID из СУЭ с должностями'!$A:$F,MATCH(E2442,'список ID из СУЭ с должностями'!$B:$B,0),5)</f>
        <v>0</v>
      </c>
    </row>
    <row r="2443" spans="1:15" ht="60">
      <c r="A2443" s="3" t="s">
        <v>10</v>
      </c>
      <c r="B2443" s="3" t="s">
        <v>11</v>
      </c>
      <c r="C2443" s="4">
        <v>2026</v>
      </c>
      <c r="D2443" s="5" t="s">
        <v>12</v>
      </c>
      <c r="E2443" s="4">
        <v>336</v>
      </c>
      <c r="F2443" s="4" t="s">
        <v>613</v>
      </c>
      <c r="G2443" s="4" t="s">
        <v>614</v>
      </c>
      <c r="H2443" s="4" t="s">
        <v>15</v>
      </c>
      <c r="I2443" s="4" t="s">
        <v>622</v>
      </c>
      <c r="J2443" s="4" t="s">
        <v>623</v>
      </c>
      <c r="K2443" s="4" t="s">
        <v>151</v>
      </c>
      <c r="L2443" s="4" t="s">
        <v>3743</v>
      </c>
      <c r="M2443" s="4" t="s">
        <v>3746</v>
      </c>
      <c r="N2443" s="4" t="s">
        <v>3747</v>
      </c>
      <c r="O2443" s="17">
        <f>INDEX('список ID из СУЭ с должностями'!$A:$F,MATCH(E2443,'список ID из СУЭ с должностями'!$B:$B,0),5)</f>
        <v>0</v>
      </c>
    </row>
    <row r="2444" spans="1:15" ht="60">
      <c r="A2444" s="3" t="s">
        <v>10</v>
      </c>
      <c r="B2444" s="3" t="s">
        <v>11</v>
      </c>
      <c r="C2444" s="4">
        <v>2026</v>
      </c>
      <c r="D2444" s="5" t="s">
        <v>12</v>
      </c>
      <c r="E2444" s="4">
        <v>336</v>
      </c>
      <c r="F2444" s="4" t="s">
        <v>613</v>
      </c>
      <c r="G2444" s="4" t="s">
        <v>614</v>
      </c>
      <c r="H2444" s="4" t="s">
        <v>41</v>
      </c>
      <c r="I2444" s="4" t="s">
        <v>615</v>
      </c>
      <c r="J2444" s="4" t="s">
        <v>616</v>
      </c>
      <c r="K2444" s="4" t="s">
        <v>151</v>
      </c>
      <c r="L2444" s="4" t="s">
        <v>3743</v>
      </c>
      <c r="M2444" s="4" t="s">
        <v>3746</v>
      </c>
      <c r="N2444" s="4" t="s">
        <v>3747</v>
      </c>
      <c r="O2444" s="17">
        <f>INDEX('список ID из СУЭ с должностями'!$A:$F,MATCH(E2444,'список ID из СУЭ с должностями'!$B:$B,0),5)</f>
        <v>0</v>
      </c>
    </row>
    <row r="2445" spans="1:15" ht="135">
      <c r="A2445" s="3" t="s">
        <v>10</v>
      </c>
      <c r="B2445" s="3" t="s">
        <v>11</v>
      </c>
      <c r="C2445" s="4">
        <v>2026</v>
      </c>
      <c r="D2445" s="5" t="s">
        <v>12</v>
      </c>
      <c r="E2445" s="4">
        <v>336</v>
      </c>
      <c r="F2445" s="4" t="s">
        <v>613</v>
      </c>
      <c r="G2445" s="4" t="s">
        <v>614</v>
      </c>
      <c r="H2445" s="4" t="s">
        <v>15</v>
      </c>
      <c r="I2445" s="4" t="s">
        <v>617</v>
      </c>
      <c r="J2445" s="4" t="s">
        <v>618</v>
      </c>
      <c r="K2445" s="4" t="s">
        <v>619</v>
      </c>
      <c r="L2445" s="4" t="s">
        <v>3743</v>
      </c>
      <c r="M2445" s="4" t="s">
        <v>3746</v>
      </c>
      <c r="N2445" s="4" t="s">
        <v>3758</v>
      </c>
      <c r="O2445" s="17">
        <f>INDEX('список ID из СУЭ с должностями'!$A:$F,MATCH(E2445,'список ID из СУЭ с должностями'!$B:$B,0),5)</f>
        <v>0</v>
      </c>
    </row>
    <row r="2446" spans="1:15" ht="75">
      <c r="A2446" s="3" t="s">
        <v>10</v>
      </c>
      <c r="B2446" s="3" t="s">
        <v>11</v>
      </c>
      <c r="C2446" s="4">
        <v>2026</v>
      </c>
      <c r="D2446" s="5" t="s">
        <v>12</v>
      </c>
      <c r="E2446" s="4">
        <v>336</v>
      </c>
      <c r="F2446" s="4" t="s">
        <v>613</v>
      </c>
      <c r="G2446" s="4" t="s">
        <v>614</v>
      </c>
      <c r="H2446" s="4" t="s">
        <v>15</v>
      </c>
      <c r="I2446" s="4" t="s">
        <v>620</v>
      </c>
      <c r="J2446" s="4" t="s">
        <v>640</v>
      </c>
      <c r="K2446" s="4" t="s">
        <v>35</v>
      </c>
      <c r="L2446" s="4" t="s">
        <v>3743</v>
      </c>
      <c r="M2446" s="4" t="s">
        <v>3746</v>
      </c>
      <c r="N2446" s="4" t="s">
        <v>3747</v>
      </c>
      <c r="O2446" s="17">
        <f>INDEX('список ID из СУЭ с должностями'!$A:$F,MATCH(E2446,'список ID из СУЭ с должностями'!$B:$B,0),5)</f>
        <v>0</v>
      </c>
    </row>
    <row r="2447" spans="1:15" ht="60">
      <c r="A2447" s="3" t="s">
        <v>10</v>
      </c>
      <c r="B2447" s="3" t="s">
        <v>11</v>
      </c>
      <c r="C2447" s="4">
        <v>2026</v>
      </c>
      <c r="D2447" s="5" t="s">
        <v>12</v>
      </c>
      <c r="E2447" s="4">
        <v>336</v>
      </c>
      <c r="F2447" s="4" t="s">
        <v>613</v>
      </c>
      <c r="G2447" s="4" t="s">
        <v>614</v>
      </c>
      <c r="H2447" s="4" t="s">
        <v>15</v>
      </c>
      <c r="I2447" s="4" t="s">
        <v>624</v>
      </c>
      <c r="J2447" s="4" t="s">
        <v>637</v>
      </c>
      <c r="K2447" s="4" t="s">
        <v>151</v>
      </c>
      <c r="L2447" s="4" t="s">
        <v>3743</v>
      </c>
      <c r="M2447" s="4" t="s">
        <v>3746</v>
      </c>
      <c r="N2447" s="4" t="s">
        <v>3747</v>
      </c>
      <c r="O2447" s="17">
        <f>INDEX('список ID из СУЭ с должностями'!$A:$F,MATCH(E2447,'список ID из СУЭ с должностями'!$B:$B,0),5)</f>
        <v>0</v>
      </c>
    </row>
    <row r="2448" spans="1:15" ht="60">
      <c r="A2448" s="3" t="s">
        <v>10</v>
      </c>
      <c r="B2448" s="3" t="s">
        <v>11</v>
      </c>
      <c r="C2448" s="4">
        <v>2026</v>
      </c>
      <c r="D2448" s="5" t="s">
        <v>12</v>
      </c>
      <c r="E2448" s="4">
        <v>337</v>
      </c>
      <c r="F2448" s="4" t="s">
        <v>416</v>
      </c>
      <c r="G2448" s="4" t="s">
        <v>417</v>
      </c>
      <c r="H2448" s="4" t="s">
        <v>21</v>
      </c>
      <c r="I2448" s="4" t="s">
        <v>418</v>
      </c>
      <c r="J2448" s="4" t="s">
        <v>2607</v>
      </c>
      <c r="K2448" s="4" t="s">
        <v>52</v>
      </c>
      <c r="L2448" s="4" t="s">
        <v>3743</v>
      </c>
      <c r="M2448" s="4" t="s">
        <v>3746</v>
      </c>
      <c r="N2448" s="4" t="s">
        <v>3747</v>
      </c>
      <c r="O2448" s="17">
        <f>INDEX('список ID из СУЭ с должностями'!$A:$F,MATCH(E2448,'список ID из СУЭ с должностями'!$B:$B,0),5)</f>
        <v>0</v>
      </c>
    </row>
    <row r="2449" spans="1:15" ht="60">
      <c r="A2449" s="3" t="s">
        <v>10</v>
      </c>
      <c r="B2449" s="3" t="s">
        <v>11</v>
      </c>
      <c r="C2449" s="4">
        <v>2026</v>
      </c>
      <c r="D2449" s="5" t="s">
        <v>12</v>
      </c>
      <c r="E2449" s="4">
        <v>337</v>
      </c>
      <c r="F2449" s="4" t="s">
        <v>416</v>
      </c>
      <c r="G2449" s="4" t="s">
        <v>417</v>
      </c>
      <c r="H2449" s="4" t="s">
        <v>15</v>
      </c>
      <c r="I2449" s="4" t="s">
        <v>2608</v>
      </c>
      <c r="J2449" s="4" t="s">
        <v>2609</v>
      </c>
      <c r="K2449" s="4" t="s">
        <v>52</v>
      </c>
      <c r="L2449" s="4" t="s">
        <v>3743</v>
      </c>
      <c r="M2449" s="4" t="s">
        <v>3746</v>
      </c>
      <c r="N2449" s="4" t="s">
        <v>3747</v>
      </c>
      <c r="O2449" s="17">
        <f>INDEX('список ID из СУЭ с должностями'!$A:$F,MATCH(E2449,'список ID из СУЭ с должностями'!$B:$B,0),5)</f>
        <v>0</v>
      </c>
    </row>
    <row r="2450" spans="1:15" ht="150">
      <c r="A2450" s="3" t="s">
        <v>10</v>
      </c>
      <c r="B2450" s="3" t="s">
        <v>11</v>
      </c>
      <c r="C2450" s="4">
        <v>2026</v>
      </c>
      <c r="D2450" s="5" t="s">
        <v>12</v>
      </c>
      <c r="E2450" s="4">
        <v>337</v>
      </c>
      <c r="F2450" s="4" t="s">
        <v>416</v>
      </c>
      <c r="G2450" s="4" t="s">
        <v>417</v>
      </c>
      <c r="H2450" s="4" t="s">
        <v>15</v>
      </c>
      <c r="I2450" s="4" t="s">
        <v>2610</v>
      </c>
      <c r="J2450" s="4" t="s">
        <v>2611</v>
      </c>
      <c r="K2450" s="4" t="s">
        <v>52</v>
      </c>
      <c r="L2450" s="4" t="s">
        <v>3743</v>
      </c>
      <c r="M2450" s="4" t="s">
        <v>3746</v>
      </c>
      <c r="N2450" s="4" t="s">
        <v>3747</v>
      </c>
      <c r="O2450" s="17">
        <f>INDEX('список ID из СУЭ с должностями'!$A:$F,MATCH(E2450,'список ID из СУЭ с должностями'!$B:$B,0),5)</f>
        <v>0</v>
      </c>
    </row>
    <row r="2451" spans="1:15" ht="60">
      <c r="A2451" s="3" t="s">
        <v>10</v>
      </c>
      <c r="B2451" s="3" t="s">
        <v>11</v>
      </c>
      <c r="C2451" s="4">
        <v>2026</v>
      </c>
      <c r="D2451" s="5" t="s">
        <v>12</v>
      </c>
      <c r="E2451" s="4">
        <v>337</v>
      </c>
      <c r="F2451" s="4" t="s">
        <v>416</v>
      </c>
      <c r="G2451" s="4" t="s">
        <v>417</v>
      </c>
      <c r="H2451" s="4" t="s">
        <v>15</v>
      </c>
      <c r="I2451" s="4" t="s">
        <v>1023</v>
      </c>
      <c r="J2451" s="4" t="s">
        <v>2612</v>
      </c>
      <c r="K2451" s="4" t="s">
        <v>52</v>
      </c>
      <c r="L2451" s="4" t="s">
        <v>3743</v>
      </c>
      <c r="M2451" s="4" t="s">
        <v>3746</v>
      </c>
      <c r="N2451" s="4" t="s">
        <v>3747</v>
      </c>
      <c r="O2451" s="17">
        <f>INDEX('список ID из СУЭ с должностями'!$A:$F,MATCH(E2451,'список ID из СУЭ с должностями'!$B:$B,0),5)</f>
        <v>0</v>
      </c>
    </row>
    <row r="2452" spans="1:15" ht="90">
      <c r="A2452" s="3" t="s">
        <v>10</v>
      </c>
      <c r="B2452" s="3" t="s">
        <v>11</v>
      </c>
      <c r="C2452" s="4">
        <v>2026</v>
      </c>
      <c r="D2452" s="5" t="s">
        <v>12</v>
      </c>
      <c r="E2452" s="4">
        <v>337</v>
      </c>
      <c r="F2452" s="4" t="s">
        <v>416</v>
      </c>
      <c r="G2452" s="4" t="s">
        <v>417</v>
      </c>
      <c r="H2452" s="4" t="s">
        <v>15</v>
      </c>
      <c r="I2452" s="4" t="s">
        <v>2613</v>
      </c>
      <c r="J2452" s="4" t="s">
        <v>2614</v>
      </c>
      <c r="K2452" s="4" t="s">
        <v>23</v>
      </c>
      <c r="L2452" s="4" t="s">
        <v>3743</v>
      </c>
      <c r="M2452" s="4" t="s">
        <v>3748</v>
      </c>
      <c r="N2452" s="4" t="s">
        <v>3752</v>
      </c>
      <c r="O2452" s="17">
        <f>INDEX('список ID из СУЭ с должностями'!$A:$F,MATCH(E2452,'список ID из СУЭ с должностями'!$B:$B,0),5)</f>
        <v>0</v>
      </c>
    </row>
    <row r="2453" spans="1:15" ht="150">
      <c r="A2453" s="3" t="s">
        <v>10</v>
      </c>
      <c r="B2453" s="3" t="s">
        <v>11</v>
      </c>
      <c r="C2453" s="4">
        <v>2026</v>
      </c>
      <c r="D2453" s="5" t="s">
        <v>12</v>
      </c>
      <c r="E2453" s="4">
        <v>337</v>
      </c>
      <c r="F2453" s="4" t="s">
        <v>416</v>
      </c>
      <c r="G2453" s="4" t="s">
        <v>417</v>
      </c>
      <c r="H2453" s="4" t="s">
        <v>15</v>
      </c>
      <c r="I2453" s="4" t="s">
        <v>1029</v>
      </c>
      <c r="J2453" s="4" t="s">
        <v>2615</v>
      </c>
      <c r="K2453" s="4" t="s">
        <v>23</v>
      </c>
      <c r="L2453" s="4" t="s">
        <v>3743</v>
      </c>
      <c r="M2453" s="4" t="s">
        <v>3748</v>
      </c>
      <c r="N2453" s="4" t="s">
        <v>3752</v>
      </c>
      <c r="O2453" s="17">
        <f>INDEX('список ID из СУЭ с должностями'!$A:$F,MATCH(E2453,'список ID из СУЭ с должностями'!$B:$B,0),5)</f>
        <v>0</v>
      </c>
    </row>
    <row r="2454" spans="1:15" ht="60">
      <c r="A2454" s="3" t="s">
        <v>10</v>
      </c>
      <c r="B2454" s="3" t="s">
        <v>11</v>
      </c>
      <c r="C2454" s="4">
        <v>2026</v>
      </c>
      <c r="D2454" s="5" t="s">
        <v>12</v>
      </c>
      <c r="E2454" s="4">
        <v>337</v>
      </c>
      <c r="F2454" s="4" t="s">
        <v>416</v>
      </c>
      <c r="G2454" s="4" t="s">
        <v>417</v>
      </c>
      <c r="H2454" s="4" t="s">
        <v>15</v>
      </c>
      <c r="I2454" s="4" t="s">
        <v>2616</v>
      </c>
      <c r="J2454" s="4" t="s">
        <v>2617</v>
      </c>
      <c r="K2454" s="4" t="s">
        <v>23</v>
      </c>
      <c r="L2454" s="4" t="s">
        <v>3743</v>
      </c>
      <c r="M2454" s="4" t="s">
        <v>3748</v>
      </c>
      <c r="N2454" s="4" t="s">
        <v>3752</v>
      </c>
      <c r="O2454" s="17">
        <f>INDEX('список ID из СУЭ с должностями'!$A:$F,MATCH(E2454,'список ID из СУЭ с должностями'!$B:$B,0),5)</f>
        <v>0</v>
      </c>
    </row>
    <row r="2455" spans="1:15" ht="210">
      <c r="A2455" s="3" t="s">
        <v>10</v>
      </c>
      <c r="B2455" s="3" t="s">
        <v>11</v>
      </c>
      <c r="C2455" s="4">
        <v>2026</v>
      </c>
      <c r="D2455" s="5" t="s">
        <v>12</v>
      </c>
      <c r="E2455" s="4">
        <v>337</v>
      </c>
      <c r="F2455" s="4" t="s">
        <v>416</v>
      </c>
      <c r="G2455" s="4" t="s">
        <v>417</v>
      </c>
      <c r="H2455" s="4" t="s">
        <v>15</v>
      </c>
      <c r="I2455" s="4" t="s">
        <v>2618</v>
      </c>
      <c r="J2455" s="4" t="s">
        <v>2619</v>
      </c>
      <c r="K2455" s="4" t="s">
        <v>23</v>
      </c>
      <c r="L2455" s="4" t="s">
        <v>3743</v>
      </c>
      <c r="M2455" s="4" t="s">
        <v>3748</v>
      </c>
      <c r="N2455" s="4" t="s">
        <v>3752</v>
      </c>
      <c r="O2455" s="17">
        <f>INDEX('список ID из СУЭ с должностями'!$A:$F,MATCH(E2455,'список ID из СУЭ с должностями'!$B:$B,0),5)</f>
        <v>0</v>
      </c>
    </row>
    <row r="2456" spans="1:15" ht="90">
      <c r="A2456" s="3" t="s">
        <v>10</v>
      </c>
      <c r="B2456" s="3" t="s">
        <v>11</v>
      </c>
      <c r="C2456" s="4">
        <v>2026</v>
      </c>
      <c r="D2456" s="5" t="s">
        <v>12</v>
      </c>
      <c r="E2456" s="4">
        <v>338</v>
      </c>
      <c r="F2456" s="4" t="s">
        <v>153</v>
      </c>
      <c r="G2456" s="4" t="s">
        <v>154</v>
      </c>
      <c r="H2456" s="4" t="s">
        <v>21</v>
      </c>
      <c r="I2456" s="4" t="s">
        <v>155</v>
      </c>
      <c r="J2456" s="4" t="s">
        <v>156</v>
      </c>
      <c r="K2456" s="4" t="s">
        <v>30</v>
      </c>
      <c r="L2456" s="4" t="s">
        <v>3743</v>
      </c>
      <c r="M2456" s="4" t="s">
        <v>3746</v>
      </c>
      <c r="N2456" s="4" t="s">
        <v>3747</v>
      </c>
      <c r="O2456" s="17">
        <f>INDEX('список ID из СУЭ с должностями'!$A:$F,MATCH(E2456,'список ID из СУЭ с должностями'!$B:$B,0),5)</f>
        <v>0</v>
      </c>
    </row>
    <row r="2457" spans="1:15" ht="75">
      <c r="A2457" s="3" t="s">
        <v>10</v>
      </c>
      <c r="B2457" s="3" t="s">
        <v>11</v>
      </c>
      <c r="C2457" s="4">
        <v>2026</v>
      </c>
      <c r="D2457" s="5" t="s">
        <v>12</v>
      </c>
      <c r="E2457" s="4">
        <v>338</v>
      </c>
      <c r="F2457" s="4" t="s">
        <v>153</v>
      </c>
      <c r="G2457" s="4" t="s">
        <v>154</v>
      </c>
      <c r="H2457" s="4" t="s">
        <v>15</v>
      </c>
      <c r="I2457" s="4" t="s">
        <v>159</v>
      </c>
      <c r="J2457" s="4" t="s">
        <v>160</v>
      </c>
      <c r="K2457" s="4" t="s">
        <v>20</v>
      </c>
      <c r="L2457" s="4" t="s">
        <v>3743</v>
      </c>
      <c r="M2457" s="4" t="s">
        <v>3746</v>
      </c>
      <c r="N2457" s="4" t="s">
        <v>3747</v>
      </c>
      <c r="O2457" s="17">
        <f>INDEX('список ID из СУЭ с должностями'!$A:$F,MATCH(E2457,'список ID из СУЭ с должностями'!$B:$B,0),5)</f>
        <v>0</v>
      </c>
    </row>
    <row r="2458" spans="1:15" ht="60">
      <c r="A2458" s="3" t="s">
        <v>10</v>
      </c>
      <c r="B2458" s="3" t="s">
        <v>11</v>
      </c>
      <c r="C2458" s="4">
        <v>2026</v>
      </c>
      <c r="D2458" s="5" t="s">
        <v>12</v>
      </c>
      <c r="E2458" s="4">
        <v>338</v>
      </c>
      <c r="F2458" s="4" t="s">
        <v>153</v>
      </c>
      <c r="G2458" s="4" t="s">
        <v>154</v>
      </c>
      <c r="H2458" s="4" t="s">
        <v>15</v>
      </c>
      <c r="I2458" s="4" t="s">
        <v>161</v>
      </c>
      <c r="J2458" s="4" t="s">
        <v>162</v>
      </c>
      <c r="K2458" s="4" t="s">
        <v>151</v>
      </c>
      <c r="L2458" s="4" t="s">
        <v>3743</v>
      </c>
      <c r="M2458" s="4" t="s">
        <v>3746</v>
      </c>
      <c r="N2458" s="4" t="s">
        <v>3747</v>
      </c>
      <c r="O2458" s="17">
        <f>INDEX('список ID из СУЭ с должностями'!$A:$F,MATCH(E2458,'список ID из СУЭ с должностями'!$B:$B,0),5)</f>
        <v>0</v>
      </c>
    </row>
    <row r="2459" spans="1:15" ht="60">
      <c r="A2459" s="3" t="s">
        <v>10</v>
      </c>
      <c r="B2459" s="3" t="s">
        <v>11</v>
      </c>
      <c r="C2459" s="4">
        <v>2026</v>
      </c>
      <c r="D2459" s="5" t="s">
        <v>12</v>
      </c>
      <c r="E2459" s="4">
        <v>338</v>
      </c>
      <c r="F2459" s="4" t="s">
        <v>153</v>
      </c>
      <c r="G2459" s="4" t="s">
        <v>154</v>
      </c>
      <c r="H2459" s="4" t="s">
        <v>41</v>
      </c>
      <c r="I2459" s="4" t="s">
        <v>165</v>
      </c>
      <c r="J2459" s="4" t="s">
        <v>166</v>
      </c>
      <c r="K2459" s="4" t="s">
        <v>151</v>
      </c>
      <c r="L2459" s="4" t="s">
        <v>3743</v>
      </c>
      <c r="M2459" s="4" t="s">
        <v>3746</v>
      </c>
      <c r="N2459" s="4" t="s">
        <v>3747</v>
      </c>
      <c r="O2459" s="17">
        <f>INDEX('список ID из СУЭ с должностями'!$A:$F,MATCH(E2459,'список ID из СУЭ с должностями'!$B:$B,0),5)</f>
        <v>0</v>
      </c>
    </row>
    <row r="2460" spans="1:15" ht="105">
      <c r="A2460" s="3" t="s">
        <v>10</v>
      </c>
      <c r="B2460" s="3" t="s">
        <v>11</v>
      </c>
      <c r="C2460" s="4">
        <v>2026</v>
      </c>
      <c r="D2460" s="5" t="s">
        <v>12</v>
      </c>
      <c r="E2460" s="4">
        <v>338</v>
      </c>
      <c r="F2460" s="4" t="s">
        <v>153</v>
      </c>
      <c r="G2460" s="4" t="s">
        <v>154</v>
      </c>
      <c r="H2460" s="4" t="s">
        <v>15</v>
      </c>
      <c r="I2460" s="4" t="s">
        <v>167</v>
      </c>
      <c r="J2460" s="4" t="s">
        <v>168</v>
      </c>
      <c r="K2460" s="4" t="s">
        <v>20</v>
      </c>
      <c r="L2460" s="4" t="s">
        <v>3743</v>
      </c>
      <c r="M2460" s="4" t="s">
        <v>3746</v>
      </c>
      <c r="N2460" s="4" t="s">
        <v>3747</v>
      </c>
      <c r="O2460" s="17">
        <f>INDEX('список ID из СУЭ с должностями'!$A:$F,MATCH(E2460,'список ID из СУЭ с должностями'!$B:$B,0),5)</f>
        <v>0</v>
      </c>
    </row>
    <row r="2461" spans="1:15" ht="60">
      <c r="A2461" s="3" t="s">
        <v>10</v>
      </c>
      <c r="B2461" s="3" t="s">
        <v>11</v>
      </c>
      <c r="C2461" s="4">
        <v>2026</v>
      </c>
      <c r="D2461" s="5" t="s">
        <v>12</v>
      </c>
      <c r="E2461" s="4">
        <v>338</v>
      </c>
      <c r="F2461" s="4" t="s">
        <v>153</v>
      </c>
      <c r="G2461" s="4" t="s">
        <v>154</v>
      </c>
      <c r="H2461" s="4" t="s">
        <v>15</v>
      </c>
      <c r="I2461" s="4" t="s">
        <v>163</v>
      </c>
      <c r="J2461" s="4" t="s">
        <v>164</v>
      </c>
      <c r="K2461" s="4" t="s">
        <v>38</v>
      </c>
      <c r="L2461" s="4" t="s">
        <v>3742</v>
      </c>
      <c r="M2461" s="4" t="s">
        <v>3746</v>
      </c>
      <c r="N2461" s="4" t="s">
        <v>3747</v>
      </c>
      <c r="O2461" s="17">
        <f>INDEX('список ID из СУЭ с должностями'!$A:$F,MATCH(E2461,'список ID из СУЭ с должностями'!$B:$B,0),5)</f>
        <v>0</v>
      </c>
    </row>
    <row r="2462" spans="1:15" ht="60">
      <c r="A2462" s="3" t="s">
        <v>10</v>
      </c>
      <c r="B2462" s="3" t="s">
        <v>11</v>
      </c>
      <c r="C2462" s="4">
        <v>2026</v>
      </c>
      <c r="D2462" s="5" t="s">
        <v>12</v>
      </c>
      <c r="E2462" s="4">
        <v>338</v>
      </c>
      <c r="F2462" s="4" t="s">
        <v>153</v>
      </c>
      <c r="G2462" s="4" t="s">
        <v>154</v>
      </c>
      <c r="H2462" s="4" t="s">
        <v>15</v>
      </c>
      <c r="I2462" s="4" t="s">
        <v>169</v>
      </c>
      <c r="J2462" s="4" t="s">
        <v>170</v>
      </c>
      <c r="K2462" s="4" t="s">
        <v>55</v>
      </c>
      <c r="L2462" s="4" t="s">
        <v>3743</v>
      </c>
      <c r="M2462" s="4" t="s">
        <v>3746</v>
      </c>
      <c r="N2462" s="4" t="s">
        <v>3747</v>
      </c>
      <c r="O2462" s="17">
        <f>INDEX('список ID из СУЭ с должностями'!$A:$F,MATCH(E2462,'список ID из СУЭ с должностями'!$B:$B,0),5)</f>
        <v>0</v>
      </c>
    </row>
    <row r="2463" spans="1:15" ht="90">
      <c r="A2463" s="3" t="s">
        <v>10</v>
      </c>
      <c r="B2463" s="3" t="s">
        <v>11</v>
      </c>
      <c r="C2463" s="4">
        <v>2026</v>
      </c>
      <c r="D2463" s="5" t="s">
        <v>12</v>
      </c>
      <c r="E2463" s="4">
        <v>338</v>
      </c>
      <c r="F2463" s="4" t="s">
        <v>153</v>
      </c>
      <c r="G2463" s="4" t="s">
        <v>154</v>
      </c>
      <c r="H2463" s="4" t="s">
        <v>21</v>
      </c>
      <c r="I2463" s="4" t="s">
        <v>171</v>
      </c>
      <c r="J2463" s="4" t="s">
        <v>172</v>
      </c>
      <c r="K2463" s="4" t="s">
        <v>35</v>
      </c>
      <c r="L2463" s="4" t="s">
        <v>3743</v>
      </c>
      <c r="M2463" s="4" t="s">
        <v>3746</v>
      </c>
      <c r="N2463" s="4" t="s">
        <v>3747</v>
      </c>
      <c r="O2463" s="17">
        <f>INDEX('список ID из СУЭ с должностями'!$A:$F,MATCH(E2463,'список ID из СУЭ с должностями'!$B:$B,0),5)</f>
        <v>0</v>
      </c>
    </row>
    <row r="2464" spans="1:15" ht="60">
      <c r="A2464" s="3" t="s">
        <v>10</v>
      </c>
      <c r="B2464" s="3" t="s">
        <v>11</v>
      </c>
      <c r="C2464" s="4">
        <v>2026</v>
      </c>
      <c r="D2464" s="5" t="s">
        <v>12</v>
      </c>
      <c r="E2464" s="4">
        <v>338</v>
      </c>
      <c r="F2464" s="4" t="s">
        <v>153</v>
      </c>
      <c r="G2464" s="4" t="s">
        <v>154</v>
      </c>
      <c r="H2464" s="4" t="s">
        <v>15</v>
      </c>
      <c r="I2464" s="4" t="s">
        <v>173</v>
      </c>
      <c r="J2464" s="4" t="s">
        <v>174</v>
      </c>
      <c r="K2464" s="4" t="s">
        <v>151</v>
      </c>
      <c r="L2464" s="4" t="s">
        <v>3743</v>
      </c>
      <c r="M2464" s="4" t="s">
        <v>3746</v>
      </c>
      <c r="N2464" s="4" t="s">
        <v>3747</v>
      </c>
      <c r="O2464" s="17">
        <f>INDEX('список ID из СУЭ с должностями'!$A:$F,MATCH(E2464,'список ID из СУЭ с должностями'!$B:$B,0),5)</f>
        <v>0</v>
      </c>
    </row>
    <row r="2465" spans="1:15" ht="60">
      <c r="A2465" s="3" t="s">
        <v>10</v>
      </c>
      <c r="B2465" s="3" t="s">
        <v>11</v>
      </c>
      <c r="C2465" s="4">
        <v>2026</v>
      </c>
      <c r="D2465" s="5" t="s">
        <v>12</v>
      </c>
      <c r="E2465" s="4">
        <v>338</v>
      </c>
      <c r="F2465" s="4" t="s">
        <v>153</v>
      </c>
      <c r="G2465" s="4" t="s">
        <v>154</v>
      </c>
      <c r="H2465" s="4" t="s">
        <v>15</v>
      </c>
      <c r="I2465" s="4" t="s">
        <v>175</v>
      </c>
      <c r="J2465" s="4" t="s">
        <v>176</v>
      </c>
      <c r="K2465" s="4" t="s">
        <v>38</v>
      </c>
      <c r="L2465" s="4" t="s">
        <v>3743</v>
      </c>
      <c r="M2465" s="4" t="s">
        <v>3746</v>
      </c>
      <c r="N2465" s="4" t="s">
        <v>3747</v>
      </c>
      <c r="O2465" s="17">
        <f>INDEX('список ID из СУЭ с должностями'!$A:$F,MATCH(E2465,'список ID из СУЭ с должностями'!$B:$B,0),5)</f>
        <v>0</v>
      </c>
    </row>
    <row r="2466" spans="1:15" ht="120">
      <c r="A2466" s="3" t="s">
        <v>10</v>
      </c>
      <c r="B2466" s="3" t="s">
        <v>11</v>
      </c>
      <c r="C2466" s="4">
        <v>2026</v>
      </c>
      <c r="D2466" s="5" t="s">
        <v>12</v>
      </c>
      <c r="E2466" s="4">
        <v>339</v>
      </c>
      <c r="F2466" s="4" t="s">
        <v>454</v>
      </c>
      <c r="G2466" s="4" t="s">
        <v>455</v>
      </c>
      <c r="H2466" s="4" t="s">
        <v>15</v>
      </c>
      <c r="I2466" s="4" t="s">
        <v>456</v>
      </c>
      <c r="J2466" s="4" t="s">
        <v>457</v>
      </c>
      <c r="K2466" s="4" t="s">
        <v>23</v>
      </c>
      <c r="L2466" s="4" t="s">
        <v>3743</v>
      </c>
      <c r="M2466" s="4" t="s">
        <v>3748</v>
      </c>
      <c r="N2466" s="4" t="s">
        <v>3752</v>
      </c>
      <c r="O2466" s="17">
        <f>INDEX('список ID из СУЭ с должностями'!$A:$F,MATCH(E2466,'список ID из СУЭ с должностями'!$B:$B,0),5)</f>
        <v>0</v>
      </c>
    </row>
    <row r="2467" spans="1:15" ht="375">
      <c r="A2467" s="3" t="s">
        <v>10</v>
      </c>
      <c r="B2467" s="3" t="s">
        <v>11</v>
      </c>
      <c r="C2467" s="4">
        <v>2026</v>
      </c>
      <c r="D2467" s="5" t="s">
        <v>12</v>
      </c>
      <c r="E2467" s="4">
        <v>339</v>
      </c>
      <c r="F2467" s="4" t="s">
        <v>454</v>
      </c>
      <c r="G2467" s="4" t="s">
        <v>455</v>
      </c>
      <c r="H2467" s="4" t="s">
        <v>15</v>
      </c>
      <c r="I2467" s="4" t="s">
        <v>460</v>
      </c>
      <c r="J2467" s="4" t="s">
        <v>461</v>
      </c>
      <c r="K2467" s="4" t="s">
        <v>38</v>
      </c>
      <c r="L2467" s="4" t="s">
        <v>3743</v>
      </c>
      <c r="M2467" s="4" t="s">
        <v>3746</v>
      </c>
      <c r="N2467" s="4" t="s">
        <v>3747</v>
      </c>
      <c r="O2467" s="17">
        <f>INDEX('список ID из СУЭ с должностями'!$A:$F,MATCH(E2467,'список ID из СУЭ с должностями'!$B:$B,0),5)</f>
        <v>0</v>
      </c>
    </row>
    <row r="2468" spans="1:15" ht="120">
      <c r="A2468" s="3" t="s">
        <v>10</v>
      </c>
      <c r="B2468" s="3" t="s">
        <v>11</v>
      </c>
      <c r="C2468" s="4">
        <v>2026</v>
      </c>
      <c r="D2468" s="5" t="s">
        <v>12</v>
      </c>
      <c r="E2468" s="4">
        <v>339</v>
      </c>
      <c r="F2468" s="4" t="s">
        <v>454</v>
      </c>
      <c r="G2468" s="4" t="s">
        <v>455</v>
      </c>
      <c r="H2468" s="4" t="s">
        <v>15</v>
      </c>
      <c r="I2468" s="4" t="s">
        <v>462</v>
      </c>
      <c r="J2468" s="4" t="s">
        <v>463</v>
      </c>
      <c r="K2468" s="4" t="s">
        <v>35</v>
      </c>
      <c r="L2468" s="4" t="s">
        <v>3742</v>
      </c>
      <c r="M2468" s="4" t="s">
        <v>3746</v>
      </c>
      <c r="N2468" s="4" t="s">
        <v>3747</v>
      </c>
      <c r="O2468" s="17">
        <f>INDEX('список ID из СУЭ с должностями'!$A:$F,MATCH(E2468,'список ID из СУЭ с должностями'!$B:$B,0),5)</f>
        <v>0</v>
      </c>
    </row>
    <row r="2469" spans="1:15" ht="409.5">
      <c r="A2469" s="3" t="s">
        <v>10</v>
      </c>
      <c r="B2469" s="3" t="s">
        <v>11</v>
      </c>
      <c r="C2469" s="4">
        <v>2026</v>
      </c>
      <c r="D2469" s="5" t="s">
        <v>12</v>
      </c>
      <c r="E2469" s="4">
        <v>339</v>
      </c>
      <c r="F2469" s="4" t="s">
        <v>454</v>
      </c>
      <c r="G2469" s="4" t="s">
        <v>455</v>
      </c>
      <c r="H2469" s="4" t="s">
        <v>15</v>
      </c>
      <c r="I2469" s="4" t="s">
        <v>464</v>
      </c>
      <c r="J2469" s="4" t="s">
        <v>465</v>
      </c>
      <c r="K2469" s="4" t="s">
        <v>66</v>
      </c>
      <c r="L2469" s="4" t="s">
        <v>3743</v>
      </c>
      <c r="M2469" s="4" t="s">
        <v>3746</v>
      </c>
      <c r="N2469" s="4" t="s">
        <v>3747</v>
      </c>
      <c r="O2469" s="17">
        <f>INDEX('список ID из СУЭ с должностями'!$A:$F,MATCH(E2469,'список ID из СУЭ с должностями'!$B:$B,0),5)</f>
        <v>0</v>
      </c>
    </row>
    <row r="2470" spans="1:15" ht="120">
      <c r="A2470" s="3" t="s">
        <v>10</v>
      </c>
      <c r="B2470" s="3" t="s">
        <v>11</v>
      </c>
      <c r="C2470" s="4">
        <v>2026</v>
      </c>
      <c r="D2470" s="5" t="s">
        <v>12</v>
      </c>
      <c r="E2470" s="4">
        <v>339</v>
      </c>
      <c r="F2470" s="4" t="s">
        <v>454</v>
      </c>
      <c r="G2470" s="4" t="s">
        <v>455</v>
      </c>
      <c r="H2470" s="4" t="s">
        <v>15</v>
      </c>
      <c r="I2470" s="4" t="s">
        <v>466</v>
      </c>
      <c r="J2470" s="4" t="s">
        <v>467</v>
      </c>
      <c r="K2470" s="4" t="s">
        <v>30</v>
      </c>
      <c r="L2470" s="4" t="s">
        <v>3742</v>
      </c>
      <c r="M2470" s="4" t="s">
        <v>3746</v>
      </c>
      <c r="N2470" s="4" t="s">
        <v>3747</v>
      </c>
      <c r="O2470" s="17">
        <f>INDEX('список ID из СУЭ с должностями'!$A:$F,MATCH(E2470,'список ID из СУЭ с должностями'!$B:$B,0),5)</f>
        <v>0</v>
      </c>
    </row>
    <row r="2471" spans="1:15" ht="120">
      <c r="A2471" s="3" t="s">
        <v>10</v>
      </c>
      <c r="B2471" s="3" t="s">
        <v>11</v>
      </c>
      <c r="C2471" s="4">
        <v>2026</v>
      </c>
      <c r="D2471" s="5" t="s">
        <v>12</v>
      </c>
      <c r="E2471" s="4">
        <v>339</v>
      </c>
      <c r="F2471" s="4" t="s">
        <v>454</v>
      </c>
      <c r="G2471" s="4" t="s">
        <v>455</v>
      </c>
      <c r="H2471" s="4" t="s">
        <v>15</v>
      </c>
      <c r="I2471" s="4" t="s">
        <v>468</v>
      </c>
      <c r="J2471" s="4" t="s">
        <v>79</v>
      </c>
      <c r="K2471" s="4" t="s">
        <v>30</v>
      </c>
      <c r="L2471" s="4" t="s">
        <v>3742</v>
      </c>
      <c r="M2471" s="4" t="s">
        <v>3746</v>
      </c>
      <c r="N2471" s="4" t="s">
        <v>3747</v>
      </c>
      <c r="O2471" s="17">
        <f>INDEX('список ID из СУЭ с должностями'!$A:$F,MATCH(E2471,'список ID из СУЭ с должностями'!$B:$B,0),5)</f>
        <v>0</v>
      </c>
    </row>
    <row r="2472" spans="1:15" ht="210">
      <c r="A2472" s="3" t="s">
        <v>10</v>
      </c>
      <c r="B2472" s="3" t="s">
        <v>11</v>
      </c>
      <c r="C2472" s="4">
        <v>2026</v>
      </c>
      <c r="D2472" s="5" t="s">
        <v>12</v>
      </c>
      <c r="E2472" s="4">
        <v>339</v>
      </c>
      <c r="F2472" s="4" t="s">
        <v>454</v>
      </c>
      <c r="G2472" s="4" t="s">
        <v>455</v>
      </c>
      <c r="H2472" s="4" t="s">
        <v>15</v>
      </c>
      <c r="I2472" s="4" t="s">
        <v>469</v>
      </c>
      <c r="J2472" s="4" t="s">
        <v>470</v>
      </c>
      <c r="K2472" s="4" t="s">
        <v>30</v>
      </c>
      <c r="L2472" s="4" t="s">
        <v>3743</v>
      </c>
      <c r="M2472" s="4" t="s">
        <v>3746</v>
      </c>
      <c r="N2472" s="4" t="s">
        <v>3747</v>
      </c>
      <c r="O2472" s="17">
        <f>INDEX('список ID из СУЭ с должностями'!$A:$F,MATCH(E2472,'список ID из СУЭ с должностями'!$B:$B,0),5)</f>
        <v>0</v>
      </c>
    </row>
    <row r="2473" spans="1:15" ht="120">
      <c r="A2473" s="3" t="s">
        <v>10</v>
      </c>
      <c r="B2473" s="3" t="s">
        <v>11</v>
      </c>
      <c r="C2473" s="4">
        <v>2026</v>
      </c>
      <c r="D2473" s="5" t="s">
        <v>12</v>
      </c>
      <c r="E2473" s="4">
        <v>339</v>
      </c>
      <c r="F2473" s="4" t="s">
        <v>454</v>
      </c>
      <c r="G2473" s="4" t="s">
        <v>455</v>
      </c>
      <c r="H2473" s="4" t="s">
        <v>15</v>
      </c>
      <c r="I2473" s="4" t="s">
        <v>471</v>
      </c>
      <c r="J2473" s="4" t="s">
        <v>463</v>
      </c>
      <c r="K2473" s="4" t="s">
        <v>188</v>
      </c>
      <c r="L2473" s="4" t="s">
        <v>3742</v>
      </c>
      <c r="M2473" s="4" t="s">
        <v>3746</v>
      </c>
      <c r="N2473" s="4" t="s">
        <v>3747</v>
      </c>
      <c r="O2473" s="17">
        <f>INDEX('список ID из СУЭ с должностями'!$A:$F,MATCH(E2473,'список ID из СУЭ с должностями'!$B:$B,0),5)</f>
        <v>0</v>
      </c>
    </row>
    <row r="2474" spans="1:15" ht="409.5">
      <c r="A2474" s="3" t="s">
        <v>10</v>
      </c>
      <c r="B2474" s="3" t="s">
        <v>11</v>
      </c>
      <c r="C2474" s="4">
        <v>2026</v>
      </c>
      <c r="D2474" s="5" t="s">
        <v>12</v>
      </c>
      <c r="E2474" s="4">
        <v>339</v>
      </c>
      <c r="F2474" s="4" t="s">
        <v>454</v>
      </c>
      <c r="G2474" s="4" t="s">
        <v>455</v>
      </c>
      <c r="H2474" s="4" t="s">
        <v>15</v>
      </c>
      <c r="I2474" s="4" t="s">
        <v>472</v>
      </c>
      <c r="J2474" s="4" t="s">
        <v>473</v>
      </c>
      <c r="K2474" s="4" t="s">
        <v>25</v>
      </c>
      <c r="L2474" s="4" t="s">
        <v>3743</v>
      </c>
      <c r="M2474" s="4" t="s">
        <v>3746</v>
      </c>
      <c r="N2474" s="4" t="s">
        <v>3747</v>
      </c>
      <c r="O2474" s="17">
        <f>INDEX('список ID из СУЭ с должностями'!$A:$F,MATCH(E2474,'список ID из СУЭ с должностями'!$B:$B,0),5)</f>
        <v>0</v>
      </c>
    </row>
    <row r="2475" spans="1:15" ht="75">
      <c r="A2475" s="3" t="s">
        <v>10</v>
      </c>
      <c r="B2475" s="3" t="s">
        <v>11</v>
      </c>
      <c r="C2475" s="4">
        <v>2026</v>
      </c>
      <c r="D2475" s="5" t="s">
        <v>12</v>
      </c>
      <c r="E2475" s="4">
        <v>340</v>
      </c>
      <c r="F2475" s="4" t="s">
        <v>39</v>
      </c>
      <c r="G2475" s="4" t="s">
        <v>578</v>
      </c>
      <c r="H2475" s="4" t="s">
        <v>21</v>
      </c>
      <c r="I2475" s="4" t="s">
        <v>2620</v>
      </c>
      <c r="J2475" s="4" t="s">
        <v>2621</v>
      </c>
      <c r="K2475" s="4" t="s">
        <v>25</v>
      </c>
      <c r="L2475" s="4" t="s">
        <v>3743</v>
      </c>
      <c r="M2475" s="4" t="s">
        <v>3746</v>
      </c>
      <c r="N2475" s="4" t="s">
        <v>3747</v>
      </c>
      <c r="O2475" s="17" t="str">
        <f>INDEX('список ID из СУЭ с должностями'!$A:$F,MATCH(E2475,'список ID из СУЭ с должностями'!$B:$B,0),5)</f>
        <v>НС</v>
      </c>
    </row>
    <row r="2476" spans="1:15" ht="60">
      <c r="A2476" s="3" t="s">
        <v>10</v>
      </c>
      <c r="B2476" s="3" t="s">
        <v>11</v>
      </c>
      <c r="C2476" s="4">
        <v>2026</v>
      </c>
      <c r="D2476" s="5" t="s">
        <v>12</v>
      </c>
      <c r="E2476" s="4">
        <v>340</v>
      </c>
      <c r="F2476" s="4" t="s">
        <v>39</v>
      </c>
      <c r="G2476" s="4" t="s">
        <v>578</v>
      </c>
      <c r="H2476" s="4" t="s">
        <v>15</v>
      </c>
      <c r="I2476" s="4" t="s">
        <v>1284</v>
      </c>
      <c r="J2476" s="4" t="s">
        <v>957</v>
      </c>
      <c r="K2476" s="4" t="s">
        <v>188</v>
      </c>
      <c r="L2476" s="4" t="s">
        <v>3742</v>
      </c>
      <c r="M2476" s="4" t="s">
        <v>3746</v>
      </c>
      <c r="N2476" s="4" t="s">
        <v>3747</v>
      </c>
      <c r="O2476" s="17" t="str">
        <f>INDEX('список ID из СУЭ с должностями'!$A:$F,MATCH(E2476,'список ID из СУЭ с должностями'!$B:$B,0),5)</f>
        <v>НС</v>
      </c>
    </row>
    <row r="2477" spans="1:15" ht="45">
      <c r="A2477" s="3" t="s">
        <v>10</v>
      </c>
      <c r="B2477" s="3" t="s">
        <v>11</v>
      </c>
      <c r="C2477" s="4">
        <v>2026</v>
      </c>
      <c r="D2477" s="5" t="s">
        <v>12</v>
      </c>
      <c r="E2477" s="4">
        <v>340</v>
      </c>
      <c r="F2477" s="4" t="s">
        <v>39</v>
      </c>
      <c r="G2477" s="4" t="s">
        <v>578</v>
      </c>
      <c r="H2477" s="4" t="s">
        <v>15</v>
      </c>
      <c r="I2477" s="4" t="s">
        <v>203</v>
      </c>
      <c r="J2477" s="4" t="s">
        <v>957</v>
      </c>
      <c r="K2477" s="4" t="s">
        <v>35</v>
      </c>
      <c r="L2477" s="4" t="s">
        <v>3742</v>
      </c>
      <c r="M2477" s="4" t="s">
        <v>3746</v>
      </c>
      <c r="N2477" s="4" t="s">
        <v>3747</v>
      </c>
      <c r="O2477" s="17" t="str">
        <f>INDEX('список ID из СУЭ с должностями'!$A:$F,MATCH(E2477,'список ID из СУЭ с должностями'!$B:$B,0),5)</f>
        <v>НС</v>
      </c>
    </row>
    <row r="2478" spans="1:15" ht="60">
      <c r="A2478" s="3" t="s">
        <v>10</v>
      </c>
      <c r="B2478" s="3" t="s">
        <v>11</v>
      </c>
      <c r="C2478" s="4">
        <v>2026</v>
      </c>
      <c r="D2478" s="5" t="s">
        <v>12</v>
      </c>
      <c r="E2478" s="4">
        <v>340</v>
      </c>
      <c r="F2478" s="4" t="s">
        <v>39</v>
      </c>
      <c r="G2478" s="4" t="s">
        <v>578</v>
      </c>
      <c r="H2478" s="4" t="s">
        <v>15</v>
      </c>
      <c r="I2478" s="4" t="s">
        <v>288</v>
      </c>
      <c r="J2478" s="4" t="s">
        <v>2622</v>
      </c>
      <c r="K2478" s="4" t="s">
        <v>188</v>
      </c>
      <c r="L2478" s="4" t="s">
        <v>3742</v>
      </c>
      <c r="M2478" s="4" t="s">
        <v>3746</v>
      </c>
      <c r="N2478" s="4" t="s">
        <v>3747</v>
      </c>
      <c r="O2478" s="17" t="str">
        <f>INDEX('список ID из СУЭ с должностями'!$A:$F,MATCH(E2478,'список ID из СУЭ с должностями'!$B:$B,0),5)</f>
        <v>НС</v>
      </c>
    </row>
    <row r="2479" spans="1:15" ht="60">
      <c r="A2479" s="3" t="s">
        <v>10</v>
      </c>
      <c r="B2479" s="3" t="s">
        <v>11</v>
      </c>
      <c r="C2479" s="4">
        <v>2026</v>
      </c>
      <c r="D2479" s="5" t="s">
        <v>12</v>
      </c>
      <c r="E2479" s="4">
        <v>340</v>
      </c>
      <c r="F2479" s="4" t="s">
        <v>39</v>
      </c>
      <c r="G2479" s="4" t="s">
        <v>578</v>
      </c>
      <c r="H2479" s="4" t="s">
        <v>15</v>
      </c>
      <c r="I2479" s="4" t="s">
        <v>290</v>
      </c>
      <c r="J2479" s="4" t="s">
        <v>2623</v>
      </c>
      <c r="K2479" s="4" t="s">
        <v>151</v>
      </c>
      <c r="L2479" s="4" t="s">
        <v>3742</v>
      </c>
      <c r="M2479" s="4" t="s">
        <v>3746</v>
      </c>
      <c r="N2479" s="4" t="s">
        <v>3747</v>
      </c>
      <c r="O2479" s="17" t="str">
        <f>INDEX('список ID из СУЭ с должностями'!$A:$F,MATCH(E2479,'список ID из СУЭ с должностями'!$B:$B,0),5)</f>
        <v>НС</v>
      </c>
    </row>
    <row r="2480" spans="1:15" ht="285">
      <c r="A2480" s="3" t="s">
        <v>10</v>
      </c>
      <c r="B2480" s="3" t="s">
        <v>11</v>
      </c>
      <c r="C2480" s="4">
        <v>2026</v>
      </c>
      <c r="D2480" s="5" t="s">
        <v>12</v>
      </c>
      <c r="E2480" s="4">
        <v>340</v>
      </c>
      <c r="F2480" s="4" t="s">
        <v>39</v>
      </c>
      <c r="G2480" s="4" t="s">
        <v>578</v>
      </c>
      <c r="H2480" s="4" t="s">
        <v>15</v>
      </c>
      <c r="I2480" s="4" t="s">
        <v>1282</v>
      </c>
      <c r="J2480" s="4" t="s">
        <v>2624</v>
      </c>
      <c r="K2480" s="4" t="s">
        <v>20</v>
      </c>
      <c r="L2480" s="4" t="s">
        <v>3743</v>
      </c>
      <c r="M2480" s="4" t="s">
        <v>3746</v>
      </c>
      <c r="N2480" s="4" t="s">
        <v>3747</v>
      </c>
      <c r="O2480" s="17" t="str">
        <f>INDEX('список ID из СУЭ с должностями'!$A:$F,MATCH(E2480,'список ID из СУЭ с должностями'!$B:$B,0),5)</f>
        <v>НС</v>
      </c>
    </row>
    <row r="2481" spans="1:15" ht="60">
      <c r="A2481" s="3" t="s">
        <v>10</v>
      </c>
      <c r="B2481" s="3" t="s">
        <v>11</v>
      </c>
      <c r="C2481" s="4">
        <v>2026</v>
      </c>
      <c r="D2481" s="5" t="s">
        <v>12</v>
      </c>
      <c r="E2481" s="4">
        <v>340</v>
      </c>
      <c r="F2481" s="4" t="s">
        <v>39</v>
      </c>
      <c r="G2481" s="4" t="s">
        <v>578</v>
      </c>
      <c r="H2481" s="4" t="s">
        <v>15</v>
      </c>
      <c r="I2481" s="4" t="s">
        <v>292</v>
      </c>
      <c r="J2481" s="4" t="s">
        <v>1285</v>
      </c>
      <c r="K2481" s="4" t="s">
        <v>30</v>
      </c>
      <c r="L2481" s="4" t="s">
        <v>3742</v>
      </c>
      <c r="M2481" s="4" t="s">
        <v>3746</v>
      </c>
      <c r="N2481" s="4" t="s">
        <v>3747</v>
      </c>
      <c r="O2481" s="17" t="str">
        <f>INDEX('список ID из СУЭ с должностями'!$A:$F,MATCH(E2481,'список ID из СУЭ с должностями'!$B:$B,0),5)</f>
        <v>НС</v>
      </c>
    </row>
    <row r="2482" spans="1:15" ht="45">
      <c r="A2482" s="3" t="s">
        <v>10</v>
      </c>
      <c r="B2482" s="3" t="s">
        <v>11</v>
      </c>
      <c r="C2482" s="4">
        <v>2026</v>
      </c>
      <c r="D2482" s="5" t="s">
        <v>12</v>
      </c>
      <c r="E2482" s="4">
        <v>340</v>
      </c>
      <c r="F2482" s="4" t="s">
        <v>39</v>
      </c>
      <c r="G2482" s="4" t="s">
        <v>578</v>
      </c>
      <c r="H2482" s="4" t="s">
        <v>15</v>
      </c>
      <c r="I2482" s="4" t="s">
        <v>1280</v>
      </c>
      <c r="J2482" s="4" t="s">
        <v>1281</v>
      </c>
      <c r="K2482" s="4" t="s">
        <v>66</v>
      </c>
      <c r="L2482" s="4" t="s">
        <v>3742</v>
      </c>
      <c r="M2482" s="4" t="s">
        <v>3746</v>
      </c>
      <c r="N2482" s="4" t="s">
        <v>3747</v>
      </c>
      <c r="O2482" s="17" t="str">
        <f>INDEX('список ID из СУЭ с должностями'!$A:$F,MATCH(E2482,'список ID из СУЭ с должностями'!$B:$B,0),5)</f>
        <v>НС</v>
      </c>
    </row>
    <row r="2483" spans="1:15" ht="45">
      <c r="A2483" s="3" t="s">
        <v>10</v>
      </c>
      <c r="B2483" s="3" t="s">
        <v>11</v>
      </c>
      <c r="C2483" s="4">
        <v>2026</v>
      </c>
      <c r="D2483" s="5" t="s">
        <v>12</v>
      </c>
      <c r="E2483" s="4">
        <v>340</v>
      </c>
      <c r="F2483" s="4" t="s">
        <v>39</v>
      </c>
      <c r="G2483" s="4" t="s">
        <v>578</v>
      </c>
      <c r="H2483" s="4" t="s">
        <v>15</v>
      </c>
      <c r="I2483" s="4" t="s">
        <v>1278</v>
      </c>
      <c r="J2483" s="4" t="s">
        <v>295</v>
      </c>
      <c r="K2483" s="4" t="s">
        <v>55</v>
      </c>
      <c r="L2483" s="4" t="s">
        <v>3742</v>
      </c>
      <c r="M2483" s="4" t="s">
        <v>3746</v>
      </c>
      <c r="N2483" s="4" t="s">
        <v>3747</v>
      </c>
      <c r="O2483" s="17" t="str">
        <f>INDEX('список ID из СУЭ с должностями'!$A:$F,MATCH(E2483,'список ID из СУЭ с должностями'!$B:$B,0),5)</f>
        <v>НС</v>
      </c>
    </row>
    <row r="2484" spans="1:15" ht="120">
      <c r="A2484" s="3" t="s">
        <v>10</v>
      </c>
      <c r="B2484" s="3" t="s">
        <v>11</v>
      </c>
      <c r="C2484" s="4">
        <v>2026</v>
      </c>
      <c r="D2484" s="5" t="s">
        <v>12</v>
      </c>
      <c r="E2484" s="4">
        <v>341</v>
      </c>
      <c r="F2484" s="4" t="s">
        <v>39</v>
      </c>
      <c r="G2484" s="4" t="s">
        <v>578</v>
      </c>
      <c r="H2484" s="4" t="s">
        <v>15</v>
      </c>
      <c r="I2484" s="4" t="s">
        <v>2625</v>
      </c>
      <c r="J2484" s="4" t="s">
        <v>2626</v>
      </c>
      <c r="K2484" s="4" t="s">
        <v>23</v>
      </c>
      <c r="L2484" s="4" t="s">
        <v>3743</v>
      </c>
      <c r="M2484" s="4" t="s">
        <v>3748</v>
      </c>
      <c r="N2484" s="4" t="s">
        <v>3752</v>
      </c>
      <c r="O2484" s="17" t="str">
        <f>INDEX('список ID из СУЭ с должностями'!$A:$F,MATCH(E2484,'список ID из СУЭ с должностями'!$B:$B,0),5)</f>
        <v>НС</v>
      </c>
    </row>
    <row r="2485" spans="1:15" ht="75">
      <c r="A2485" s="3" t="s">
        <v>10</v>
      </c>
      <c r="B2485" s="3" t="s">
        <v>11</v>
      </c>
      <c r="C2485" s="4">
        <v>2026</v>
      </c>
      <c r="D2485" s="5" t="s">
        <v>12</v>
      </c>
      <c r="E2485" s="4">
        <v>341</v>
      </c>
      <c r="F2485" s="4" t="s">
        <v>39</v>
      </c>
      <c r="G2485" s="4" t="s">
        <v>578</v>
      </c>
      <c r="H2485" s="4" t="s">
        <v>15</v>
      </c>
      <c r="I2485" s="4" t="s">
        <v>42</v>
      </c>
      <c r="J2485" s="4" t="s">
        <v>2627</v>
      </c>
      <c r="K2485" s="4" t="s">
        <v>25</v>
      </c>
      <c r="L2485" s="4" t="s">
        <v>3743</v>
      </c>
      <c r="M2485" s="4" t="s">
        <v>3746</v>
      </c>
      <c r="N2485" s="4" t="s">
        <v>3747</v>
      </c>
      <c r="O2485" s="17" t="str">
        <f>INDEX('список ID из СУЭ с должностями'!$A:$F,MATCH(E2485,'список ID из СУЭ с должностями'!$B:$B,0),5)</f>
        <v>НС</v>
      </c>
    </row>
    <row r="2486" spans="1:15" ht="105">
      <c r="A2486" s="3" t="s">
        <v>10</v>
      </c>
      <c r="B2486" s="3" t="s">
        <v>11</v>
      </c>
      <c r="C2486" s="4">
        <v>2026</v>
      </c>
      <c r="D2486" s="5" t="s">
        <v>12</v>
      </c>
      <c r="E2486" s="4">
        <v>341</v>
      </c>
      <c r="F2486" s="4" t="s">
        <v>39</v>
      </c>
      <c r="G2486" s="4" t="s">
        <v>578</v>
      </c>
      <c r="H2486" s="4" t="s">
        <v>15</v>
      </c>
      <c r="I2486" s="4" t="s">
        <v>2628</v>
      </c>
      <c r="J2486" s="4" t="s">
        <v>2629</v>
      </c>
      <c r="K2486" s="4" t="s">
        <v>220</v>
      </c>
      <c r="L2486" s="4" t="s">
        <v>3743</v>
      </c>
      <c r="M2486" s="4" t="s">
        <v>3753</v>
      </c>
      <c r="N2486" s="4" t="s">
        <v>3747</v>
      </c>
      <c r="O2486" s="17" t="str">
        <f>INDEX('список ID из СУЭ с должностями'!$A:$F,MATCH(E2486,'список ID из СУЭ с должностями'!$B:$B,0),5)</f>
        <v>НС</v>
      </c>
    </row>
    <row r="2487" spans="1:15" ht="60">
      <c r="A2487" s="3" t="s">
        <v>10</v>
      </c>
      <c r="B2487" s="3" t="s">
        <v>11</v>
      </c>
      <c r="C2487" s="4">
        <v>2026</v>
      </c>
      <c r="D2487" s="5" t="s">
        <v>12</v>
      </c>
      <c r="E2487" s="4">
        <v>341</v>
      </c>
      <c r="F2487" s="4" t="s">
        <v>39</v>
      </c>
      <c r="G2487" s="4" t="s">
        <v>578</v>
      </c>
      <c r="H2487" s="4" t="s">
        <v>15</v>
      </c>
      <c r="I2487" s="4" t="s">
        <v>2630</v>
      </c>
      <c r="J2487" s="4" t="s">
        <v>2631</v>
      </c>
      <c r="K2487" s="4" t="s">
        <v>35</v>
      </c>
      <c r="L2487" s="4" t="s">
        <v>3743</v>
      </c>
      <c r="M2487" s="4" t="s">
        <v>3746</v>
      </c>
      <c r="N2487" s="4" t="s">
        <v>3747</v>
      </c>
      <c r="O2487" s="17" t="str">
        <f>INDEX('список ID из СУЭ с должностями'!$A:$F,MATCH(E2487,'список ID из СУЭ с должностями'!$B:$B,0),5)</f>
        <v>НС</v>
      </c>
    </row>
    <row r="2488" spans="1:15" ht="165">
      <c r="A2488" s="3" t="s">
        <v>10</v>
      </c>
      <c r="B2488" s="3" t="s">
        <v>11</v>
      </c>
      <c r="C2488" s="4">
        <v>2026</v>
      </c>
      <c r="D2488" s="5" t="s">
        <v>12</v>
      </c>
      <c r="E2488" s="4">
        <v>341</v>
      </c>
      <c r="F2488" s="4" t="s">
        <v>39</v>
      </c>
      <c r="G2488" s="4" t="s">
        <v>578</v>
      </c>
      <c r="H2488" s="4" t="s">
        <v>15</v>
      </c>
      <c r="I2488" s="4" t="s">
        <v>2632</v>
      </c>
      <c r="J2488" s="4" t="s">
        <v>2633</v>
      </c>
      <c r="K2488" s="4" t="s">
        <v>38</v>
      </c>
      <c r="L2488" s="4" t="s">
        <v>3743</v>
      </c>
      <c r="M2488" s="4" t="s">
        <v>3746</v>
      </c>
      <c r="N2488" s="4" t="s">
        <v>3747</v>
      </c>
      <c r="O2488" s="17" t="str">
        <f>INDEX('список ID из СУЭ с должностями'!$A:$F,MATCH(E2488,'список ID из СУЭ с должностями'!$B:$B,0),5)</f>
        <v>НС</v>
      </c>
    </row>
    <row r="2489" spans="1:15" ht="150">
      <c r="A2489" s="3" t="s">
        <v>10</v>
      </c>
      <c r="B2489" s="3" t="s">
        <v>11</v>
      </c>
      <c r="C2489" s="4">
        <v>2026</v>
      </c>
      <c r="D2489" s="5" t="s">
        <v>12</v>
      </c>
      <c r="E2489" s="4">
        <v>341</v>
      </c>
      <c r="F2489" s="4" t="s">
        <v>39</v>
      </c>
      <c r="G2489" s="4" t="s">
        <v>578</v>
      </c>
      <c r="H2489" s="4" t="s">
        <v>15</v>
      </c>
      <c r="I2489" s="4" t="s">
        <v>2634</v>
      </c>
      <c r="J2489" s="4" t="s">
        <v>2635</v>
      </c>
      <c r="K2489" s="4" t="s">
        <v>25</v>
      </c>
      <c r="L2489" s="4" t="s">
        <v>3743</v>
      </c>
      <c r="M2489" s="4" t="s">
        <v>3746</v>
      </c>
      <c r="N2489" s="4" t="s">
        <v>3747</v>
      </c>
      <c r="O2489" s="17" t="str">
        <f>INDEX('список ID из СУЭ с должностями'!$A:$F,MATCH(E2489,'список ID из СУЭ с должностями'!$B:$B,0),5)</f>
        <v>НС</v>
      </c>
    </row>
    <row r="2490" spans="1:15" ht="60">
      <c r="A2490" s="3" t="s">
        <v>10</v>
      </c>
      <c r="B2490" s="3" t="s">
        <v>11</v>
      </c>
      <c r="C2490" s="4">
        <v>2026</v>
      </c>
      <c r="D2490" s="5" t="s">
        <v>12</v>
      </c>
      <c r="E2490" s="4">
        <v>341</v>
      </c>
      <c r="F2490" s="4" t="s">
        <v>39</v>
      </c>
      <c r="G2490" s="4" t="s">
        <v>578</v>
      </c>
      <c r="H2490" s="4" t="s">
        <v>15</v>
      </c>
      <c r="I2490" s="4" t="s">
        <v>2261</v>
      </c>
      <c r="J2490" s="4" t="s">
        <v>2636</v>
      </c>
      <c r="K2490" s="4" t="s">
        <v>35</v>
      </c>
      <c r="L2490" s="4" t="s">
        <v>3743</v>
      </c>
      <c r="M2490" s="4" t="s">
        <v>3746</v>
      </c>
      <c r="N2490" s="4" t="s">
        <v>3747</v>
      </c>
      <c r="O2490" s="17" t="str">
        <f>INDEX('список ID из СУЭ с должностями'!$A:$F,MATCH(E2490,'список ID из СУЭ с должностями'!$B:$B,0),5)</f>
        <v>НС</v>
      </c>
    </row>
    <row r="2491" spans="1:15" ht="60">
      <c r="A2491" s="3" t="s">
        <v>10</v>
      </c>
      <c r="B2491" s="3" t="s">
        <v>11</v>
      </c>
      <c r="C2491" s="4">
        <v>2026</v>
      </c>
      <c r="D2491" s="5" t="s">
        <v>12</v>
      </c>
      <c r="E2491" s="4">
        <v>341</v>
      </c>
      <c r="F2491" s="4" t="s">
        <v>39</v>
      </c>
      <c r="G2491" s="4" t="s">
        <v>578</v>
      </c>
      <c r="H2491" s="4" t="s">
        <v>15</v>
      </c>
      <c r="I2491" s="4" t="s">
        <v>2263</v>
      </c>
      <c r="J2491" s="4" t="s">
        <v>2264</v>
      </c>
      <c r="K2491" s="4" t="s">
        <v>188</v>
      </c>
      <c r="L2491" s="4" t="s">
        <v>3743</v>
      </c>
      <c r="M2491" s="4" t="s">
        <v>3746</v>
      </c>
      <c r="N2491" s="4" t="s">
        <v>3747</v>
      </c>
      <c r="O2491" s="17" t="str">
        <f>INDEX('список ID из СУЭ с должностями'!$A:$F,MATCH(E2491,'список ID из СУЭ с должностями'!$B:$B,0),5)</f>
        <v>НС</v>
      </c>
    </row>
    <row r="2492" spans="1:15" ht="45">
      <c r="A2492" s="3" t="s">
        <v>10</v>
      </c>
      <c r="B2492" s="3" t="s">
        <v>11</v>
      </c>
      <c r="C2492" s="4">
        <v>2026</v>
      </c>
      <c r="D2492" s="5" t="s">
        <v>12</v>
      </c>
      <c r="E2492" s="4">
        <v>341</v>
      </c>
      <c r="F2492" s="4" t="s">
        <v>39</v>
      </c>
      <c r="G2492" s="4" t="s">
        <v>578</v>
      </c>
      <c r="H2492" s="4" t="s">
        <v>15</v>
      </c>
      <c r="I2492" s="4" t="s">
        <v>1280</v>
      </c>
      <c r="J2492" s="4" t="s">
        <v>1281</v>
      </c>
      <c r="K2492" s="4" t="s">
        <v>66</v>
      </c>
      <c r="L2492" s="4" t="s">
        <v>3742</v>
      </c>
      <c r="M2492" s="4" t="s">
        <v>3746</v>
      </c>
      <c r="N2492" s="4" t="s">
        <v>3747</v>
      </c>
      <c r="O2492" s="17" t="str">
        <f>INDEX('список ID из СУЭ с должностями'!$A:$F,MATCH(E2492,'список ID из СУЭ с должностями'!$B:$B,0),5)</f>
        <v>НС</v>
      </c>
    </row>
    <row r="2493" spans="1:15" ht="45">
      <c r="A2493" s="3" t="s">
        <v>10</v>
      </c>
      <c r="B2493" s="3" t="s">
        <v>11</v>
      </c>
      <c r="C2493" s="4">
        <v>2026</v>
      </c>
      <c r="D2493" s="5" t="s">
        <v>12</v>
      </c>
      <c r="E2493" s="4">
        <v>342</v>
      </c>
      <c r="F2493" s="4" t="s">
        <v>307</v>
      </c>
      <c r="G2493" s="4" t="s">
        <v>2637</v>
      </c>
      <c r="H2493" s="4" t="s">
        <v>15</v>
      </c>
      <c r="I2493" s="4" t="s">
        <v>35</v>
      </c>
      <c r="J2493" s="4">
        <v>0</v>
      </c>
      <c r="K2493" s="4" t="s">
        <v>35</v>
      </c>
      <c r="L2493" s="4" t="s">
        <v>3743</v>
      </c>
      <c r="M2493" s="4" t="s">
        <v>3746</v>
      </c>
      <c r="N2493" s="4" t="s">
        <v>3747</v>
      </c>
      <c r="O2493" s="17">
        <f>INDEX('список ID из СУЭ с должностями'!$A:$F,MATCH(E2493,'список ID из СУЭ с должностями'!$B:$B,0),5)</f>
        <v>0</v>
      </c>
    </row>
    <row r="2494" spans="1:15" ht="60">
      <c r="A2494" s="3" t="s">
        <v>10</v>
      </c>
      <c r="B2494" s="3" t="s">
        <v>11</v>
      </c>
      <c r="C2494" s="4">
        <v>2026</v>
      </c>
      <c r="D2494" s="5" t="s">
        <v>12</v>
      </c>
      <c r="E2494" s="4">
        <v>342</v>
      </c>
      <c r="F2494" s="4" t="s">
        <v>307</v>
      </c>
      <c r="G2494" s="4" t="s">
        <v>2637</v>
      </c>
      <c r="H2494" s="4" t="s">
        <v>21</v>
      </c>
      <c r="I2494" s="4" t="s">
        <v>2638</v>
      </c>
      <c r="J2494" s="4" t="s">
        <v>2639</v>
      </c>
      <c r="K2494" s="4" t="s">
        <v>25</v>
      </c>
      <c r="L2494" s="4" t="s">
        <v>3743</v>
      </c>
      <c r="M2494" s="4" t="s">
        <v>3746</v>
      </c>
      <c r="N2494" s="4" t="s">
        <v>3747</v>
      </c>
      <c r="O2494" s="17">
        <f>INDEX('список ID из СУЭ с должностями'!$A:$F,MATCH(E2494,'список ID из СУЭ с должностями'!$B:$B,0),5)</f>
        <v>0</v>
      </c>
    </row>
    <row r="2495" spans="1:15" ht="120">
      <c r="A2495" s="3" t="s">
        <v>10</v>
      </c>
      <c r="B2495" s="3" t="s">
        <v>11</v>
      </c>
      <c r="C2495" s="4">
        <v>2026</v>
      </c>
      <c r="D2495" s="5" t="s">
        <v>12</v>
      </c>
      <c r="E2495" s="4">
        <v>342</v>
      </c>
      <c r="F2495" s="4" t="s">
        <v>307</v>
      </c>
      <c r="G2495" s="4" t="s">
        <v>2637</v>
      </c>
      <c r="H2495" s="4" t="s">
        <v>15</v>
      </c>
      <c r="I2495" s="4" t="s">
        <v>2640</v>
      </c>
      <c r="J2495" s="4" t="s">
        <v>2641</v>
      </c>
      <c r="K2495" s="4" t="s">
        <v>23</v>
      </c>
      <c r="L2495" s="4" t="s">
        <v>3743</v>
      </c>
      <c r="M2495" s="4" t="s">
        <v>3748</v>
      </c>
      <c r="N2495" s="4" t="s">
        <v>3752</v>
      </c>
      <c r="O2495" s="17">
        <f>INDEX('список ID из СУЭ с должностями'!$A:$F,MATCH(E2495,'список ID из СУЭ с должностями'!$B:$B,0),5)</f>
        <v>0</v>
      </c>
    </row>
    <row r="2496" spans="1:15" ht="165">
      <c r="A2496" s="3" t="s">
        <v>10</v>
      </c>
      <c r="B2496" s="3" t="s">
        <v>11</v>
      </c>
      <c r="C2496" s="4">
        <v>2026</v>
      </c>
      <c r="D2496" s="5" t="s">
        <v>12</v>
      </c>
      <c r="E2496" s="4">
        <v>342</v>
      </c>
      <c r="F2496" s="4" t="s">
        <v>307</v>
      </c>
      <c r="G2496" s="4" t="s">
        <v>2637</v>
      </c>
      <c r="H2496" s="4" t="s">
        <v>15</v>
      </c>
      <c r="I2496" s="4" t="s">
        <v>2642</v>
      </c>
      <c r="J2496" s="4" t="s">
        <v>2643</v>
      </c>
      <c r="K2496" s="4" t="s">
        <v>23</v>
      </c>
      <c r="L2496" s="4" t="s">
        <v>3743</v>
      </c>
      <c r="M2496" s="4" t="s">
        <v>3748</v>
      </c>
      <c r="N2496" s="4" t="s">
        <v>3752</v>
      </c>
      <c r="O2496" s="17">
        <f>INDEX('список ID из СУЭ с должностями'!$A:$F,MATCH(E2496,'список ID из СУЭ с должностями'!$B:$B,0),5)</f>
        <v>0</v>
      </c>
    </row>
    <row r="2497" spans="1:15" ht="75">
      <c r="A2497" s="3" t="s">
        <v>10</v>
      </c>
      <c r="B2497" s="3" t="s">
        <v>11</v>
      </c>
      <c r="C2497" s="4">
        <v>2026</v>
      </c>
      <c r="D2497" s="5" t="s">
        <v>12</v>
      </c>
      <c r="E2497" s="4">
        <v>342</v>
      </c>
      <c r="F2497" s="4" t="s">
        <v>307</v>
      </c>
      <c r="G2497" s="4" t="s">
        <v>2637</v>
      </c>
      <c r="H2497" s="4" t="s">
        <v>21</v>
      </c>
      <c r="I2497" s="4" t="s">
        <v>2644</v>
      </c>
      <c r="J2497" s="4" t="s">
        <v>2645</v>
      </c>
      <c r="K2497" s="4" t="s">
        <v>25</v>
      </c>
      <c r="L2497" s="4" t="s">
        <v>3743</v>
      </c>
      <c r="M2497" s="4" t="s">
        <v>3746</v>
      </c>
      <c r="N2497" s="4" t="s">
        <v>3747</v>
      </c>
      <c r="O2497" s="17">
        <f>INDEX('список ID из СУЭ с должностями'!$A:$F,MATCH(E2497,'список ID из СУЭ с должностями'!$B:$B,0),5)</f>
        <v>0</v>
      </c>
    </row>
    <row r="2498" spans="1:15" ht="75">
      <c r="A2498" s="3" t="s">
        <v>10</v>
      </c>
      <c r="B2498" s="3" t="s">
        <v>11</v>
      </c>
      <c r="C2498" s="4">
        <v>2026</v>
      </c>
      <c r="D2498" s="5" t="s">
        <v>12</v>
      </c>
      <c r="E2498" s="4">
        <v>342</v>
      </c>
      <c r="F2498" s="4" t="s">
        <v>307</v>
      </c>
      <c r="G2498" s="4" t="s">
        <v>2637</v>
      </c>
      <c r="H2498" s="4" t="s">
        <v>21</v>
      </c>
      <c r="I2498" s="4" t="s">
        <v>1597</v>
      </c>
      <c r="J2498" s="4" t="s">
        <v>1598</v>
      </c>
      <c r="K2498" s="4" t="s">
        <v>25</v>
      </c>
      <c r="L2498" s="4" t="s">
        <v>3743</v>
      </c>
      <c r="M2498" s="4" t="s">
        <v>3746</v>
      </c>
      <c r="N2498" s="4" t="s">
        <v>3747</v>
      </c>
      <c r="O2498" s="17">
        <f>INDEX('список ID из СУЭ с должностями'!$A:$F,MATCH(E2498,'список ID из СУЭ с должностями'!$B:$B,0),5)</f>
        <v>0</v>
      </c>
    </row>
    <row r="2499" spans="1:15" ht="120">
      <c r="A2499" s="3" t="s">
        <v>10</v>
      </c>
      <c r="B2499" s="3" t="s">
        <v>11</v>
      </c>
      <c r="C2499" s="4">
        <v>2026</v>
      </c>
      <c r="D2499" s="5" t="s">
        <v>12</v>
      </c>
      <c r="E2499" s="4">
        <v>342</v>
      </c>
      <c r="F2499" s="4" t="s">
        <v>307</v>
      </c>
      <c r="G2499" s="4" t="s">
        <v>2637</v>
      </c>
      <c r="H2499" s="4" t="s">
        <v>15</v>
      </c>
      <c r="I2499" s="4" t="s">
        <v>2646</v>
      </c>
      <c r="J2499" s="4" t="s">
        <v>2647</v>
      </c>
      <c r="K2499" s="4" t="s">
        <v>23</v>
      </c>
      <c r="L2499" s="4" t="s">
        <v>3743</v>
      </c>
      <c r="M2499" s="4" t="s">
        <v>3748</v>
      </c>
      <c r="N2499" s="4" t="s">
        <v>3749</v>
      </c>
      <c r="O2499" s="17">
        <f>INDEX('список ID из СУЭ с должностями'!$A:$F,MATCH(E2499,'список ID из СУЭ с должностями'!$B:$B,0),5)</f>
        <v>0</v>
      </c>
    </row>
    <row r="2500" spans="1:15" ht="105">
      <c r="A2500" s="3" t="s">
        <v>10</v>
      </c>
      <c r="B2500" s="3" t="s">
        <v>11</v>
      </c>
      <c r="C2500" s="4">
        <v>2026</v>
      </c>
      <c r="D2500" s="5" t="s">
        <v>12</v>
      </c>
      <c r="E2500" s="4">
        <v>342</v>
      </c>
      <c r="F2500" s="4" t="s">
        <v>307</v>
      </c>
      <c r="G2500" s="4" t="s">
        <v>2637</v>
      </c>
      <c r="H2500" s="4" t="s">
        <v>15</v>
      </c>
      <c r="I2500" s="4" t="s">
        <v>2648</v>
      </c>
      <c r="J2500" s="4" t="s">
        <v>2649</v>
      </c>
      <c r="K2500" s="4" t="s">
        <v>23</v>
      </c>
      <c r="L2500" s="4" t="s">
        <v>3743</v>
      </c>
      <c r="M2500" s="4" t="s">
        <v>3748</v>
      </c>
      <c r="N2500" s="4" t="s">
        <v>3752</v>
      </c>
      <c r="O2500" s="17">
        <f>INDEX('список ID из СУЭ с должностями'!$A:$F,MATCH(E2500,'список ID из СУЭ с должностями'!$B:$B,0),5)</f>
        <v>0</v>
      </c>
    </row>
    <row r="2501" spans="1:15" ht="60">
      <c r="A2501" s="3" t="s">
        <v>10</v>
      </c>
      <c r="B2501" s="3" t="s">
        <v>11</v>
      </c>
      <c r="C2501" s="4">
        <v>2026</v>
      </c>
      <c r="D2501" s="5" t="s">
        <v>12</v>
      </c>
      <c r="E2501" s="4">
        <v>343</v>
      </c>
      <c r="F2501" s="4" t="s">
        <v>1075</v>
      </c>
      <c r="G2501" s="4" t="s">
        <v>1074</v>
      </c>
      <c r="H2501" s="4" t="s">
        <v>15</v>
      </c>
      <c r="I2501" s="4" t="s">
        <v>2650</v>
      </c>
      <c r="J2501" s="4" t="s">
        <v>2651</v>
      </c>
      <c r="K2501" s="4" t="s">
        <v>66</v>
      </c>
      <c r="L2501" s="4" t="s">
        <v>3743</v>
      </c>
      <c r="M2501" s="4" t="s">
        <v>3746</v>
      </c>
      <c r="N2501" s="4" t="s">
        <v>3747</v>
      </c>
      <c r="O2501" s="17">
        <f>INDEX('список ID из СУЭ с должностями'!$A:$F,MATCH(E2501,'список ID из СУЭ с должностями'!$B:$B,0),5)</f>
        <v>0</v>
      </c>
    </row>
    <row r="2502" spans="1:15" ht="60">
      <c r="A2502" s="3" t="s">
        <v>10</v>
      </c>
      <c r="B2502" s="3" t="s">
        <v>11</v>
      </c>
      <c r="C2502" s="4">
        <v>2026</v>
      </c>
      <c r="D2502" s="5" t="s">
        <v>12</v>
      </c>
      <c r="E2502" s="4">
        <v>343</v>
      </c>
      <c r="F2502" s="4" t="s">
        <v>1075</v>
      </c>
      <c r="G2502" s="4" t="s">
        <v>1074</v>
      </c>
      <c r="H2502" s="4" t="s">
        <v>21</v>
      </c>
      <c r="I2502" s="4" t="s">
        <v>1080</v>
      </c>
      <c r="J2502" s="4" t="s">
        <v>659</v>
      </c>
      <c r="K2502" s="4" t="s">
        <v>66</v>
      </c>
      <c r="L2502" s="4" t="s">
        <v>3742</v>
      </c>
      <c r="M2502" s="4" t="s">
        <v>3746</v>
      </c>
      <c r="N2502" s="4" t="s">
        <v>3747</v>
      </c>
      <c r="O2502" s="17">
        <f>INDEX('список ID из СУЭ с должностями'!$A:$F,MATCH(E2502,'список ID из СУЭ с должностями'!$B:$B,0),5)</f>
        <v>0</v>
      </c>
    </row>
    <row r="2503" spans="1:15" ht="60">
      <c r="A2503" s="3" t="s">
        <v>10</v>
      </c>
      <c r="B2503" s="3" t="s">
        <v>11</v>
      </c>
      <c r="C2503" s="4">
        <v>2026</v>
      </c>
      <c r="D2503" s="5" t="s">
        <v>12</v>
      </c>
      <c r="E2503" s="4">
        <v>343</v>
      </c>
      <c r="F2503" s="4" t="s">
        <v>1075</v>
      </c>
      <c r="G2503" s="4" t="s">
        <v>1074</v>
      </c>
      <c r="H2503" s="4" t="s">
        <v>15</v>
      </c>
      <c r="I2503" s="4" t="s">
        <v>1081</v>
      </c>
      <c r="J2503" s="4" t="s">
        <v>581</v>
      </c>
      <c r="K2503" s="4" t="s">
        <v>188</v>
      </c>
      <c r="L2503" s="4" t="s">
        <v>3742</v>
      </c>
      <c r="M2503" s="4" t="s">
        <v>3746</v>
      </c>
      <c r="N2503" s="4" t="s">
        <v>3747</v>
      </c>
      <c r="O2503" s="17">
        <f>INDEX('список ID из СУЭ с должностями'!$A:$F,MATCH(E2503,'список ID из СУЭ с должностями'!$B:$B,0),5)</f>
        <v>0</v>
      </c>
    </row>
    <row r="2504" spans="1:15" ht="60">
      <c r="A2504" s="3" t="s">
        <v>10</v>
      </c>
      <c r="B2504" s="3" t="s">
        <v>11</v>
      </c>
      <c r="C2504" s="4">
        <v>2026</v>
      </c>
      <c r="D2504" s="5" t="s">
        <v>12</v>
      </c>
      <c r="E2504" s="4">
        <v>343</v>
      </c>
      <c r="F2504" s="4" t="s">
        <v>1075</v>
      </c>
      <c r="G2504" s="4" t="s">
        <v>1074</v>
      </c>
      <c r="H2504" s="4" t="s">
        <v>15</v>
      </c>
      <c r="I2504" s="4" t="s">
        <v>956</v>
      </c>
      <c r="J2504" s="4" t="s">
        <v>581</v>
      </c>
      <c r="K2504" s="4" t="s">
        <v>35</v>
      </c>
      <c r="L2504" s="4" t="s">
        <v>3742</v>
      </c>
      <c r="M2504" s="4" t="s">
        <v>3746</v>
      </c>
      <c r="N2504" s="4" t="s">
        <v>3747</v>
      </c>
      <c r="O2504" s="17">
        <f>INDEX('список ID из СУЭ с должностями'!$A:$F,MATCH(E2504,'список ID из СУЭ с должностями'!$B:$B,0),5)</f>
        <v>0</v>
      </c>
    </row>
    <row r="2505" spans="1:15" ht="60">
      <c r="A2505" s="3" t="s">
        <v>10</v>
      </c>
      <c r="B2505" s="3" t="s">
        <v>11</v>
      </c>
      <c r="C2505" s="4">
        <v>2026</v>
      </c>
      <c r="D2505" s="5" t="s">
        <v>12</v>
      </c>
      <c r="E2505" s="4">
        <v>343</v>
      </c>
      <c r="F2505" s="4" t="s">
        <v>1075</v>
      </c>
      <c r="G2505" s="4" t="s">
        <v>1074</v>
      </c>
      <c r="H2505" s="4" t="s">
        <v>15</v>
      </c>
      <c r="I2505" s="4" t="s">
        <v>401</v>
      </c>
      <c r="J2505" s="4" t="s">
        <v>2652</v>
      </c>
      <c r="K2505" s="4" t="s">
        <v>66</v>
      </c>
      <c r="L2505" s="4" t="s">
        <v>3742</v>
      </c>
      <c r="M2505" s="4" t="s">
        <v>3746</v>
      </c>
      <c r="N2505" s="4" t="s">
        <v>3747</v>
      </c>
      <c r="O2505" s="17">
        <f>INDEX('список ID из СУЭ с должностями'!$A:$F,MATCH(E2505,'список ID из СУЭ с должностями'!$B:$B,0),5)</f>
        <v>0</v>
      </c>
    </row>
    <row r="2506" spans="1:15" ht="60">
      <c r="A2506" s="3" t="s">
        <v>10</v>
      </c>
      <c r="B2506" s="3" t="s">
        <v>11</v>
      </c>
      <c r="C2506" s="4">
        <v>2026</v>
      </c>
      <c r="D2506" s="5" t="s">
        <v>12</v>
      </c>
      <c r="E2506" s="4">
        <v>343</v>
      </c>
      <c r="F2506" s="4" t="s">
        <v>1075</v>
      </c>
      <c r="G2506" s="4" t="s">
        <v>1074</v>
      </c>
      <c r="H2506" s="4" t="s">
        <v>41</v>
      </c>
      <c r="I2506" s="4" t="s">
        <v>2653</v>
      </c>
      <c r="J2506" s="4" t="s">
        <v>2654</v>
      </c>
      <c r="K2506" s="4" t="s">
        <v>25</v>
      </c>
      <c r="L2506" s="4" t="s">
        <v>3743</v>
      </c>
      <c r="M2506" s="4" t="s">
        <v>3746</v>
      </c>
      <c r="N2506" s="4" t="s">
        <v>3747</v>
      </c>
      <c r="O2506" s="17">
        <f>INDEX('список ID из СУЭ с должностями'!$A:$F,MATCH(E2506,'список ID из СУЭ с должностями'!$B:$B,0),5)</f>
        <v>0</v>
      </c>
    </row>
    <row r="2507" spans="1:15" ht="60">
      <c r="A2507" s="3" t="s">
        <v>10</v>
      </c>
      <c r="B2507" s="3" t="s">
        <v>11</v>
      </c>
      <c r="C2507" s="4">
        <v>2026</v>
      </c>
      <c r="D2507" s="5" t="s">
        <v>12</v>
      </c>
      <c r="E2507" s="4">
        <v>343</v>
      </c>
      <c r="F2507" s="4" t="s">
        <v>1075</v>
      </c>
      <c r="G2507" s="4" t="s">
        <v>1074</v>
      </c>
      <c r="H2507" s="4" t="s">
        <v>21</v>
      </c>
      <c r="I2507" s="4" t="s">
        <v>2655</v>
      </c>
      <c r="J2507" s="4" t="s">
        <v>2656</v>
      </c>
      <c r="K2507" s="4" t="s">
        <v>66</v>
      </c>
      <c r="L2507" s="4" t="s">
        <v>3743</v>
      </c>
      <c r="M2507" s="4" t="s">
        <v>3746</v>
      </c>
      <c r="N2507" s="4" t="s">
        <v>3747</v>
      </c>
      <c r="O2507" s="17">
        <f>INDEX('список ID из СУЭ с должностями'!$A:$F,MATCH(E2507,'список ID из СУЭ с должностями'!$B:$B,0),5)</f>
        <v>0</v>
      </c>
    </row>
    <row r="2508" spans="1:15" ht="60">
      <c r="A2508" s="3" t="s">
        <v>10</v>
      </c>
      <c r="B2508" s="3" t="s">
        <v>11</v>
      </c>
      <c r="C2508" s="4">
        <v>2026</v>
      </c>
      <c r="D2508" s="5" t="s">
        <v>12</v>
      </c>
      <c r="E2508" s="4">
        <v>343</v>
      </c>
      <c r="F2508" s="4" t="s">
        <v>1075</v>
      </c>
      <c r="G2508" s="4" t="s">
        <v>1074</v>
      </c>
      <c r="H2508" s="4" t="s">
        <v>15</v>
      </c>
      <c r="I2508" s="4" t="s">
        <v>390</v>
      </c>
      <c r="J2508" s="4" t="s">
        <v>182</v>
      </c>
      <c r="K2508" s="4" t="s">
        <v>52</v>
      </c>
      <c r="L2508" s="4" t="s">
        <v>3742</v>
      </c>
      <c r="M2508" s="4" t="s">
        <v>3746</v>
      </c>
      <c r="N2508" s="4" t="s">
        <v>3747</v>
      </c>
      <c r="O2508" s="17">
        <f>INDEX('список ID из СУЭ с должностями'!$A:$F,MATCH(E2508,'список ID из СУЭ с должностями'!$B:$B,0),5)</f>
        <v>0</v>
      </c>
    </row>
    <row r="2509" spans="1:15" ht="150">
      <c r="A2509" s="3" t="s">
        <v>10</v>
      </c>
      <c r="B2509" s="3" t="s">
        <v>11</v>
      </c>
      <c r="C2509" s="4">
        <v>2026</v>
      </c>
      <c r="D2509" s="5" t="s">
        <v>12</v>
      </c>
      <c r="E2509" s="4">
        <v>344</v>
      </c>
      <c r="F2509" s="4" t="s">
        <v>2657</v>
      </c>
      <c r="G2509" s="4" t="s">
        <v>614</v>
      </c>
      <c r="H2509" s="4" t="s">
        <v>15</v>
      </c>
      <c r="I2509" s="4" t="s">
        <v>2658</v>
      </c>
      <c r="J2509" s="4" t="s">
        <v>2659</v>
      </c>
      <c r="K2509" s="4" t="s">
        <v>23</v>
      </c>
      <c r="L2509" s="4" t="s">
        <v>3743</v>
      </c>
      <c r="M2509" s="4" t="s">
        <v>3748</v>
      </c>
      <c r="N2509" s="4" t="s">
        <v>3752</v>
      </c>
      <c r="O2509" s="17">
        <f>INDEX('список ID из СУЭ с должностями'!$A:$F,MATCH(E2509,'список ID из СУЭ с должностями'!$B:$B,0),5)</f>
        <v>0</v>
      </c>
    </row>
    <row r="2510" spans="1:15" ht="195">
      <c r="A2510" s="3" t="s">
        <v>10</v>
      </c>
      <c r="B2510" s="3" t="s">
        <v>11</v>
      </c>
      <c r="C2510" s="4">
        <v>2026</v>
      </c>
      <c r="D2510" s="5" t="s">
        <v>12</v>
      </c>
      <c r="E2510" s="4">
        <v>344</v>
      </c>
      <c r="F2510" s="4" t="s">
        <v>2657</v>
      </c>
      <c r="G2510" s="4" t="s">
        <v>614</v>
      </c>
      <c r="H2510" s="4" t="s">
        <v>15</v>
      </c>
      <c r="I2510" s="4" t="s">
        <v>617</v>
      </c>
      <c r="J2510" s="4" t="s">
        <v>2660</v>
      </c>
      <c r="K2510" s="4" t="s">
        <v>619</v>
      </c>
      <c r="L2510" s="4" t="s">
        <v>3743</v>
      </c>
      <c r="M2510" s="4" t="s">
        <v>3746</v>
      </c>
      <c r="N2510" s="4" t="s">
        <v>3758</v>
      </c>
      <c r="O2510" s="17">
        <f>INDEX('список ID из СУЭ с должностями'!$A:$F,MATCH(E2510,'список ID из СУЭ с должностями'!$B:$B,0),5)</f>
        <v>0</v>
      </c>
    </row>
    <row r="2511" spans="1:15" ht="105">
      <c r="A2511" s="3" t="s">
        <v>10</v>
      </c>
      <c r="B2511" s="3" t="s">
        <v>11</v>
      </c>
      <c r="C2511" s="4">
        <v>2026</v>
      </c>
      <c r="D2511" s="5" t="s">
        <v>12</v>
      </c>
      <c r="E2511" s="4">
        <v>344</v>
      </c>
      <c r="F2511" s="4" t="s">
        <v>2657</v>
      </c>
      <c r="G2511" s="4" t="s">
        <v>614</v>
      </c>
      <c r="H2511" s="4" t="s">
        <v>15</v>
      </c>
      <c r="I2511" s="4" t="s">
        <v>2661</v>
      </c>
      <c r="J2511" s="4" t="s">
        <v>640</v>
      </c>
      <c r="K2511" s="4" t="s">
        <v>35</v>
      </c>
      <c r="L2511" s="4" t="s">
        <v>3743</v>
      </c>
      <c r="M2511" s="4" t="s">
        <v>3746</v>
      </c>
      <c r="N2511" s="4" t="s">
        <v>3747</v>
      </c>
      <c r="O2511" s="17">
        <f>INDEX('список ID из СУЭ с должностями'!$A:$F,MATCH(E2511,'список ID из СУЭ с должностями'!$B:$B,0),5)</f>
        <v>0</v>
      </c>
    </row>
    <row r="2512" spans="1:15" ht="180">
      <c r="A2512" s="3" t="s">
        <v>10</v>
      </c>
      <c r="B2512" s="3" t="s">
        <v>11</v>
      </c>
      <c r="C2512" s="4">
        <v>2026</v>
      </c>
      <c r="D2512" s="5" t="s">
        <v>12</v>
      </c>
      <c r="E2512" s="4">
        <v>344</v>
      </c>
      <c r="F2512" s="4" t="s">
        <v>2657</v>
      </c>
      <c r="G2512" s="4" t="s">
        <v>614</v>
      </c>
      <c r="H2512" s="4" t="s">
        <v>15</v>
      </c>
      <c r="I2512" s="4" t="s">
        <v>2662</v>
      </c>
      <c r="J2512" s="4" t="s">
        <v>2663</v>
      </c>
      <c r="K2512" s="4" t="s">
        <v>23</v>
      </c>
      <c r="L2512" s="4" t="s">
        <v>3743</v>
      </c>
      <c r="M2512" s="4" t="s">
        <v>3748</v>
      </c>
      <c r="N2512" s="4" t="s">
        <v>3752</v>
      </c>
      <c r="O2512" s="17">
        <f>INDEX('список ID из СУЭ с должностями'!$A:$F,MATCH(E2512,'список ID из СУЭ с должностями'!$B:$B,0),5)</f>
        <v>0</v>
      </c>
    </row>
    <row r="2513" spans="1:15" ht="105">
      <c r="A2513" s="3" t="s">
        <v>10</v>
      </c>
      <c r="B2513" s="3" t="s">
        <v>11</v>
      </c>
      <c r="C2513" s="4">
        <v>2026</v>
      </c>
      <c r="D2513" s="5" t="s">
        <v>12</v>
      </c>
      <c r="E2513" s="4">
        <v>344</v>
      </c>
      <c r="F2513" s="4" t="s">
        <v>2657</v>
      </c>
      <c r="G2513" s="4" t="s">
        <v>614</v>
      </c>
      <c r="H2513" s="4" t="s">
        <v>41</v>
      </c>
      <c r="I2513" s="4" t="s">
        <v>2664</v>
      </c>
      <c r="J2513" s="4" t="s">
        <v>2665</v>
      </c>
      <c r="K2513" s="4" t="s">
        <v>617</v>
      </c>
      <c r="L2513" s="4" t="s">
        <v>3743</v>
      </c>
      <c r="M2513" s="4" t="s">
        <v>3750</v>
      </c>
      <c r="N2513" s="4" t="s">
        <v>3777</v>
      </c>
      <c r="O2513" s="17">
        <f>INDEX('список ID из СУЭ с должностями'!$A:$F,MATCH(E2513,'список ID из СУЭ с должностями'!$B:$B,0),5)</f>
        <v>0</v>
      </c>
    </row>
    <row r="2514" spans="1:15" ht="105">
      <c r="A2514" s="3" t="s">
        <v>10</v>
      </c>
      <c r="B2514" s="3" t="s">
        <v>11</v>
      </c>
      <c r="C2514" s="4">
        <v>2026</v>
      </c>
      <c r="D2514" s="5" t="s">
        <v>12</v>
      </c>
      <c r="E2514" s="4">
        <v>344</v>
      </c>
      <c r="F2514" s="4" t="s">
        <v>2657</v>
      </c>
      <c r="G2514" s="4" t="s">
        <v>614</v>
      </c>
      <c r="H2514" s="4" t="s">
        <v>15</v>
      </c>
      <c r="I2514" s="4" t="s">
        <v>2666</v>
      </c>
      <c r="J2514" s="4" t="s">
        <v>2667</v>
      </c>
      <c r="K2514" s="4" t="s">
        <v>617</v>
      </c>
      <c r="L2514" s="4" t="s">
        <v>3743</v>
      </c>
      <c r="M2514" s="4" t="s">
        <v>3750</v>
      </c>
      <c r="N2514" s="4" t="s">
        <v>3777</v>
      </c>
      <c r="O2514" s="17">
        <f>INDEX('список ID из СУЭ с должностями'!$A:$F,MATCH(E2514,'список ID из СУЭ с должностями'!$B:$B,0),5)</f>
        <v>0</v>
      </c>
    </row>
    <row r="2515" spans="1:15" ht="75">
      <c r="A2515" s="3" t="s">
        <v>10</v>
      </c>
      <c r="B2515" s="3" t="s">
        <v>11</v>
      </c>
      <c r="C2515" s="4">
        <v>2026</v>
      </c>
      <c r="D2515" s="5" t="s">
        <v>12</v>
      </c>
      <c r="E2515" s="4">
        <v>345</v>
      </c>
      <c r="F2515" s="4" t="s">
        <v>116</v>
      </c>
      <c r="G2515" s="4" t="s">
        <v>2668</v>
      </c>
      <c r="H2515" s="4" t="s">
        <v>15</v>
      </c>
      <c r="I2515" s="4" t="s">
        <v>512</v>
      </c>
      <c r="J2515" s="4" t="s">
        <v>2669</v>
      </c>
      <c r="K2515" s="4" t="s">
        <v>35</v>
      </c>
      <c r="L2515" s="4" t="s">
        <v>3743</v>
      </c>
      <c r="M2515" s="4" t="s">
        <v>3746</v>
      </c>
      <c r="N2515" s="4" t="s">
        <v>3747</v>
      </c>
      <c r="O2515" s="17">
        <f>INDEX('список ID из СУЭ с должностями'!$A:$F,MATCH(E2515,'список ID из СУЭ с должностями'!$B:$B,0),5)</f>
        <v>0</v>
      </c>
    </row>
    <row r="2516" spans="1:15" ht="90">
      <c r="A2516" s="3" t="s">
        <v>10</v>
      </c>
      <c r="B2516" s="3" t="s">
        <v>11</v>
      </c>
      <c r="C2516" s="4">
        <v>2026</v>
      </c>
      <c r="D2516" s="5" t="s">
        <v>12</v>
      </c>
      <c r="E2516" s="4">
        <v>345</v>
      </c>
      <c r="F2516" s="4" t="s">
        <v>116</v>
      </c>
      <c r="G2516" s="4" t="s">
        <v>2668</v>
      </c>
      <c r="H2516" s="4" t="s">
        <v>15</v>
      </c>
      <c r="I2516" s="4" t="s">
        <v>2670</v>
      </c>
      <c r="J2516" s="4" t="s">
        <v>2671</v>
      </c>
      <c r="K2516" s="4" t="s">
        <v>30</v>
      </c>
      <c r="L2516" s="4" t="s">
        <v>3743</v>
      </c>
      <c r="M2516" s="4" t="s">
        <v>3746</v>
      </c>
      <c r="N2516" s="4" t="s">
        <v>3747</v>
      </c>
      <c r="O2516" s="17">
        <f>INDEX('список ID из СУЭ с должностями'!$A:$F,MATCH(E2516,'список ID из СУЭ с должностями'!$B:$B,0),5)</f>
        <v>0</v>
      </c>
    </row>
    <row r="2517" spans="1:15" ht="60">
      <c r="A2517" s="3" t="s">
        <v>10</v>
      </c>
      <c r="B2517" s="3" t="s">
        <v>11</v>
      </c>
      <c r="C2517" s="4">
        <v>2026</v>
      </c>
      <c r="D2517" s="5" t="s">
        <v>12</v>
      </c>
      <c r="E2517" s="4">
        <v>345</v>
      </c>
      <c r="F2517" s="4" t="s">
        <v>116</v>
      </c>
      <c r="G2517" s="4" t="s">
        <v>2668</v>
      </c>
      <c r="H2517" s="4" t="s">
        <v>15</v>
      </c>
      <c r="I2517" s="4" t="s">
        <v>2672</v>
      </c>
      <c r="J2517" s="4" t="s">
        <v>2673</v>
      </c>
      <c r="K2517" s="4" t="s">
        <v>52</v>
      </c>
      <c r="L2517" s="4" t="s">
        <v>3743</v>
      </c>
      <c r="M2517" s="4" t="s">
        <v>3746</v>
      </c>
      <c r="N2517" s="4" t="s">
        <v>3747</v>
      </c>
      <c r="O2517" s="17">
        <f>INDEX('список ID из СУЭ с должностями'!$A:$F,MATCH(E2517,'список ID из СУЭ с должностями'!$B:$B,0),5)</f>
        <v>0</v>
      </c>
    </row>
    <row r="2518" spans="1:15" ht="60">
      <c r="A2518" s="3" t="s">
        <v>10</v>
      </c>
      <c r="B2518" s="3" t="s">
        <v>11</v>
      </c>
      <c r="C2518" s="4">
        <v>2026</v>
      </c>
      <c r="D2518" s="5" t="s">
        <v>12</v>
      </c>
      <c r="E2518" s="4">
        <v>345</v>
      </c>
      <c r="F2518" s="4" t="s">
        <v>116</v>
      </c>
      <c r="G2518" s="4" t="s">
        <v>2668</v>
      </c>
      <c r="H2518" s="4" t="s">
        <v>15</v>
      </c>
      <c r="I2518" s="4" t="s">
        <v>2674</v>
      </c>
      <c r="J2518" s="4" t="s">
        <v>79</v>
      </c>
      <c r="K2518" s="4" t="s">
        <v>30</v>
      </c>
      <c r="L2518" s="4" t="s">
        <v>3743</v>
      </c>
      <c r="M2518" s="4" t="s">
        <v>3746</v>
      </c>
      <c r="N2518" s="4" t="s">
        <v>3747</v>
      </c>
      <c r="O2518" s="17">
        <f>INDEX('список ID из СУЭ с должностями'!$A:$F,MATCH(E2518,'список ID из СУЭ с должностями'!$B:$B,0),5)</f>
        <v>0</v>
      </c>
    </row>
    <row r="2519" spans="1:15" ht="180">
      <c r="A2519" s="3" t="s">
        <v>10</v>
      </c>
      <c r="B2519" s="3" t="s">
        <v>11</v>
      </c>
      <c r="C2519" s="4">
        <v>2026</v>
      </c>
      <c r="D2519" s="5" t="s">
        <v>12</v>
      </c>
      <c r="E2519" s="4">
        <v>346</v>
      </c>
      <c r="F2519" s="4" t="s">
        <v>116</v>
      </c>
      <c r="G2519" s="4" t="s">
        <v>2668</v>
      </c>
      <c r="H2519" s="4" t="s">
        <v>15</v>
      </c>
      <c r="I2519" s="4" t="s">
        <v>33</v>
      </c>
      <c r="J2519" s="4" t="s">
        <v>2675</v>
      </c>
      <c r="K2519" s="4" t="s">
        <v>35</v>
      </c>
      <c r="L2519" s="4" t="s">
        <v>3743</v>
      </c>
      <c r="M2519" s="4" t="s">
        <v>3746</v>
      </c>
      <c r="N2519" s="4" t="s">
        <v>3747</v>
      </c>
      <c r="O2519" s="17">
        <f>INDEX('список ID из СУЭ с должностями'!$A:$F,MATCH(E2519,'список ID из СУЭ с должностями'!$B:$B,0),5)</f>
        <v>0</v>
      </c>
    </row>
    <row r="2520" spans="1:15" ht="90">
      <c r="A2520" s="3" t="s">
        <v>10</v>
      </c>
      <c r="B2520" s="3" t="s">
        <v>11</v>
      </c>
      <c r="C2520" s="4">
        <v>2026</v>
      </c>
      <c r="D2520" s="5" t="s">
        <v>12</v>
      </c>
      <c r="E2520" s="4">
        <v>346</v>
      </c>
      <c r="F2520" s="4" t="s">
        <v>116</v>
      </c>
      <c r="G2520" s="4" t="s">
        <v>2668</v>
      </c>
      <c r="H2520" s="4" t="s">
        <v>41</v>
      </c>
      <c r="I2520" s="4" t="s">
        <v>515</v>
      </c>
      <c r="J2520" s="4" t="s">
        <v>2676</v>
      </c>
      <c r="K2520" s="4" t="s">
        <v>23</v>
      </c>
      <c r="L2520" s="4" t="s">
        <v>3743</v>
      </c>
      <c r="M2520" s="4" t="s">
        <v>3748</v>
      </c>
      <c r="N2520" s="4" t="s">
        <v>3752</v>
      </c>
      <c r="O2520" s="17">
        <f>INDEX('список ID из СУЭ с должностями'!$A:$F,MATCH(E2520,'список ID из СУЭ с должностями'!$B:$B,0),5)</f>
        <v>0</v>
      </c>
    </row>
    <row r="2521" spans="1:15" ht="60">
      <c r="A2521" s="3" t="s">
        <v>10</v>
      </c>
      <c r="B2521" s="3" t="s">
        <v>11</v>
      </c>
      <c r="C2521" s="4">
        <v>2026</v>
      </c>
      <c r="D2521" s="5" t="s">
        <v>12</v>
      </c>
      <c r="E2521" s="4">
        <v>346</v>
      </c>
      <c r="F2521" s="4" t="s">
        <v>116</v>
      </c>
      <c r="G2521" s="4" t="s">
        <v>2668</v>
      </c>
      <c r="H2521" s="4" t="s">
        <v>15</v>
      </c>
      <c r="I2521" s="4" t="s">
        <v>2677</v>
      </c>
      <c r="J2521" s="4" t="s">
        <v>2678</v>
      </c>
      <c r="K2521" s="4" t="s">
        <v>2679</v>
      </c>
      <c r="L2521" s="4" t="s">
        <v>3743</v>
      </c>
      <c r="M2521" s="4" t="s">
        <v>3746</v>
      </c>
      <c r="N2521" s="4" t="s">
        <v>3757</v>
      </c>
      <c r="O2521" s="17">
        <f>INDEX('список ID из СУЭ с должностями'!$A:$F,MATCH(E2521,'список ID из СУЭ с должностями'!$B:$B,0),5)</f>
        <v>0</v>
      </c>
    </row>
    <row r="2522" spans="1:15" ht="90">
      <c r="A2522" s="3" t="s">
        <v>10</v>
      </c>
      <c r="B2522" s="3" t="s">
        <v>11</v>
      </c>
      <c r="C2522" s="4">
        <v>2026</v>
      </c>
      <c r="D2522" s="5" t="s">
        <v>12</v>
      </c>
      <c r="E2522" s="4">
        <v>346</v>
      </c>
      <c r="F2522" s="4" t="s">
        <v>116</v>
      </c>
      <c r="G2522" s="4" t="s">
        <v>2668</v>
      </c>
      <c r="H2522" s="4" t="s">
        <v>15</v>
      </c>
      <c r="I2522" s="4" t="s">
        <v>2680</v>
      </c>
      <c r="J2522" s="4" t="s">
        <v>2671</v>
      </c>
      <c r="K2522" s="4" t="s">
        <v>23</v>
      </c>
      <c r="L2522" s="4" t="s">
        <v>3743</v>
      </c>
      <c r="M2522" s="4" t="s">
        <v>3748</v>
      </c>
      <c r="N2522" s="4" t="s">
        <v>3752</v>
      </c>
      <c r="O2522" s="17">
        <f>INDEX('список ID из СУЭ с должностями'!$A:$F,MATCH(E2522,'список ID из СУЭ с должностями'!$B:$B,0),5)</f>
        <v>0</v>
      </c>
    </row>
    <row r="2523" spans="1:15" ht="60">
      <c r="A2523" s="3" t="s">
        <v>10</v>
      </c>
      <c r="B2523" s="3" t="s">
        <v>11</v>
      </c>
      <c r="C2523" s="4">
        <v>2026</v>
      </c>
      <c r="D2523" s="5" t="s">
        <v>12</v>
      </c>
      <c r="E2523" s="4">
        <v>346</v>
      </c>
      <c r="F2523" s="4" t="s">
        <v>116</v>
      </c>
      <c r="G2523" s="4" t="s">
        <v>2668</v>
      </c>
      <c r="H2523" s="4" t="s">
        <v>15</v>
      </c>
      <c r="I2523" s="4" t="s">
        <v>2674</v>
      </c>
      <c r="J2523" s="4" t="s">
        <v>79</v>
      </c>
      <c r="K2523" s="4" t="s">
        <v>2681</v>
      </c>
      <c r="L2523" s="4" t="s">
        <v>3743</v>
      </c>
      <c r="M2523" s="4" t="s">
        <v>3746</v>
      </c>
      <c r="N2523" s="4" t="s">
        <v>3757</v>
      </c>
      <c r="O2523" s="17">
        <f>INDEX('список ID из СУЭ с должностями'!$A:$F,MATCH(E2523,'список ID из СУЭ с должностями'!$B:$B,0),5)</f>
        <v>0</v>
      </c>
    </row>
    <row r="2524" spans="1:15" ht="60">
      <c r="A2524" s="3" t="s">
        <v>10</v>
      </c>
      <c r="B2524" s="3" t="s">
        <v>11</v>
      </c>
      <c r="C2524" s="4">
        <v>2026</v>
      </c>
      <c r="D2524" s="5" t="s">
        <v>12</v>
      </c>
      <c r="E2524" s="4">
        <v>346</v>
      </c>
      <c r="F2524" s="4" t="s">
        <v>116</v>
      </c>
      <c r="G2524" s="4" t="s">
        <v>2668</v>
      </c>
      <c r="H2524" s="4" t="s">
        <v>15</v>
      </c>
      <c r="I2524" s="4" t="s">
        <v>2672</v>
      </c>
      <c r="J2524" s="4" t="s">
        <v>2673</v>
      </c>
      <c r="K2524" s="4" t="s">
        <v>2681</v>
      </c>
      <c r="L2524" s="4" t="s">
        <v>3743</v>
      </c>
      <c r="M2524" s="4" t="s">
        <v>3746</v>
      </c>
      <c r="N2524" s="4" t="s">
        <v>3757</v>
      </c>
      <c r="O2524" s="17">
        <f>INDEX('список ID из СУЭ с должностями'!$A:$F,MATCH(E2524,'список ID из СУЭ с должностями'!$B:$B,0),5)</f>
        <v>0</v>
      </c>
    </row>
    <row r="2525" spans="1:15" ht="75">
      <c r="A2525" s="3" t="s">
        <v>10</v>
      </c>
      <c r="B2525" s="3" t="s">
        <v>11</v>
      </c>
      <c r="C2525" s="4">
        <v>2026</v>
      </c>
      <c r="D2525" s="5" t="s">
        <v>12</v>
      </c>
      <c r="E2525" s="4">
        <v>347</v>
      </c>
      <c r="F2525" s="4" t="s">
        <v>67</v>
      </c>
      <c r="G2525" s="4" t="s">
        <v>614</v>
      </c>
      <c r="H2525" s="4" t="s">
        <v>15</v>
      </c>
      <c r="I2525" s="4" t="s">
        <v>714</v>
      </c>
      <c r="J2525" s="4" t="s">
        <v>2682</v>
      </c>
      <c r="K2525" s="4" t="s">
        <v>716</v>
      </c>
      <c r="L2525" s="4" t="s">
        <v>3743</v>
      </c>
      <c r="M2525" s="4" t="s">
        <v>3746</v>
      </c>
      <c r="N2525" s="4" t="s">
        <v>3758</v>
      </c>
      <c r="O2525" s="17">
        <f>INDEX('список ID из СУЭ с должностями'!$A:$F,MATCH(E2525,'список ID из СУЭ с должностями'!$B:$B,0),5)</f>
        <v>0</v>
      </c>
    </row>
    <row r="2526" spans="1:15" ht="75">
      <c r="A2526" s="3" t="s">
        <v>10</v>
      </c>
      <c r="B2526" s="3" t="s">
        <v>11</v>
      </c>
      <c r="C2526" s="4">
        <v>2026</v>
      </c>
      <c r="D2526" s="5" t="s">
        <v>12</v>
      </c>
      <c r="E2526" s="4">
        <v>347</v>
      </c>
      <c r="F2526" s="4" t="s">
        <v>67</v>
      </c>
      <c r="G2526" s="4" t="s">
        <v>614</v>
      </c>
      <c r="H2526" s="4" t="s">
        <v>15</v>
      </c>
      <c r="I2526" s="4" t="s">
        <v>2661</v>
      </c>
      <c r="J2526" s="4" t="s">
        <v>640</v>
      </c>
      <c r="K2526" s="4" t="s">
        <v>35</v>
      </c>
      <c r="L2526" s="4" t="s">
        <v>3743</v>
      </c>
      <c r="M2526" s="4" t="s">
        <v>3746</v>
      </c>
      <c r="N2526" s="4" t="s">
        <v>3747</v>
      </c>
      <c r="O2526" s="17">
        <f>INDEX('список ID из СУЭ с должностями'!$A:$F,MATCH(E2526,'список ID из СУЭ с должностями'!$B:$B,0),5)</f>
        <v>0</v>
      </c>
    </row>
    <row r="2527" spans="1:15" ht="165">
      <c r="A2527" s="3" t="s">
        <v>10</v>
      </c>
      <c r="B2527" s="3" t="s">
        <v>11</v>
      </c>
      <c r="C2527" s="4">
        <v>2026</v>
      </c>
      <c r="D2527" s="5" t="s">
        <v>12</v>
      </c>
      <c r="E2527" s="4">
        <v>347</v>
      </c>
      <c r="F2527" s="4" t="s">
        <v>67</v>
      </c>
      <c r="G2527" s="4" t="s">
        <v>614</v>
      </c>
      <c r="H2527" s="4" t="s">
        <v>15</v>
      </c>
      <c r="I2527" s="4" t="s">
        <v>720</v>
      </c>
      <c r="J2527" s="4" t="s">
        <v>848</v>
      </c>
      <c r="K2527" s="4" t="s">
        <v>619</v>
      </c>
      <c r="L2527" s="4" t="s">
        <v>3743</v>
      </c>
      <c r="M2527" s="4" t="s">
        <v>3746</v>
      </c>
      <c r="N2527" s="4" t="s">
        <v>3758</v>
      </c>
      <c r="O2527" s="17">
        <f>INDEX('список ID из СУЭ с должностями'!$A:$F,MATCH(E2527,'список ID из СУЭ с должностями'!$B:$B,0),5)</f>
        <v>0</v>
      </c>
    </row>
    <row r="2528" spans="1:15" ht="60">
      <c r="A2528" s="3" t="s">
        <v>10</v>
      </c>
      <c r="B2528" s="3" t="s">
        <v>11</v>
      </c>
      <c r="C2528" s="4">
        <v>2026</v>
      </c>
      <c r="D2528" s="5" t="s">
        <v>12</v>
      </c>
      <c r="E2528" s="4">
        <v>347</v>
      </c>
      <c r="F2528" s="4" t="s">
        <v>67</v>
      </c>
      <c r="G2528" s="4" t="s">
        <v>614</v>
      </c>
      <c r="H2528" s="4" t="s">
        <v>15</v>
      </c>
      <c r="I2528" s="4" t="s">
        <v>624</v>
      </c>
      <c r="J2528" s="4" t="s">
        <v>637</v>
      </c>
      <c r="K2528" s="4" t="s">
        <v>151</v>
      </c>
      <c r="L2528" s="4" t="s">
        <v>3743</v>
      </c>
      <c r="M2528" s="4" t="s">
        <v>3746</v>
      </c>
      <c r="N2528" s="4" t="s">
        <v>3747</v>
      </c>
      <c r="O2528" s="17">
        <f>INDEX('список ID из СУЭ с должностями'!$A:$F,MATCH(E2528,'список ID из СУЭ с должностями'!$B:$B,0),5)</f>
        <v>0</v>
      </c>
    </row>
    <row r="2529" spans="1:15" ht="135">
      <c r="A2529" s="3" t="s">
        <v>10</v>
      </c>
      <c r="B2529" s="3" t="s">
        <v>11</v>
      </c>
      <c r="C2529" s="4">
        <v>2026</v>
      </c>
      <c r="D2529" s="5" t="s">
        <v>12</v>
      </c>
      <c r="E2529" s="4">
        <v>347</v>
      </c>
      <c r="F2529" s="4" t="s">
        <v>67</v>
      </c>
      <c r="G2529" s="4" t="s">
        <v>614</v>
      </c>
      <c r="H2529" s="4" t="s">
        <v>15</v>
      </c>
      <c r="I2529" s="4" t="s">
        <v>638</v>
      </c>
      <c r="J2529" s="4" t="s">
        <v>723</v>
      </c>
      <c r="K2529" s="4" t="s">
        <v>635</v>
      </c>
      <c r="L2529" s="4" t="s">
        <v>3743</v>
      </c>
      <c r="M2529" s="4" t="s">
        <v>3746</v>
      </c>
      <c r="N2529" s="4" t="s">
        <v>3758</v>
      </c>
      <c r="O2529" s="17">
        <f>INDEX('список ID из СУЭ с должностями'!$A:$F,MATCH(E2529,'список ID из СУЭ с должностями'!$B:$B,0),5)</f>
        <v>0</v>
      </c>
    </row>
    <row r="2530" spans="1:15" ht="75">
      <c r="A2530" s="3" t="s">
        <v>10</v>
      </c>
      <c r="B2530" s="3" t="s">
        <v>11</v>
      </c>
      <c r="C2530" s="4">
        <v>2026</v>
      </c>
      <c r="D2530" s="5" t="s">
        <v>12</v>
      </c>
      <c r="E2530" s="4">
        <v>348</v>
      </c>
      <c r="F2530" s="4" t="s">
        <v>2683</v>
      </c>
      <c r="G2530" s="4" t="s">
        <v>614</v>
      </c>
      <c r="H2530" s="4" t="s">
        <v>15</v>
      </c>
      <c r="I2530" s="4" t="s">
        <v>2684</v>
      </c>
      <c r="J2530" s="4" t="s">
        <v>2667</v>
      </c>
      <c r="K2530" s="4" t="s">
        <v>635</v>
      </c>
      <c r="L2530" s="4" t="s">
        <v>3743</v>
      </c>
      <c r="M2530" s="4" t="s">
        <v>3746</v>
      </c>
      <c r="N2530" s="4" t="s">
        <v>3758</v>
      </c>
      <c r="O2530" s="17">
        <f>INDEX('список ID из СУЭ с должностями'!$A:$F,MATCH(E2530,'список ID из СУЭ с должностями'!$B:$B,0),5)</f>
        <v>0</v>
      </c>
    </row>
    <row r="2531" spans="1:15" ht="75">
      <c r="A2531" s="3" t="s">
        <v>10</v>
      </c>
      <c r="B2531" s="3" t="s">
        <v>11</v>
      </c>
      <c r="C2531" s="4">
        <v>2026</v>
      </c>
      <c r="D2531" s="5" t="s">
        <v>12</v>
      </c>
      <c r="E2531" s="4">
        <v>348</v>
      </c>
      <c r="F2531" s="4" t="s">
        <v>2683</v>
      </c>
      <c r="G2531" s="4" t="s">
        <v>614</v>
      </c>
      <c r="H2531" s="4" t="s">
        <v>15</v>
      </c>
      <c r="I2531" s="4" t="s">
        <v>2685</v>
      </c>
      <c r="J2531" s="4" t="s">
        <v>2686</v>
      </c>
      <c r="K2531" s="4" t="s">
        <v>635</v>
      </c>
      <c r="L2531" s="4" t="s">
        <v>3743</v>
      </c>
      <c r="M2531" s="4" t="s">
        <v>3746</v>
      </c>
      <c r="N2531" s="4" t="s">
        <v>3758</v>
      </c>
      <c r="O2531" s="17">
        <f>INDEX('список ID из СУЭ с должностями'!$A:$F,MATCH(E2531,'список ID из СУЭ с должностями'!$B:$B,0),5)</f>
        <v>0</v>
      </c>
    </row>
    <row r="2532" spans="1:15" ht="135">
      <c r="A2532" s="3" t="s">
        <v>10</v>
      </c>
      <c r="B2532" s="3" t="s">
        <v>11</v>
      </c>
      <c r="C2532" s="4">
        <v>2026</v>
      </c>
      <c r="D2532" s="5" t="s">
        <v>12</v>
      </c>
      <c r="E2532" s="4">
        <v>348</v>
      </c>
      <c r="F2532" s="4" t="s">
        <v>2683</v>
      </c>
      <c r="G2532" s="4" t="s">
        <v>614</v>
      </c>
      <c r="H2532" s="4" t="s">
        <v>15</v>
      </c>
      <c r="I2532" s="4" t="s">
        <v>2687</v>
      </c>
      <c r="J2532" s="4" t="s">
        <v>2688</v>
      </c>
      <c r="K2532" s="4" t="s">
        <v>619</v>
      </c>
      <c r="L2532" s="4" t="s">
        <v>3743</v>
      </c>
      <c r="M2532" s="4" t="s">
        <v>3746</v>
      </c>
      <c r="N2532" s="4" t="s">
        <v>3758</v>
      </c>
      <c r="O2532" s="17">
        <f>INDEX('список ID из СУЭ с должностями'!$A:$F,MATCH(E2532,'список ID из СУЭ с должностями'!$B:$B,0),5)</f>
        <v>0</v>
      </c>
    </row>
    <row r="2533" spans="1:15" ht="180">
      <c r="A2533" s="3" t="s">
        <v>10</v>
      </c>
      <c r="B2533" s="3" t="s">
        <v>11</v>
      </c>
      <c r="C2533" s="4">
        <v>2026</v>
      </c>
      <c r="D2533" s="5" t="s">
        <v>12</v>
      </c>
      <c r="E2533" s="4">
        <v>348</v>
      </c>
      <c r="F2533" s="4" t="s">
        <v>2683</v>
      </c>
      <c r="G2533" s="4" t="s">
        <v>614</v>
      </c>
      <c r="H2533" s="4" t="s">
        <v>15</v>
      </c>
      <c r="I2533" s="4" t="s">
        <v>2689</v>
      </c>
      <c r="J2533" s="4" t="s">
        <v>2690</v>
      </c>
      <c r="K2533" s="4" t="s">
        <v>619</v>
      </c>
      <c r="L2533" s="4" t="s">
        <v>3743</v>
      </c>
      <c r="M2533" s="4" t="s">
        <v>3746</v>
      </c>
      <c r="N2533" s="4" t="s">
        <v>3758</v>
      </c>
      <c r="O2533" s="17">
        <f>INDEX('список ID из СУЭ с должностями'!$A:$F,MATCH(E2533,'список ID из СУЭ с должностями'!$B:$B,0),5)</f>
        <v>0</v>
      </c>
    </row>
    <row r="2534" spans="1:15" ht="90">
      <c r="A2534" s="3" t="s">
        <v>10</v>
      </c>
      <c r="B2534" s="3" t="s">
        <v>11</v>
      </c>
      <c r="C2534" s="4">
        <v>2026</v>
      </c>
      <c r="D2534" s="5" t="s">
        <v>12</v>
      </c>
      <c r="E2534" s="4">
        <v>348</v>
      </c>
      <c r="F2534" s="4" t="s">
        <v>2683</v>
      </c>
      <c r="G2534" s="4" t="s">
        <v>614</v>
      </c>
      <c r="H2534" s="4" t="s">
        <v>15</v>
      </c>
      <c r="I2534" s="4" t="s">
        <v>2691</v>
      </c>
      <c r="J2534" s="4" t="s">
        <v>2692</v>
      </c>
      <c r="K2534" s="4" t="s">
        <v>635</v>
      </c>
      <c r="L2534" s="4" t="s">
        <v>3743</v>
      </c>
      <c r="M2534" s="4" t="s">
        <v>3746</v>
      </c>
      <c r="N2534" s="4" t="s">
        <v>3758</v>
      </c>
      <c r="O2534" s="17">
        <f>INDEX('список ID из СУЭ с должностями'!$A:$F,MATCH(E2534,'список ID из СУЭ с должностями'!$B:$B,0),5)</f>
        <v>0</v>
      </c>
    </row>
    <row r="2535" spans="1:15" ht="105">
      <c r="A2535" s="3" t="s">
        <v>10</v>
      </c>
      <c r="B2535" s="3" t="s">
        <v>11</v>
      </c>
      <c r="C2535" s="4">
        <v>2026</v>
      </c>
      <c r="D2535" s="5" t="s">
        <v>12</v>
      </c>
      <c r="E2535" s="4">
        <v>348</v>
      </c>
      <c r="F2535" s="4" t="s">
        <v>2683</v>
      </c>
      <c r="G2535" s="4" t="s">
        <v>614</v>
      </c>
      <c r="H2535" s="4" t="s">
        <v>15</v>
      </c>
      <c r="I2535" s="4" t="s">
        <v>2693</v>
      </c>
      <c r="J2535" s="4" t="s">
        <v>2694</v>
      </c>
      <c r="K2535" s="4" t="s">
        <v>151</v>
      </c>
      <c r="L2535" s="4" t="s">
        <v>3743</v>
      </c>
      <c r="M2535" s="4" t="s">
        <v>3746</v>
      </c>
      <c r="N2535" s="4" t="s">
        <v>3747</v>
      </c>
      <c r="O2535" s="17">
        <f>INDEX('список ID из СУЭ с должностями'!$A:$F,MATCH(E2535,'список ID из СУЭ с должностями'!$B:$B,0),5)</f>
        <v>0</v>
      </c>
    </row>
    <row r="2536" spans="1:15" ht="135">
      <c r="A2536" s="3" t="s">
        <v>10</v>
      </c>
      <c r="B2536" s="3" t="s">
        <v>11</v>
      </c>
      <c r="C2536" s="4">
        <v>2026</v>
      </c>
      <c r="D2536" s="5" t="s">
        <v>12</v>
      </c>
      <c r="E2536" s="4">
        <v>348</v>
      </c>
      <c r="F2536" s="4" t="s">
        <v>2683</v>
      </c>
      <c r="G2536" s="4" t="s">
        <v>614</v>
      </c>
      <c r="H2536" s="4" t="s">
        <v>15</v>
      </c>
      <c r="I2536" s="4" t="s">
        <v>2695</v>
      </c>
      <c r="J2536" s="4" t="s">
        <v>2696</v>
      </c>
      <c r="K2536" s="4" t="s">
        <v>619</v>
      </c>
      <c r="L2536" s="4" t="s">
        <v>3743</v>
      </c>
      <c r="M2536" s="4" t="s">
        <v>3746</v>
      </c>
      <c r="N2536" s="4" t="s">
        <v>3758</v>
      </c>
      <c r="O2536" s="17">
        <f>INDEX('список ID из СУЭ с должностями'!$A:$F,MATCH(E2536,'список ID из СУЭ с должностями'!$B:$B,0),5)</f>
        <v>0</v>
      </c>
    </row>
    <row r="2537" spans="1:15" ht="90">
      <c r="A2537" s="3" t="s">
        <v>10</v>
      </c>
      <c r="B2537" s="3" t="s">
        <v>11</v>
      </c>
      <c r="C2537" s="4">
        <v>2026</v>
      </c>
      <c r="D2537" s="5" t="s">
        <v>12</v>
      </c>
      <c r="E2537" s="4">
        <v>348</v>
      </c>
      <c r="F2537" s="4" t="s">
        <v>2683</v>
      </c>
      <c r="G2537" s="4" t="s">
        <v>614</v>
      </c>
      <c r="H2537" s="4" t="s">
        <v>15</v>
      </c>
      <c r="I2537" s="4" t="s">
        <v>2697</v>
      </c>
      <c r="J2537" s="4" t="s">
        <v>2698</v>
      </c>
      <c r="K2537" s="4" t="s">
        <v>35</v>
      </c>
      <c r="L2537" s="4" t="s">
        <v>3743</v>
      </c>
      <c r="M2537" s="4" t="s">
        <v>3746</v>
      </c>
      <c r="N2537" s="4" t="s">
        <v>3747</v>
      </c>
      <c r="O2537" s="17">
        <f>INDEX('список ID из СУЭ с должностями'!$A:$F,MATCH(E2537,'список ID из СУЭ с должностями'!$B:$B,0),5)</f>
        <v>0</v>
      </c>
    </row>
    <row r="2538" spans="1:15" ht="60">
      <c r="A2538" s="3" t="s">
        <v>10</v>
      </c>
      <c r="B2538" s="3" t="s">
        <v>11</v>
      </c>
      <c r="C2538" s="4">
        <v>2026</v>
      </c>
      <c r="D2538" s="5" t="s">
        <v>12</v>
      </c>
      <c r="E2538" s="4">
        <v>349</v>
      </c>
      <c r="F2538" s="4" t="s">
        <v>458</v>
      </c>
      <c r="G2538" s="4" t="s">
        <v>2668</v>
      </c>
      <c r="H2538" s="4" t="s">
        <v>21</v>
      </c>
      <c r="I2538" s="4" t="s">
        <v>2699</v>
      </c>
      <c r="J2538" s="4" t="s">
        <v>2700</v>
      </c>
      <c r="K2538" s="4" t="s">
        <v>524</v>
      </c>
      <c r="L2538" s="4" t="s">
        <v>3742</v>
      </c>
      <c r="M2538" s="4" t="s">
        <v>3746</v>
      </c>
      <c r="N2538" s="4" t="s">
        <v>3757</v>
      </c>
      <c r="O2538" s="17">
        <f>INDEX('список ID из СУЭ с должностями'!$A:$F,MATCH(E2538,'список ID из СУЭ с должностями'!$B:$B,0),5)</f>
        <v>0</v>
      </c>
    </row>
    <row r="2539" spans="1:15" ht="60">
      <c r="A2539" s="3" t="s">
        <v>10</v>
      </c>
      <c r="B2539" s="3" t="s">
        <v>11</v>
      </c>
      <c r="C2539" s="4">
        <v>2026</v>
      </c>
      <c r="D2539" s="5" t="s">
        <v>12</v>
      </c>
      <c r="E2539" s="4">
        <v>349</v>
      </c>
      <c r="F2539" s="4" t="s">
        <v>458</v>
      </c>
      <c r="G2539" s="4" t="s">
        <v>2668</v>
      </c>
      <c r="H2539" s="4" t="s">
        <v>21</v>
      </c>
      <c r="I2539" s="4" t="s">
        <v>2701</v>
      </c>
      <c r="J2539" s="4" t="s">
        <v>2702</v>
      </c>
      <c r="K2539" s="4" t="s">
        <v>30</v>
      </c>
      <c r="L2539" s="4" t="s">
        <v>3743</v>
      </c>
      <c r="M2539" s="4" t="s">
        <v>3746</v>
      </c>
      <c r="N2539" s="4" t="s">
        <v>3747</v>
      </c>
      <c r="O2539" s="17">
        <f>INDEX('список ID из СУЭ с должностями'!$A:$F,MATCH(E2539,'список ID из СУЭ с должностями'!$B:$B,0),5)</f>
        <v>0</v>
      </c>
    </row>
    <row r="2540" spans="1:15" ht="60">
      <c r="A2540" s="3" t="s">
        <v>10</v>
      </c>
      <c r="B2540" s="3" t="s">
        <v>11</v>
      </c>
      <c r="C2540" s="4">
        <v>2026</v>
      </c>
      <c r="D2540" s="5" t="s">
        <v>12</v>
      </c>
      <c r="E2540" s="4">
        <v>349</v>
      </c>
      <c r="F2540" s="4" t="s">
        <v>458</v>
      </c>
      <c r="G2540" s="4" t="s">
        <v>2668</v>
      </c>
      <c r="H2540" s="4" t="s">
        <v>21</v>
      </c>
      <c r="I2540" s="4" t="s">
        <v>2703</v>
      </c>
      <c r="J2540" s="4" t="s">
        <v>2704</v>
      </c>
      <c r="K2540" s="4" t="s">
        <v>1318</v>
      </c>
      <c r="L2540" s="4" t="s">
        <v>3743</v>
      </c>
      <c r="M2540" s="4" t="s">
        <v>3753</v>
      </c>
      <c r="N2540" s="4" t="s">
        <v>3757</v>
      </c>
      <c r="O2540" s="17">
        <f>INDEX('список ID из СУЭ с должностями'!$A:$F,MATCH(E2540,'список ID из СУЭ с должностями'!$B:$B,0),5)</f>
        <v>0</v>
      </c>
    </row>
    <row r="2541" spans="1:15" ht="60">
      <c r="A2541" s="3" t="s">
        <v>10</v>
      </c>
      <c r="B2541" s="3" t="s">
        <v>11</v>
      </c>
      <c r="C2541" s="4">
        <v>2026</v>
      </c>
      <c r="D2541" s="5" t="s">
        <v>12</v>
      </c>
      <c r="E2541" s="4">
        <v>349</v>
      </c>
      <c r="F2541" s="4" t="s">
        <v>458</v>
      </c>
      <c r="G2541" s="4" t="s">
        <v>2668</v>
      </c>
      <c r="H2541" s="4" t="s">
        <v>15</v>
      </c>
      <c r="I2541" s="4" t="s">
        <v>2705</v>
      </c>
      <c r="J2541" s="4" t="s">
        <v>2706</v>
      </c>
      <c r="K2541" s="4" t="s">
        <v>2679</v>
      </c>
      <c r="L2541" s="4" t="s">
        <v>3743</v>
      </c>
      <c r="M2541" s="4" t="s">
        <v>3746</v>
      </c>
      <c r="N2541" s="4" t="s">
        <v>3757</v>
      </c>
      <c r="O2541" s="17">
        <f>INDEX('список ID из СУЭ с должностями'!$A:$F,MATCH(E2541,'список ID из СУЭ с должностями'!$B:$B,0),5)</f>
        <v>0</v>
      </c>
    </row>
    <row r="2542" spans="1:15" ht="60">
      <c r="A2542" s="3" t="s">
        <v>10</v>
      </c>
      <c r="B2542" s="3" t="s">
        <v>11</v>
      </c>
      <c r="C2542" s="4">
        <v>2026</v>
      </c>
      <c r="D2542" s="5" t="s">
        <v>12</v>
      </c>
      <c r="E2542" s="4">
        <v>349</v>
      </c>
      <c r="F2542" s="4" t="s">
        <v>458</v>
      </c>
      <c r="G2542" s="4" t="s">
        <v>2668</v>
      </c>
      <c r="H2542" s="4" t="s">
        <v>41</v>
      </c>
      <c r="I2542" s="4" t="s">
        <v>2707</v>
      </c>
      <c r="J2542" s="4" t="s">
        <v>2708</v>
      </c>
      <c r="K2542" s="4" t="s">
        <v>524</v>
      </c>
      <c r="L2542" s="4" t="s">
        <v>3742</v>
      </c>
      <c r="M2542" s="4" t="s">
        <v>3746</v>
      </c>
      <c r="N2542" s="4" t="s">
        <v>3757</v>
      </c>
      <c r="O2542" s="17">
        <f>INDEX('список ID из СУЭ с должностями'!$A:$F,MATCH(E2542,'список ID из СУЭ с должностями'!$B:$B,0),5)</f>
        <v>0</v>
      </c>
    </row>
    <row r="2543" spans="1:15" ht="60">
      <c r="A2543" s="3" t="s">
        <v>10</v>
      </c>
      <c r="B2543" s="3" t="s">
        <v>11</v>
      </c>
      <c r="C2543" s="4">
        <v>2026</v>
      </c>
      <c r="D2543" s="5" t="s">
        <v>12</v>
      </c>
      <c r="E2543" s="4">
        <v>349</v>
      </c>
      <c r="F2543" s="4" t="s">
        <v>458</v>
      </c>
      <c r="G2543" s="4" t="s">
        <v>2668</v>
      </c>
      <c r="H2543" s="4" t="s">
        <v>15</v>
      </c>
      <c r="I2543" s="4" t="s">
        <v>2709</v>
      </c>
      <c r="J2543" s="4" t="s">
        <v>2710</v>
      </c>
      <c r="K2543" s="4" t="s">
        <v>23</v>
      </c>
      <c r="L2543" s="4" t="s">
        <v>3743</v>
      </c>
      <c r="M2543" s="4" t="s">
        <v>3748</v>
      </c>
      <c r="N2543" s="4" t="s">
        <v>3749</v>
      </c>
      <c r="O2543" s="17">
        <f>INDEX('список ID из СУЭ с должностями'!$A:$F,MATCH(E2543,'список ID из СУЭ с должностями'!$B:$B,0),5)</f>
        <v>0</v>
      </c>
    </row>
    <row r="2544" spans="1:15" ht="75">
      <c r="A2544" s="3" t="s">
        <v>10</v>
      </c>
      <c r="B2544" s="3" t="s">
        <v>11</v>
      </c>
      <c r="C2544" s="4">
        <v>2026</v>
      </c>
      <c r="D2544" s="5" t="s">
        <v>12</v>
      </c>
      <c r="E2544" s="4">
        <v>349</v>
      </c>
      <c r="F2544" s="4" t="s">
        <v>458</v>
      </c>
      <c r="G2544" s="4" t="s">
        <v>2668</v>
      </c>
      <c r="H2544" s="4" t="s">
        <v>15</v>
      </c>
      <c r="I2544" s="4" t="s">
        <v>635</v>
      </c>
      <c r="J2544" s="4" t="s">
        <v>2711</v>
      </c>
      <c r="K2544" s="4" t="s">
        <v>23</v>
      </c>
      <c r="L2544" s="4" t="s">
        <v>3743</v>
      </c>
      <c r="M2544" s="4" t="s">
        <v>3748</v>
      </c>
      <c r="N2544" s="4" t="s">
        <v>3749</v>
      </c>
      <c r="O2544" s="17">
        <f>INDEX('список ID из СУЭ с должностями'!$A:$F,MATCH(E2544,'список ID из СУЭ с должностями'!$B:$B,0),5)</f>
        <v>0</v>
      </c>
    </row>
    <row r="2545" spans="1:15" ht="60">
      <c r="A2545" s="3" t="s">
        <v>10</v>
      </c>
      <c r="B2545" s="3" t="s">
        <v>11</v>
      </c>
      <c r="C2545" s="4">
        <v>2026</v>
      </c>
      <c r="D2545" s="5" t="s">
        <v>12</v>
      </c>
      <c r="E2545" s="4">
        <v>349</v>
      </c>
      <c r="F2545" s="4" t="s">
        <v>458</v>
      </c>
      <c r="G2545" s="4" t="s">
        <v>2668</v>
      </c>
      <c r="H2545" s="4" t="s">
        <v>15</v>
      </c>
      <c r="I2545" s="4" t="s">
        <v>2712</v>
      </c>
      <c r="J2545" s="4" t="s">
        <v>2713</v>
      </c>
      <c r="K2545" s="4" t="s">
        <v>23</v>
      </c>
      <c r="L2545" s="4" t="s">
        <v>3742</v>
      </c>
      <c r="M2545" s="4" t="s">
        <v>3748</v>
      </c>
      <c r="N2545" s="4" t="s">
        <v>3749</v>
      </c>
      <c r="O2545" s="17">
        <f>INDEX('список ID из СУЭ с должностями'!$A:$F,MATCH(E2545,'список ID из СУЭ с должностями'!$B:$B,0),5)</f>
        <v>0</v>
      </c>
    </row>
    <row r="2546" spans="1:15" ht="255">
      <c r="A2546" s="3" t="s">
        <v>10</v>
      </c>
      <c r="B2546" s="3" t="s">
        <v>11</v>
      </c>
      <c r="C2546" s="4">
        <v>2026</v>
      </c>
      <c r="D2546" s="5" t="s">
        <v>12</v>
      </c>
      <c r="E2546" s="4">
        <v>349</v>
      </c>
      <c r="F2546" s="4" t="s">
        <v>458</v>
      </c>
      <c r="G2546" s="4" t="s">
        <v>2668</v>
      </c>
      <c r="H2546" s="4" t="s">
        <v>15</v>
      </c>
      <c r="I2546" s="4" t="s">
        <v>1323</v>
      </c>
      <c r="J2546" s="4" t="s">
        <v>1324</v>
      </c>
      <c r="K2546" s="4" t="s">
        <v>35</v>
      </c>
      <c r="L2546" s="4" t="s">
        <v>3743</v>
      </c>
      <c r="M2546" s="4" t="s">
        <v>3746</v>
      </c>
      <c r="N2546" s="4" t="s">
        <v>3747</v>
      </c>
      <c r="O2546" s="17">
        <f>INDEX('список ID из СУЭ с должностями'!$A:$F,MATCH(E2546,'список ID из СУЭ с должностями'!$B:$B,0),5)</f>
        <v>0</v>
      </c>
    </row>
    <row r="2547" spans="1:15" ht="60">
      <c r="A2547" s="3" t="s">
        <v>10</v>
      </c>
      <c r="B2547" s="3" t="s">
        <v>11</v>
      </c>
      <c r="C2547" s="4">
        <v>2026</v>
      </c>
      <c r="D2547" s="5" t="s">
        <v>12</v>
      </c>
      <c r="E2547" s="4">
        <v>349</v>
      </c>
      <c r="F2547" s="4" t="s">
        <v>458</v>
      </c>
      <c r="G2547" s="4" t="s">
        <v>2668</v>
      </c>
      <c r="H2547" s="4" t="s">
        <v>15</v>
      </c>
      <c r="I2547" s="4" t="s">
        <v>2714</v>
      </c>
      <c r="J2547" s="4" t="s">
        <v>2715</v>
      </c>
      <c r="K2547" s="4" t="s">
        <v>2679</v>
      </c>
      <c r="L2547" s="4" t="s">
        <v>3743</v>
      </c>
      <c r="M2547" s="4" t="s">
        <v>3746</v>
      </c>
      <c r="N2547" s="4" t="s">
        <v>3757</v>
      </c>
      <c r="O2547" s="17">
        <f>INDEX('список ID из СУЭ с должностями'!$A:$F,MATCH(E2547,'список ID из СУЭ с должностями'!$B:$B,0),5)</f>
        <v>0</v>
      </c>
    </row>
    <row r="2548" spans="1:15" ht="75">
      <c r="A2548" s="3" t="s">
        <v>10</v>
      </c>
      <c r="B2548" s="3" t="s">
        <v>11</v>
      </c>
      <c r="C2548" s="4">
        <v>2026</v>
      </c>
      <c r="D2548" s="5" t="s">
        <v>12</v>
      </c>
      <c r="E2548" s="4">
        <v>350</v>
      </c>
      <c r="F2548" s="4" t="s">
        <v>307</v>
      </c>
      <c r="G2548" s="4" t="s">
        <v>511</v>
      </c>
      <c r="H2548" s="4" t="s">
        <v>21</v>
      </c>
      <c r="I2548" s="4" t="s">
        <v>2701</v>
      </c>
      <c r="J2548" s="4" t="s">
        <v>2716</v>
      </c>
      <c r="K2548" s="4" t="s">
        <v>30</v>
      </c>
      <c r="L2548" s="4" t="s">
        <v>3743</v>
      </c>
      <c r="M2548" s="4" t="s">
        <v>3746</v>
      </c>
      <c r="N2548" s="4" t="s">
        <v>3747</v>
      </c>
      <c r="O2548" s="17">
        <f>INDEX('список ID из СУЭ с должностями'!$A:$F,MATCH(E2548,'список ID из СУЭ с должностями'!$B:$B,0),5)</f>
        <v>0</v>
      </c>
    </row>
    <row r="2549" spans="1:15" ht="60">
      <c r="A2549" s="3" t="s">
        <v>10</v>
      </c>
      <c r="B2549" s="3" t="s">
        <v>11</v>
      </c>
      <c r="C2549" s="4">
        <v>2026</v>
      </c>
      <c r="D2549" s="5" t="s">
        <v>12</v>
      </c>
      <c r="E2549" s="4">
        <v>350</v>
      </c>
      <c r="F2549" s="4" t="s">
        <v>307</v>
      </c>
      <c r="G2549" s="4" t="s">
        <v>511</v>
      </c>
      <c r="H2549" s="4" t="s">
        <v>21</v>
      </c>
      <c r="I2549" s="4" t="s">
        <v>2703</v>
      </c>
      <c r="J2549" s="4" t="s">
        <v>2704</v>
      </c>
      <c r="K2549" s="4" t="s">
        <v>1318</v>
      </c>
      <c r="L2549" s="4" t="s">
        <v>3743</v>
      </c>
      <c r="M2549" s="4" t="s">
        <v>3753</v>
      </c>
      <c r="N2549" s="4" t="s">
        <v>3757</v>
      </c>
      <c r="O2549" s="17">
        <f>INDEX('список ID из СУЭ с должностями'!$A:$F,MATCH(E2549,'список ID из СУЭ с должностями'!$B:$B,0),5)</f>
        <v>0</v>
      </c>
    </row>
    <row r="2550" spans="1:15" ht="60">
      <c r="A2550" s="3" t="s">
        <v>10</v>
      </c>
      <c r="B2550" s="3" t="s">
        <v>11</v>
      </c>
      <c r="C2550" s="4">
        <v>2026</v>
      </c>
      <c r="D2550" s="5" t="s">
        <v>12</v>
      </c>
      <c r="E2550" s="4">
        <v>350</v>
      </c>
      <c r="F2550" s="4" t="s">
        <v>307</v>
      </c>
      <c r="G2550" s="4" t="s">
        <v>511</v>
      </c>
      <c r="H2550" s="4" t="s">
        <v>41</v>
      </c>
      <c r="I2550" s="4" t="s">
        <v>2707</v>
      </c>
      <c r="J2550" s="4" t="s">
        <v>2708</v>
      </c>
      <c r="K2550" s="4" t="s">
        <v>524</v>
      </c>
      <c r="L2550" s="4" t="s">
        <v>3742</v>
      </c>
      <c r="M2550" s="4" t="s">
        <v>3746</v>
      </c>
      <c r="N2550" s="4" t="s">
        <v>3757</v>
      </c>
      <c r="O2550" s="17">
        <f>INDEX('список ID из СУЭ с должностями'!$A:$F,MATCH(E2550,'список ID из СУЭ с должностями'!$B:$B,0),5)</f>
        <v>0</v>
      </c>
    </row>
    <row r="2551" spans="1:15" ht="75">
      <c r="A2551" s="3" t="s">
        <v>10</v>
      </c>
      <c r="B2551" s="3" t="s">
        <v>11</v>
      </c>
      <c r="C2551" s="4">
        <v>2026</v>
      </c>
      <c r="D2551" s="5" t="s">
        <v>12</v>
      </c>
      <c r="E2551" s="4">
        <v>350</v>
      </c>
      <c r="F2551" s="4" t="s">
        <v>307</v>
      </c>
      <c r="G2551" s="4" t="s">
        <v>511</v>
      </c>
      <c r="H2551" s="4" t="s">
        <v>15</v>
      </c>
      <c r="I2551" s="4" t="s">
        <v>512</v>
      </c>
      <c r="J2551" s="4" t="s">
        <v>2669</v>
      </c>
      <c r="K2551" s="4" t="s">
        <v>2681</v>
      </c>
      <c r="L2551" s="4" t="s">
        <v>3743</v>
      </c>
      <c r="M2551" s="4" t="s">
        <v>3746</v>
      </c>
      <c r="N2551" s="4" t="s">
        <v>3757</v>
      </c>
      <c r="O2551" s="17">
        <f>INDEX('список ID из СУЭ с должностями'!$A:$F,MATCH(E2551,'список ID из СУЭ с должностями'!$B:$B,0),5)</f>
        <v>0</v>
      </c>
    </row>
    <row r="2552" spans="1:15" ht="60">
      <c r="A2552" s="3" t="s">
        <v>10</v>
      </c>
      <c r="B2552" s="3" t="s">
        <v>11</v>
      </c>
      <c r="C2552" s="4">
        <v>2026</v>
      </c>
      <c r="D2552" s="5" t="s">
        <v>12</v>
      </c>
      <c r="E2552" s="4">
        <v>350</v>
      </c>
      <c r="F2552" s="4" t="s">
        <v>307</v>
      </c>
      <c r="G2552" s="4" t="s">
        <v>511</v>
      </c>
      <c r="H2552" s="4" t="s">
        <v>15</v>
      </c>
      <c r="I2552" s="4" t="s">
        <v>2717</v>
      </c>
      <c r="J2552" s="4" t="s">
        <v>2713</v>
      </c>
      <c r="K2552" s="4" t="s">
        <v>2681</v>
      </c>
      <c r="L2552" s="4" t="s">
        <v>3742</v>
      </c>
      <c r="M2552" s="4" t="s">
        <v>3746</v>
      </c>
      <c r="N2552" s="4" t="s">
        <v>3757</v>
      </c>
      <c r="O2552" s="17">
        <f>INDEX('список ID из СУЭ с должностями'!$A:$F,MATCH(E2552,'список ID из СУЭ с должностями'!$B:$B,0),5)</f>
        <v>0</v>
      </c>
    </row>
    <row r="2553" spans="1:15" ht="90">
      <c r="A2553" s="3" t="s">
        <v>10</v>
      </c>
      <c r="B2553" s="3" t="s">
        <v>11</v>
      </c>
      <c r="C2553" s="4">
        <v>2026</v>
      </c>
      <c r="D2553" s="5" t="s">
        <v>12</v>
      </c>
      <c r="E2553" s="4">
        <v>350</v>
      </c>
      <c r="F2553" s="4" t="s">
        <v>307</v>
      </c>
      <c r="G2553" s="4" t="s">
        <v>511</v>
      </c>
      <c r="H2553" s="4" t="s">
        <v>15</v>
      </c>
      <c r="I2553" s="4" t="s">
        <v>2718</v>
      </c>
      <c r="J2553" s="4" t="s">
        <v>79</v>
      </c>
      <c r="K2553" s="4" t="s">
        <v>517</v>
      </c>
      <c r="L2553" s="4" t="s">
        <v>3742</v>
      </c>
      <c r="M2553" s="4" t="s">
        <v>3746</v>
      </c>
      <c r="N2553" s="4" t="s">
        <v>3757</v>
      </c>
      <c r="O2553" s="17">
        <f>INDEX('список ID из СУЭ с должностями'!$A:$F,MATCH(E2553,'список ID из СУЭ с должностями'!$B:$B,0),5)</f>
        <v>0</v>
      </c>
    </row>
    <row r="2554" spans="1:15" ht="75">
      <c r="A2554" s="3" t="s">
        <v>10</v>
      </c>
      <c r="B2554" s="3" t="s">
        <v>11</v>
      </c>
      <c r="C2554" s="4">
        <v>2026</v>
      </c>
      <c r="D2554" s="5" t="s">
        <v>12</v>
      </c>
      <c r="E2554" s="4">
        <v>351</v>
      </c>
      <c r="F2554" s="4" t="s">
        <v>2719</v>
      </c>
      <c r="G2554" s="4" t="s">
        <v>558</v>
      </c>
      <c r="H2554" s="4" t="s">
        <v>41</v>
      </c>
      <c r="I2554" s="4" t="s">
        <v>2720</v>
      </c>
      <c r="J2554" s="4" t="s">
        <v>2721</v>
      </c>
      <c r="K2554" s="4" t="s">
        <v>23</v>
      </c>
      <c r="L2554" s="4" t="s">
        <v>3743</v>
      </c>
      <c r="M2554" s="4" t="s">
        <v>3748</v>
      </c>
      <c r="N2554" s="4" t="s">
        <v>3749</v>
      </c>
      <c r="O2554" s="17">
        <f>INDEX('список ID из СУЭ с должностями'!$A:$F,MATCH(E2554,'список ID из СУЭ с должностями'!$B:$B,0),5)</f>
        <v>0</v>
      </c>
    </row>
    <row r="2555" spans="1:15" ht="165">
      <c r="A2555" s="3" t="s">
        <v>10</v>
      </c>
      <c r="B2555" s="3" t="s">
        <v>11</v>
      </c>
      <c r="C2555" s="4">
        <v>2026</v>
      </c>
      <c r="D2555" s="5" t="s">
        <v>12</v>
      </c>
      <c r="E2555" s="4">
        <v>351</v>
      </c>
      <c r="F2555" s="4" t="s">
        <v>2719</v>
      </c>
      <c r="G2555" s="4" t="s">
        <v>558</v>
      </c>
      <c r="H2555" s="4" t="s">
        <v>21</v>
      </c>
      <c r="I2555" s="4" t="s">
        <v>2722</v>
      </c>
      <c r="J2555" s="4" t="s">
        <v>2723</v>
      </c>
      <c r="K2555" s="4" t="s">
        <v>38</v>
      </c>
      <c r="L2555" s="4" t="s">
        <v>3743</v>
      </c>
      <c r="M2555" s="4" t="s">
        <v>3746</v>
      </c>
      <c r="N2555" s="4" t="s">
        <v>3747</v>
      </c>
      <c r="O2555" s="17">
        <f>INDEX('список ID из СУЭ с должностями'!$A:$F,MATCH(E2555,'список ID из СУЭ с должностями'!$B:$B,0),5)</f>
        <v>0</v>
      </c>
    </row>
    <row r="2556" spans="1:15" ht="120">
      <c r="A2556" s="3" t="s">
        <v>10</v>
      </c>
      <c r="B2556" s="3" t="s">
        <v>11</v>
      </c>
      <c r="C2556" s="4">
        <v>2026</v>
      </c>
      <c r="D2556" s="5" t="s">
        <v>12</v>
      </c>
      <c r="E2556" s="4">
        <v>351</v>
      </c>
      <c r="F2556" s="4" t="s">
        <v>2719</v>
      </c>
      <c r="G2556" s="4" t="s">
        <v>558</v>
      </c>
      <c r="H2556" s="4" t="s">
        <v>21</v>
      </c>
      <c r="I2556" s="4" t="s">
        <v>2724</v>
      </c>
      <c r="J2556" s="4" t="s">
        <v>2725</v>
      </c>
      <c r="K2556" s="4" t="s">
        <v>230</v>
      </c>
      <c r="L2556" s="4" t="s">
        <v>3743</v>
      </c>
      <c r="M2556" s="4" t="s">
        <v>3746</v>
      </c>
      <c r="N2556" s="4" t="s">
        <v>3754</v>
      </c>
      <c r="O2556" s="17">
        <f>INDEX('список ID из СУЭ с должностями'!$A:$F,MATCH(E2556,'список ID из СУЭ с должностями'!$B:$B,0),5)</f>
        <v>0</v>
      </c>
    </row>
    <row r="2557" spans="1:15" ht="75">
      <c r="A2557" s="3" t="s">
        <v>10</v>
      </c>
      <c r="B2557" s="3" t="s">
        <v>11</v>
      </c>
      <c r="C2557" s="4">
        <v>2026</v>
      </c>
      <c r="D2557" s="5" t="s">
        <v>12</v>
      </c>
      <c r="E2557" s="4">
        <v>351</v>
      </c>
      <c r="F2557" s="4" t="s">
        <v>2719</v>
      </c>
      <c r="G2557" s="4" t="s">
        <v>558</v>
      </c>
      <c r="H2557" s="4" t="s">
        <v>15</v>
      </c>
      <c r="I2557" s="4" t="s">
        <v>188</v>
      </c>
      <c r="J2557" s="4">
        <v>0</v>
      </c>
      <c r="K2557" s="4" t="s">
        <v>188</v>
      </c>
      <c r="L2557" s="4" t="s">
        <v>3743</v>
      </c>
      <c r="M2557" s="4" t="s">
        <v>3746</v>
      </c>
      <c r="N2557" s="4" t="s">
        <v>3747</v>
      </c>
      <c r="O2557" s="17">
        <f>INDEX('список ID из СУЭ с должностями'!$A:$F,MATCH(E2557,'список ID из СУЭ с должностями'!$B:$B,0),5)</f>
        <v>0</v>
      </c>
    </row>
    <row r="2558" spans="1:15" ht="75">
      <c r="A2558" s="3" t="s">
        <v>10</v>
      </c>
      <c r="B2558" s="3" t="s">
        <v>11</v>
      </c>
      <c r="C2558" s="4">
        <v>2026</v>
      </c>
      <c r="D2558" s="5" t="s">
        <v>12</v>
      </c>
      <c r="E2558" s="4">
        <v>351</v>
      </c>
      <c r="F2558" s="4" t="s">
        <v>2719</v>
      </c>
      <c r="G2558" s="4" t="s">
        <v>558</v>
      </c>
      <c r="H2558" s="4" t="s">
        <v>21</v>
      </c>
      <c r="I2558" s="4" t="s">
        <v>559</v>
      </c>
      <c r="J2558" s="4" t="s">
        <v>560</v>
      </c>
      <c r="K2558" s="4" t="s">
        <v>25</v>
      </c>
      <c r="L2558" s="4" t="s">
        <v>3743</v>
      </c>
      <c r="M2558" s="4" t="s">
        <v>3746</v>
      </c>
      <c r="N2558" s="4" t="s">
        <v>3747</v>
      </c>
      <c r="O2558" s="17">
        <f>INDEX('список ID из СУЭ с должностями'!$A:$F,MATCH(E2558,'список ID из СУЭ с должностями'!$B:$B,0),5)</f>
        <v>0</v>
      </c>
    </row>
    <row r="2559" spans="1:15" ht="135">
      <c r="A2559" s="3" t="s">
        <v>10</v>
      </c>
      <c r="B2559" s="3" t="s">
        <v>11</v>
      </c>
      <c r="C2559" s="4">
        <v>2026</v>
      </c>
      <c r="D2559" s="5" t="s">
        <v>12</v>
      </c>
      <c r="E2559" s="4">
        <v>352</v>
      </c>
      <c r="F2559" s="4" t="s">
        <v>385</v>
      </c>
      <c r="G2559" s="4" t="s">
        <v>19</v>
      </c>
      <c r="H2559" s="4" t="s">
        <v>21</v>
      </c>
      <c r="I2559" s="4" t="s">
        <v>2726</v>
      </c>
      <c r="J2559" s="4" t="s">
        <v>2727</v>
      </c>
      <c r="K2559" s="4" t="s">
        <v>35</v>
      </c>
      <c r="L2559" s="4" t="s">
        <v>3743</v>
      </c>
      <c r="M2559" s="4" t="s">
        <v>3746</v>
      </c>
      <c r="N2559" s="4" t="s">
        <v>3747</v>
      </c>
      <c r="O2559" s="17">
        <f>INDEX('список ID из СУЭ с должностями'!$A:$F,MATCH(E2559,'список ID из СУЭ с должностями'!$B:$B,0),5)</f>
        <v>0</v>
      </c>
    </row>
    <row r="2560" spans="1:15" ht="75">
      <c r="A2560" s="3" t="s">
        <v>10</v>
      </c>
      <c r="B2560" s="3" t="s">
        <v>11</v>
      </c>
      <c r="C2560" s="4">
        <v>2026</v>
      </c>
      <c r="D2560" s="5" t="s">
        <v>12</v>
      </c>
      <c r="E2560" s="4">
        <v>352</v>
      </c>
      <c r="F2560" s="4" t="s">
        <v>385</v>
      </c>
      <c r="G2560" s="4" t="s">
        <v>19</v>
      </c>
      <c r="H2560" s="4" t="s">
        <v>41</v>
      </c>
      <c r="I2560" s="4" t="s">
        <v>2728</v>
      </c>
      <c r="J2560" s="4" t="s">
        <v>2729</v>
      </c>
      <c r="K2560" s="4" t="s">
        <v>230</v>
      </c>
      <c r="L2560" s="4" t="s">
        <v>3743</v>
      </c>
      <c r="M2560" s="4" t="s">
        <v>3746</v>
      </c>
      <c r="N2560" s="4" t="s">
        <v>3754</v>
      </c>
      <c r="O2560" s="17">
        <f>INDEX('список ID из СУЭ с должностями'!$A:$F,MATCH(E2560,'список ID из СУЭ с должностями'!$B:$B,0),5)</f>
        <v>0</v>
      </c>
    </row>
    <row r="2561" spans="1:15" ht="90">
      <c r="A2561" s="3" t="s">
        <v>10</v>
      </c>
      <c r="B2561" s="3" t="s">
        <v>11</v>
      </c>
      <c r="C2561" s="4">
        <v>2026</v>
      </c>
      <c r="D2561" s="5" t="s">
        <v>12</v>
      </c>
      <c r="E2561" s="4">
        <v>352</v>
      </c>
      <c r="F2561" s="4" t="s">
        <v>385</v>
      </c>
      <c r="G2561" s="4" t="s">
        <v>19</v>
      </c>
      <c r="H2561" s="4" t="s">
        <v>15</v>
      </c>
      <c r="I2561" s="4" t="s">
        <v>2730</v>
      </c>
      <c r="J2561" s="4" t="s">
        <v>2731</v>
      </c>
      <c r="K2561" s="4" t="s">
        <v>35</v>
      </c>
      <c r="L2561" s="4" t="s">
        <v>3743</v>
      </c>
      <c r="M2561" s="4" t="s">
        <v>3746</v>
      </c>
      <c r="N2561" s="4" t="s">
        <v>3747</v>
      </c>
      <c r="O2561" s="17">
        <f>INDEX('список ID из СУЭ с должностями'!$A:$F,MATCH(E2561,'список ID из СУЭ с должностями'!$B:$B,0),5)</f>
        <v>0</v>
      </c>
    </row>
    <row r="2562" spans="1:15" ht="180">
      <c r="A2562" s="3" t="s">
        <v>10</v>
      </c>
      <c r="B2562" s="3" t="s">
        <v>11</v>
      </c>
      <c r="C2562" s="4">
        <v>2026</v>
      </c>
      <c r="D2562" s="5" t="s">
        <v>12</v>
      </c>
      <c r="E2562" s="4">
        <v>352</v>
      </c>
      <c r="F2562" s="4" t="s">
        <v>385</v>
      </c>
      <c r="G2562" s="4" t="s">
        <v>19</v>
      </c>
      <c r="H2562" s="4" t="s">
        <v>21</v>
      </c>
      <c r="I2562" s="4" t="s">
        <v>2732</v>
      </c>
      <c r="J2562" s="4" t="s">
        <v>2733</v>
      </c>
      <c r="K2562" s="4" t="s">
        <v>66</v>
      </c>
      <c r="L2562" s="4" t="s">
        <v>3743</v>
      </c>
      <c r="M2562" s="4" t="s">
        <v>3746</v>
      </c>
      <c r="N2562" s="4" t="s">
        <v>3747</v>
      </c>
      <c r="O2562" s="17">
        <f>INDEX('список ID из СУЭ с должностями'!$A:$F,MATCH(E2562,'список ID из СУЭ с должностями'!$B:$B,0),5)</f>
        <v>0</v>
      </c>
    </row>
    <row r="2563" spans="1:15" ht="90">
      <c r="A2563" s="3" t="s">
        <v>10</v>
      </c>
      <c r="B2563" s="3" t="s">
        <v>11</v>
      </c>
      <c r="C2563" s="4">
        <v>2026</v>
      </c>
      <c r="D2563" s="5" t="s">
        <v>12</v>
      </c>
      <c r="E2563" s="4">
        <v>352</v>
      </c>
      <c r="F2563" s="4" t="s">
        <v>385</v>
      </c>
      <c r="G2563" s="4" t="s">
        <v>19</v>
      </c>
      <c r="H2563" s="4" t="s">
        <v>15</v>
      </c>
      <c r="I2563" s="4" t="s">
        <v>2734</v>
      </c>
      <c r="J2563" s="4" t="s">
        <v>2735</v>
      </c>
      <c r="K2563" s="4" t="s">
        <v>25</v>
      </c>
      <c r="L2563" s="4" t="s">
        <v>3743</v>
      </c>
      <c r="M2563" s="4" t="s">
        <v>3746</v>
      </c>
      <c r="N2563" s="4" t="s">
        <v>3747</v>
      </c>
      <c r="O2563" s="17">
        <f>INDEX('список ID из СУЭ с должностями'!$A:$F,MATCH(E2563,'список ID из СУЭ с должностями'!$B:$B,0),5)</f>
        <v>0</v>
      </c>
    </row>
    <row r="2564" spans="1:15" ht="195">
      <c r="A2564" s="3" t="s">
        <v>10</v>
      </c>
      <c r="B2564" s="3" t="s">
        <v>11</v>
      </c>
      <c r="C2564" s="4">
        <v>2026</v>
      </c>
      <c r="D2564" s="5" t="s">
        <v>12</v>
      </c>
      <c r="E2564" s="4">
        <v>353</v>
      </c>
      <c r="F2564" s="4" t="s">
        <v>280</v>
      </c>
      <c r="G2564" s="4" t="s">
        <v>2736</v>
      </c>
      <c r="H2564" s="4" t="s">
        <v>15</v>
      </c>
      <c r="I2564" s="4" t="s">
        <v>2737</v>
      </c>
      <c r="J2564" s="4" t="s">
        <v>2738</v>
      </c>
      <c r="K2564" s="4" t="s">
        <v>2741</v>
      </c>
      <c r="L2564" s="4" t="s">
        <v>3743</v>
      </c>
      <c r="M2564" s="4" t="s">
        <v>3746</v>
      </c>
      <c r="N2564" s="4" t="s">
        <v>3778</v>
      </c>
      <c r="O2564" s="17">
        <f>INDEX('список ID из СУЭ с должностями'!$A:$F,MATCH(E2564,'список ID из СУЭ с должностями'!$B:$B,0),5)</f>
        <v>0</v>
      </c>
    </row>
    <row r="2565" spans="1:15" ht="195">
      <c r="A2565" s="3" t="s">
        <v>10</v>
      </c>
      <c r="B2565" s="3" t="s">
        <v>11</v>
      </c>
      <c r="C2565" s="4">
        <v>2026</v>
      </c>
      <c r="D2565" s="5" t="s">
        <v>12</v>
      </c>
      <c r="E2565" s="4">
        <v>353</v>
      </c>
      <c r="F2565" s="4" t="s">
        <v>280</v>
      </c>
      <c r="G2565" s="4" t="s">
        <v>2736</v>
      </c>
      <c r="H2565" s="4" t="s">
        <v>15</v>
      </c>
      <c r="I2565" s="4" t="s">
        <v>2742</v>
      </c>
      <c r="J2565" s="4" t="s">
        <v>2743</v>
      </c>
      <c r="K2565" s="4" t="s">
        <v>2744</v>
      </c>
      <c r="L2565" s="4" t="s">
        <v>3743</v>
      </c>
      <c r="M2565" s="4" t="s">
        <v>3746</v>
      </c>
      <c r="N2565" s="4" t="s">
        <v>3778</v>
      </c>
      <c r="O2565" s="17">
        <f>INDEX('список ID из СУЭ с должностями'!$A:$F,MATCH(E2565,'список ID из СУЭ с должностями'!$B:$B,0),5)</f>
        <v>0</v>
      </c>
    </row>
    <row r="2566" spans="1:15" ht="75">
      <c r="A2566" s="3" t="s">
        <v>10</v>
      </c>
      <c r="B2566" s="3" t="s">
        <v>11</v>
      </c>
      <c r="C2566" s="4">
        <v>2026</v>
      </c>
      <c r="D2566" s="5" t="s">
        <v>12</v>
      </c>
      <c r="E2566" s="4">
        <v>353</v>
      </c>
      <c r="F2566" s="4" t="s">
        <v>280</v>
      </c>
      <c r="G2566" s="4" t="s">
        <v>2736</v>
      </c>
      <c r="H2566" s="4" t="s">
        <v>21</v>
      </c>
      <c r="I2566" s="4" t="s">
        <v>1497</v>
      </c>
      <c r="J2566" s="4" t="s">
        <v>2745</v>
      </c>
      <c r="K2566" s="4" t="s">
        <v>1497</v>
      </c>
      <c r="L2566" s="4" t="s">
        <v>3743</v>
      </c>
      <c r="M2566" s="4" t="s">
        <v>3746</v>
      </c>
      <c r="N2566" s="4" t="s">
        <v>3778</v>
      </c>
      <c r="O2566" s="17">
        <f>INDEX('список ID из СУЭ с должностями'!$A:$F,MATCH(E2566,'список ID из СУЭ с должностями'!$B:$B,0),5)</f>
        <v>0</v>
      </c>
    </row>
    <row r="2567" spans="1:15" ht="180">
      <c r="A2567" s="3" t="s">
        <v>10</v>
      </c>
      <c r="B2567" s="3" t="s">
        <v>11</v>
      </c>
      <c r="C2567" s="4">
        <v>2026</v>
      </c>
      <c r="D2567" s="5" t="s">
        <v>12</v>
      </c>
      <c r="E2567" s="4">
        <v>353</v>
      </c>
      <c r="F2567" s="4" t="s">
        <v>280</v>
      </c>
      <c r="G2567" s="4" t="s">
        <v>2736</v>
      </c>
      <c r="H2567" s="4" t="s">
        <v>15</v>
      </c>
      <c r="I2567" s="4" t="s">
        <v>1495</v>
      </c>
      <c r="J2567" s="4" t="s">
        <v>2746</v>
      </c>
      <c r="K2567" s="4" t="s">
        <v>201</v>
      </c>
      <c r="L2567" s="4" t="s">
        <v>3743</v>
      </c>
      <c r="M2567" s="4" t="s">
        <v>3746</v>
      </c>
      <c r="N2567" s="4" t="s">
        <v>3778</v>
      </c>
      <c r="O2567" s="17">
        <f>INDEX('список ID из СУЭ с должностями'!$A:$F,MATCH(E2567,'список ID из СУЭ с должностями'!$B:$B,0),5)</f>
        <v>0</v>
      </c>
    </row>
    <row r="2568" spans="1:15" ht="225">
      <c r="A2568" s="3" t="s">
        <v>10</v>
      </c>
      <c r="B2568" s="3" t="s">
        <v>11</v>
      </c>
      <c r="C2568" s="4">
        <v>2026</v>
      </c>
      <c r="D2568" s="5" t="s">
        <v>12</v>
      </c>
      <c r="E2568" s="4">
        <v>353</v>
      </c>
      <c r="F2568" s="4" t="s">
        <v>280</v>
      </c>
      <c r="G2568" s="4" t="s">
        <v>2736</v>
      </c>
      <c r="H2568" s="4" t="s">
        <v>15</v>
      </c>
      <c r="I2568" s="4" t="s">
        <v>1499</v>
      </c>
      <c r="J2568" s="4" t="s">
        <v>2747</v>
      </c>
      <c r="K2568" s="4" t="s">
        <v>2748</v>
      </c>
      <c r="L2568" s="4" t="s">
        <v>3743</v>
      </c>
      <c r="M2568" s="4" t="s">
        <v>3746</v>
      </c>
      <c r="N2568" s="4" t="s">
        <v>3778</v>
      </c>
      <c r="O2568" s="17">
        <f>INDEX('список ID из СУЭ с должностями'!$A:$F,MATCH(E2568,'список ID из СУЭ с должностями'!$B:$B,0),5)</f>
        <v>0</v>
      </c>
    </row>
    <row r="2569" spans="1:15" ht="105">
      <c r="A2569" s="3" t="s">
        <v>10</v>
      </c>
      <c r="B2569" s="3" t="s">
        <v>11</v>
      </c>
      <c r="C2569" s="4">
        <v>2026</v>
      </c>
      <c r="D2569" s="5" t="s">
        <v>12</v>
      </c>
      <c r="E2569" s="4">
        <v>353</v>
      </c>
      <c r="F2569" s="4" t="s">
        <v>280</v>
      </c>
      <c r="G2569" s="4" t="s">
        <v>2736</v>
      </c>
      <c r="H2569" s="4" t="s">
        <v>15</v>
      </c>
      <c r="I2569" s="4" t="s">
        <v>2749</v>
      </c>
      <c r="J2569" s="4" t="s">
        <v>2750</v>
      </c>
      <c r="K2569" s="4" t="s">
        <v>201</v>
      </c>
      <c r="L2569" s="4" t="s">
        <v>3743</v>
      </c>
      <c r="M2569" s="4" t="s">
        <v>3746</v>
      </c>
      <c r="N2569" s="4" t="s">
        <v>3778</v>
      </c>
      <c r="O2569" s="17">
        <f>INDEX('список ID из СУЭ с должностями'!$A:$F,MATCH(E2569,'список ID из СУЭ с должностями'!$B:$B,0),5)</f>
        <v>0</v>
      </c>
    </row>
    <row r="2570" spans="1:15" ht="105">
      <c r="A2570" s="3" t="s">
        <v>10</v>
      </c>
      <c r="B2570" s="3" t="s">
        <v>11</v>
      </c>
      <c r="C2570" s="4">
        <v>2026</v>
      </c>
      <c r="D2570" s="5" t="s">
        <v>12</v>
      </c>
      <c r="E2570" s="4">
        <v>353</v>
      </c>
      <c r="F2570" s="4" t="s">
        <v>280</v>
      </c>
      <c r="G2570" s="4" t="s">
        <v>2736</v>
      </c>
      <c r="H2570" s="4" t="s">
        <v>15</v>
      </c>
      <c r="I2570" s="4" t="s">
        <v>1493</v>
      </c>
      <c r="J2570" s="4" t="s">
        <v>2751</v>
      </c>
      <c r="K2570" s="4" t="s">
        <v>201</v>
      </c>
      <c r="L2570" s="4" t="s">
        <v>3743</v>
      </c>
      <c r="M2570" s="4" t="s">
        <v>3746</v>
      </c>
      <c r="N2570" s="4" t="s">
        <v>3778</v>
      </c>
      <c r="O2570" s="17">
        <f>INDEX('список ID из СУЭ с должностями'!$A:$F,MATCH(E2570,'список ID из СУЭ с должностями'!$B:$B,0),5)</f>
        <v>0</v>
      </c>
    </row>
    <row r="2571" spans="1:15" ht="75">
      <c r="A2571" s="3" t="s">
        <v>10</v>
      </c>
      <c r="B2571" s="3" t="s">
        <v>11</v>
      </c>
      <c r="C2571" s="4">
        <v>2026</v>
      </c>
      <c r="D2571" s="5" t="s">
        <v>12</v>
      </c>
      <c r="E2571" s="4">
        <v>353</v>
      </c>
      <c r="F2571" s="4" t="s">
        <v>280</v>
      </c>
      <c r="G2571" s="4" t="s">
        <v>2736</v>
      </c>
      <c r="H2571" s="4" t="s">
        <v>15</v>
      </c>
      <c r="I2571" s="4" t="s">
        <v>1489</v>
      </c>
      <c r="J2571" s="4" t="s">
        <v>2752</v>
      </c>
      <c r="K2571" s="4" t="s">
        <v>35</v>
      </c>
      <c r="L2571" s="4" t="s">
        <v>3743</v>
      </c>
      <c r="M2571" s="4" t="s">
        <v>3746</v>
      </c>
      <c r="N2571" s="4" t="s">
        <v>3747</v>
      </c>
      <c r="O2571" s="17">
        <f>INDEX('список ID из СУЭ с должностями'!$A:$F,MATCH(E2571,'список ID из СУЭ с должностями'!$B:$B,0),5)</f>
        <v>0</v>
      </c>
    </row>
    <row r="2572" spans="1:15" ht="150">
      <c r="A2572" s="3" t="s">
        <v>10</v>
      </c>
      <c r="B2572" s="3" t="s">
        <v>11</v>
      </c>
      <c r="C2572" s="4">
        <v>2026</v>
      </c>
      <c r="D2572" s="5" t="s">
        <v>12</v>
      </c>
      <c r="E2572" s="4">
        <v>354</v>
      </c>
      <c r="F2572" s="4" t="s">
        <v>1290</v>
      </c>
      <c r="G2572" s="4" t="s">
        <v>320</v>
      </c>
      <c r="H2572" s="4" t="s">
        <v>15</v>
      </c>
      <c r="I2572" s="4" t="s">
        <v>2753</v>
      </c>
      <c r="J2572" s="4" t="s">
        <v>2754</v>
      </c>
      <c r="K2572" s="4" t="s">
        <v>52</v>
      </c>
      <c r="L2572" s="4" t="s">
        <v>3743</v>
      </c>
      <c r="M2572" s="4" t="s">
        <v>3746</v>
      </c>
      <c r="N2572" s="4" t="s">
        <v>3747</v>
      </c>
      <c r="O2572" s="17">
        <f>INDEX('список ID из СУЭ с должностями'!$A:$F,MATCH(E2572,'список ID из СУЭ с должностями'!$B:$B,0),5)</f>
        <v>0</v>
      </c>
    </row>
    <row r="2573" spans="1:15" ht="105">
      <c r="A2573" s="3" t="s">
        <v>10</v>
      </c>
      <c r="B2573" s="3" t="s">
        <v>11</v>
      </c>
      <c r="C2573" s="4">
        <v>2026</v>
      </c>
      <c r="D2573" s="5" t="s">
        <v>12</v>
      </c>
      <c r="E2573" s="4">
        <v>354</v>
      </c>
      <c r="F2573" s="4" t="s">
        <v>1290</v>
      </c>
      <c r="G2573" s="4" t="s">
        <v>320</v>
      </c>
      <c r="H2573" s="4" t="s">
        <v>15</v>
      </c>
      <c r="I2573" s="4" t="s">
        <v>2755</v>
      </c>
      <c r="J2573" s="4" t="s">
        <v>1072</v>
      </c>
      <c r="K2573" s="4" t="s">
        <v>52</v>
      </c>
      <c r="L2573" s="4" t="s">
        <v>3742</v>
      </c>
      <c r="M2573" s="4" t="s">
        <v>3746</v>
      </c>
      <c r="N2573" s="4" t="s">
        <v>3747</v>
      </c>
      <c r="O2573" s="17">
        <f>INDEX('список ID из СУЭ с должностями'!$A:$F,MATCH(E2573,'список ID из СУЭ с должностями'!$B:$B,0),5)</f>
        <v>0</v>
      </c>
    </row>
    <row r="2574" spans="1:15" ht="409.5">
      <c r="A2574" s="3" t="s">
        <v>10</v>
      </c>
      <c r="B2574" s="3" t="s">
        <v>11</v>
      </c>
      <c r="C2574" s="4">
        <v>2026</v>
      </c>
      <c r="D2574" s="5" t="s">
        <v>12</v>
      </c>
      <c r="E2574" s="4">
        <v>354</v>
      </c>
      <c r="F2574" s="4" t="s">
        <v>1290</v>
      </c>
      <c r="G2574" s="4" t="s">
        <v>320</v>
      </c>
      <c r="H2574" s="4" t="s">
        <v>15</v>
      </c>
      <c r="I2574" s="4" t="s">
        <v>2756</v>
      </c>
      <c r="J2574" s="4" t="s">
        <v>2757</v>
      </c>
      <c r="K2574" s="4" t="s">
        <v>52</v>
      </c>
      <c r="L2574" s="4" t="s">
        <v>3743</v>
      </c>
      <c r="M2574" s="4" t="s">
        <v>3746</v>
      </c>
      <c r="N2574" s="4" t="s">
        <v>3747</v>
      </c>
      <c r="O2574" s="17">
        <f>INDEX('список ID из СУЭ с должностями'!$A:$F,MATCH(E2574,'список ID из СУЭ с должностями'!$B:$B,0),5)</f>
        <v>0</v>
      </c>
    </row>
    <row r="2575" spans="1:15" ht="240">
      <c r="A2575" s="3" t="s">
        <v>10</v>
      </c>
      <c r="B2575" s="3" t="s">
        <v>11</v>
      </c>
      <c r="C2575" s="4">
        <v>2026</v>
      </c>
      <c r="D2575" s="5" t="s">
        <v>12</v>
      </c>
      <c r="E2575" s="4">
        <v>354</v>
      </c>
      <c r="F2575" s="4" t="s">
        <v>1290</v>
      </c>
      <c r="G2575" s="4" t="s">
        <v>320</v>
      </c>
      <c r="H2575" s="4" t="s">
        <v>21</v>
      </c>
      <c r="I2575" s="4" t="s">
        <v>1792</v>
      </c>
      <c r="J2575" s="4" t="s">
        <v>2758</v>
      </c>
      <c r="K2575" s="4" t="s">
        <v>52</v>
      </c>
      <c r="L2575" s="4" t="s">
        <v>3743</v>
      </c>
      <c r="M2575" s="4" t="s">
        <v>3746</v>
      </c>
      <c r="N2575" s="4" t="s">
        <v>3747</v>
      </c>
      <c r="O2575" s="17">
        <f>INDEX('список ID из СУЭ с должностями'!$A:$F,MATCH(E2575,'список ID из СУЭ с должностями'!$B:$B,0),5)</f>
        <v>0</v>
      </c>
    </row>
    <row r="2576" spans="1:15" ht="105">
      <c r="A2576" s="3" t="s">
        <v>10</v>
      </c>
      <c r="B2576" s="3" t="s">
        <v>11</v>
      </c>
      <c r="C2576" s="4">
        <v>2026</v>
      </c>
      <c r="D2576" s="5" t="s">
        <v>12</v>
      </c>
      <c r="E2576" s="4">
        <v>354</v>
      </c>
      <c r="F2576" s="4" t="s">
        <v>1290</v>
      </c>
      <c r="G2576" s="4" t="s">
        <v>320</v>
      </c>
      <c r="H2576" s="4" t="s">
        <v>21</v>
      </c>
      <c r="I2576" s="4" t="s">
        <v>1794</v>
      </c>
      <c r="J2576" s="4" t="s">
        <v>132</v>
      </c>
      <c r="K2576" s="4" t="s">
        <v>52</v>
      </c>
      <c r="L2576" s="4" t="s">
        <v>3742</v>
      </c>
      <c r="M2576" s="4" t="s">
        <v>3746</v>
      </c>
      <c r="N2576" s="4" t="s">
        <v>3747</v>
      </c>
      <c r="O2576" s="17">
        <f>INDEX('список ID из СУЭ с должностями'!$A:$F,MATCH(E2576,'список ID из СУЭ с должностями'!$B:$B,0),5)</f>
        <v>0</v>
      </c>
    </row>
    <row r="2577" spans="1:15" ht="135">
      <c r="A2577" s="3" t="s">
        <v>10</v>
      </c>
      <c r="B2577" s="3" t="s">
        <v>11</v>
      </c>
      <c r="C2577" s="4">
        <v>2026</v>
      </c>
      <c r="D2577" s="5" t="s">
        <v>12</v>
      </c>
      <c r="E2577" s="4">
        <v>354</v>
      </c>
      <c r="F2577" s="4" t="s">
        <v>1290</v>
      </c>
      <c r="G2577" s="4" t="s">
        <v>320</v>
      </c>
      <c r="H2577" s="4" t="s">
        <v>21</v>
      </c>
      <c r="I2577" s="4" t="s">
        <v>2759</v>
      </c>
      <c r="J2577" s="4" t="s">
        <v>2760</v>
      </c>
      <c r="K2577" s="4" t="s">
        <v>25</v>
      </c>
      <c r="L2577" s="4" t="s">
        <v>3743</v>
      </c>
      <c r="M2577" s="4" t="s">
        <v>3746</v>
      </c>
      <c r="N2577" s="4" t="s">
        <v>3747</v>
      </c>
      <c r="O2577" s="17">
        <f>INDEX('список ID из СУЭ с должностями'!$A:$F,MATCH(E2577,'список ID из СУЭ с должностями'!$B:$B,0),5)</f>
        <v>0</v>
      </c>
    </row>
    <row r="2578" spans="1:15" ht="315">
      <c r="A2578" s="3" t="s">
        <v>10</v>
      </c>
      <c r="B2578" s="3" t="s">
        <v>11</v>
      </c>
      <c r="C2578" s="4">
        <v>2026</v>
      </c>
      <c r="D2578" s="5" t="s">
        <v>12</v>
      </c>
      <c r="E2578" s="4">
        <v>354</v>
      </c>
      <c r="F2578" s="4" t="s">
        <v>1290</v>
      </c>
      <c r="G2578" s="4" t="s">
        <v>320</v>
      </c>
      <c r="H2578" s="4" t="s">
        <v>21</v>
      </c>
      <c r="I2578" s="4" t="s">
        <v>2761</v>
      </c>
      <c r="J2578" s="4" t="s">
        <v>2762</v>
      </c>
      <c r="K2578" s="4" t="s">
        <v>25</v>
      </c>
      <c r="L2578" s="4" t="s">
        <v>3743</v>
      </c>
      <c r="M2578" s="4" t="s">
        <v>3746</v>
      </c>
      <c r="N2578" s="4" t="s">
        <v>3747</v>
      </c>
      <c r="O2578" s="17">
        <f>INDEX('список ID из СУЭ с должностями'!$A:$F,MATCH(E2578,'список ID из СУЭ с должностями'!$B:$B,0),5)</f>
        <v>0</v>
      </c>
    </row>
    <row r="2579" spans="1:15" ht="60">
      <c r="A2579" s="3" t="s">
        <v>10</v>
      </c>
      <c r="B2579" s="3" t="s">
        <v>11</v>
      </c>
      <c r="C2579" s="4">
        <v>2026</v>
      </c>
      <c r="D2579" s="5" t="s">
        <v>12</v>
      </c>
      <c r="E2579" s="4">
        <v>355</v>
      </c>
      <c r="F2579" s="4" t="s">
        <v>307</v>
      </c>
      <c r="G2579" s="4" t="s">
        <v>869</v>
      </c>
      <c r="H2579" s="4" t="s">
        <v>15</v>
      </c>
      <c r="I2579" s="4" t="s">
        <v>2763</v>
      </c>
      <c r="J2579" s="4" t="s">
        <v>2764</v>
      </c>
      <c r="K2579" s="4" t="s">
        <v>23</v>
      </c>
      <c r="L2579" s="4" t="s">
        <v>3743</v>
      </c>
      <c r="M2579" s="4" t="s">
        <v>3748</v>
      </c>
      <c r="N2579" s="4" t="s">
        <v>3752</v>
      </c>
      <c r="O2579" s="17">
        <f>INDEX('список ID из СУЭ с должностями'!$A:$F,MATCH(E2579,'список ID из СУЭ с должностями'!$B:$B,0),5)</f>
        <v>0</v>
      </c>
    </row>
    <row r="2580" spans="1:15" ht="45">
      <c r="A2580" s="3" t="s">
        <v>10</v>
      </c>
      <c r="B2580" s="3" t="s">
        <v>11</v>
      </c>
      <c r="C2580" s="4">
        <v>2026</v>
      </c>
      <c r="D2580" s="5" t="s">
        <v>12</v>
      </c>
      <c r="E2580" s="4">
        <v>355</v>
      </c>
      <c r="F2580" s="4" t="s">
        <v>307</v>
      </c>
      <c r="G2580" s="4" t="s">
        <v>869</v>
      </c>
      <c r="H2580" s="4" t="s">
        <v>15</v>
      </c>
      <c r="I2580" s="4" t="s">
        <v>870</v>
      </c>
      <c r="J2580" s="4" t="s">
        <v>871</v>
      </c>
      <c r="K2580" s="4" t="s">
        <v>23</v>
      </c>
      <c r="L2580" s="4" t="s">
        <v>3742</v>
      </c>
      <c r="M2580" s="4" t="s">
        <v>3748</v>
      </c>
      <c r="N2580" s="4" t="s">
        <v>3752</v>
      </c>
      <c r="O2580" s="17">
        <f>INDEX('список ID из СУЭ с должностями'!$A:$F,MATCH(E2580,'список ID из СУЭ с должностями'!$B:$B,0),5)</f>
        <v>0</v>
      </c>
    </row>
    <row r="2581" spans="1:15" ht="165">
      <c r="A2581" s="3" t="s">
        <v>10</v>
      </c>
      <c r="B2581" s="3" t="s">
        <v>11</v>
      </c>
      <c r="C2581" s="4">
        <v>2026</v>
      </c>
      <c r="D2581" s="5" t="s">
        <v>12</v>
      </c>
      <c r="E2581" s="4">
        <v>355</v>
      </c>
      <c r="F2581" s="4" t="s">
        <v>307</v>
      </c>
      <c r="G2581" s="4" t="s">
        <v>869</v>
      </c>
      <c r="H2581" s="4" t="s">
        <v>15</v>
      </c>
      <c r="I2581" s="4" t="s">
        <v>874</v>
      </c>
      <c r="J2581" s="4" t="s">
        <v>875</v>
      </c>
      <c r="K2581" s="4" t="s">
        <v>30</v>
      </c>
      <c r="L2581" s="4" t="s">
        <v>3743</v>
      </c>
      <c r="M2581" s="4" t="s">
        <v>3746</v>
      </c>
      <c r="N2581" s="4" t="s">
        <v>3747</v>
      </c>
      <c r="O2581" s="17">
        <f>INDEX('список ID из СУЭ с должностями'!$A:$F,MATCH(E2581,'список ID из СУЭ с должностями'!$B:$B,0),5)</f>
        <v>0</v>
      </c>
    </row>
    <row r="2582" spans="1:15" ht="90">
      <c r="A2582" s="3" t="s">
        <v>10</v>
      </c>
      <c r="B2582" s="3" t="s">
        <v>11</v>
      </c>
      <c r="C2582" s="4">
        <v>2026</v>
      </c>
      <c r="D2582" s="5" t="s">
        <v>12</v>
      </c>
      <c r="E2582" s="4">
        <v>355</v>
      </c>
      <c r="F2582" s="4" t="s">
        <v>307</v>
      </c>
      <c r="G2582" s="4" t="s">
        <v>869</v>
      </c>
      <c r="H2582" s="4" t="s">
        <v>15</v>
      </c>
      <c r="I2582" s="4" t="s">
        <v>2451</v>
      </c>
      <c r="J2582" s="4" t="s">
        <v>2452</v>
      </c>
      <c r="K2582" s="4" t="s">
        <v>30</v>
      </c>
      <c r="L2582" s="4" t="s">
        <v>3743</v>
      </c>
      <c r="M2582" s="4" t="s">
        <v>3746</v>
      </c>
      <c r="N2582" s="4" t="s">
        <v>3747</v>
      </c>
      <c r="O2582" s="17">
        <f>INDEX('список ID из СУЭ с должностями'!$A:$F,MATCH(E2582,'список ID из СУЭ с должностями'!$B:$B,0),5)</f>
        <v>0</v>
      </c>
    </row>
    <row r="2583" spans="1:15" ht="45">
      <c r="A2583" s="3" t="s">
        <v>10</v>
      </c>
      <c r="B2583" s="3" t="s">
        <v>11</v>
      </c>
      <c r="C2583" s="4">
        <v>2026</v>
      </c>
      <c r="D2583" s="5" t="s">
        <v>12</v>
      </c>
      <c r="E2583" s="4">
        <v>355</v>
      </c>
      <c r="F2583" s="4" t="s">
        <v>307</v>
      </c>
      <c r="G2583" s="4" t="s">
        <v>869</v>
      </c>
      <c r="H2583" s="4" t="s">
        <v>21</v>
      </c>
      <c r="I2583" s="4" t="s">
        <v>878</v>
      </c>
      <c r="J2583" s="4" t="s">
        <v>879</v>
      </c>
      <c r="K2583" s="4" t="s">
        <v>52</v>
      </c>
      <c r="L2583" s="4" t="s">
        <v>3742</v>
      </c>
      <c r="M2583" s="4" t="s">
        <v>3746</v>
      </c>
      <c r="N2583" s="4" t="s">
        <v>3747</v>
      </c>
      <c r="O2583" s="17">
        <f>INDEX('список ID из СУЭ с должностями'!$A:$F,MATCH(E2583,'список ID из СУЭ с должностями'!$B:$B,0),5)</f>
        <v>0</v>
      </c>
    </row>
    <row r="2584" spans="1:15" ht="45">
      <c r="A2584" s="3" t="s">
        <v>10</v>
      </c>
      <c r="B2584" s="3" t="s">
        <v>11</v>
      </c>
      <c r="C2584" s="4">
        <v>2026</v>
      </c>
      <c r="D2584" s="5" t="s">
        <v>12</v>
      </c>
      <c r="E2584" s="4">
        <v>355</v>
      </c>
      <c r="F2584" s="4" t="s">
        <v>307</v>
      </c>
      <c r="G2584" s="4" t="s">
        <v>869</v>
      </c>
      <c r="H2584" s="4" t="s">
        <v>21</v>
      </c>
      <c r="I2584" s="4" t="s">
        <v>880</v>
      </c>
      <c r="J2584" s="4" t="s">
        <v>881</v>
      </c>
      <c r="K2584" s="4" t="s">
        <v>52</v>
      </c>
      <c r="L2584" s="4" t="s">
        <v>3742</v>
      </c>
      <c r="M2584" s="4" t="s">
        <v>3746</v>
      </c>
      <c r="N2584" s="4" t="s">
        <v>3747</v>
      </c>
      <c r="O2584" s="17">
        <f>INDEX('список ID из СУЭ с должностями'!$A:$F,MATCH(E2584,'список ID из СУЭ с должностями'!$B:$B,0),5)</f>
        <v>0</v>
      </c>
    </row>
    <row r="2585" spans="1:15" ht="45">
      <c r="A2585" s="3" t="s">
        <v>10</v>
      </c>
      <c r="B2585" s="3" t="s">
        <v>11</v>
      </c>
      <c r="C2585" s="4">
        <v>2026</v>
      </c>
      <c r="D2585" s="5" t="s">
        <v>12</v>
      </c>
      <c r="E2585" s="4">
        <v>355</v>
      </c>
      <c r="F2585" s="4" t="s">
        <v>307</v>
      </c>
      <c r="G2585" s="4" t="s">
        <v>869</v>
      </c>
      <c r="H2585" s="4" t="s">
        <v>21</v>
      </c>
      <c r="I2585" s="4" t="s">
        <v>882</v>
      </c>
      <c r="J2585" s="4" t="s">
        <v>883</v>
      </c>
      <c r="K2585" s="4" t="s">
        <v>52</v>
      </c>
      <c r="L2585" s="4" t="s">
        <v>3742</v>
      </c>
      <c r="M2585" s="4" t="s">
        <v>3746</v>
      </c>
      <c r="N2585" s="4" t="s">
        <v>3747</v>
      </c>
      <c r="O2585" s="17">
        <f>INDEX('список ID из СУЭ с должностями'!$A:$F,MATCH(E2585,'список ID из СУЭ с должностями'!$B:$B,0),5)</f>
        <v>0</v>
      </c>
    </row>
    <row r="2586" spans="1:15" ht="105">
      <c r="A2586" s="3" t="s">
        <v>10</v>
      </c>
      <c r="B2586" s="3" t="s">
        <v>11</v>
      </c>
      <c r="C2586" s="4">
        <v>2026</v>
      </c>
      <c r="D2586" s="5" t="s">
        <v>12</v>
      </c>
      <c r="E2586" s="4">
        <v>356</v>
      </c>
      <c r="F2586" s="4" t="s">
        <v>2228</v>
      </c>
      <c r="G2586" s="4" t="s">
        <v>2765</v>
      </c>
      <c r="H2586" s="4" t="s">
        <v>15</v>
      </c>
      <c r="I2586" s="4" t="s">
        <v>2766</v>
      </c>
      <c r="J2586" s="4" t="s">
        <v>2767</v>
      </c>
      <c r="K2586" s="4" t="s">
        <v>2238</v>
      </c>
      <c r="L2586" s="4" t="s">
        <v>3743</v>
      </c>
      <c r="M2586" s="4" t="s">
        <v>3746</v>
      </c>
      <c r="N2586" s="4" t="s">
        <v>3775</v>
      </c>
      <c r="O2586" s="17">
        <f>INDEX('список ID из СУЭ с должностями'!$A:$F,MATCH(E2586,'список ID из СУЭ с должностями'!$B:$B,0),5)</f>
        <v>0</v>
      </c>
    </row>
    <row r="2587" spans="1:15" ht="75">
      <c r="A2587" s="3" t="s">
        <v>10</v>
      </c>
      <c r="B2587" s="3" t="s">
        <v>11</v>
      </c>
      <c r="C2587" s="4">
        <v>2026</v>
      </c>
      <c r="D2587" s="5" t="s">
        <v>12</v>
      </c>
      <c r="E2587" s="4">
        <v>356</v>
      </c>
      <c r="F2587" s="4" t="s">
        <v>2228</v>
      </c>
      <c r="G2587" s="4" t="s">
        <v>2765</v>
      </c>
      <c r="H2587" s="4" t="s">
        <v>15</v>
      </c>
      <c r="I2587" s="4" t="s">
        <v>2768</v>
      </c>
      <c r="J2587" s="4" t="s">
        <v>2239</v>
      </c>
      <c r="K2587" s="4" t="s">
        <v>66</v>
      </c>
      <c r="L2587" s="4" t="s">
        <v>3743</v>
      </c>
      <c r="M2587" s="4" t="s">
        <v>3746</v>
      </c>
      <c r="N2587" s="4" t="s">
        <v>3747</v>
      </c>
      <c r="O2587" s="17">
        <f>INDEX('список ID из СУЭ с должностями'!$A:$F,MATCH(E2587,'список ID из СУЭ с должностями'!$B:$B,0),5)</f>
        <v>0</v>
      </c>
    </row>
    <row r="2588" spans="1:15" ht="75">
      <c r="A2588" s="3" t="s">
        <v>10</v>
      </c>
      <c r="B2588" s="3" t="s">
        <v>11</v>
      </c>
      <c r="C2588" s="4">
        <v>2026</v>
      </c>
      <c r="D2588" s="5" t="s">
        <v>12</v>
      </c>
      <c r="E2588" s="4">
        <v>356</v>
      </c>
      <c r="F2588" s="4" t="s">
        <v>2228</v>
      </c>
      <c r="G2588" s="4" t="s">
        <v>2765</v>
      </c>
      <c r="H2588" s="4" t="s">
        <v>15</v>
      </c>
      <c r="I2588" s="4" t="s">
        <v>2769</v>
      </c>
      <c r="J2588" s="4" t="s">
        <v>182</v>
      </c>
      <c r="K2588" s="4" t="s">
        <v>23</v>
      </c>
      <c r="L2588" s="4" t="s">
        <v>3742</v>
      </c>
      <c r="M2588" s="4" t="s">
        <v>3748</v>
      </c>
      <c r="N2588" s="4" t="s">
        <v>3749</v>
      </c>
      <c r="O2588" s="17">
        <f>INDEX('список ID из СУЭ с должностями'!$A:$F,MATCH(E2588,'список ID из СУЭ с должностями'!$B:$B,0),5)</f>
        <v>0</v>
      </c>
    </row>
    <row r="2589" spans="1:15" ht="135">
      <c r="A2589" s="3" t="s">
        <v>10</v>
      </c>
      <c r="B2589" s="3" t="s">
        <v>11</v>
      </c>
      <c r="C2589" s="4">
        <v>2026</v>
      </c>
      <c r="D2589" s="5" t="s">
        <v>12</v>
      </c>
      <c r="E2589" s="4">
        <v>356</v>
      </c>
      <c r="F2589" s="4" t="s">
        <v>2228</v>
      </c>
      <c r="G2589" s="4" t="s">
        <v>2765</v>
      </c>
      <c r="H2589" s="4" t="s">
        <v>41</v>
      </c>
      <c r="I2589" s="4" t="s">
        <v>2543</v>
      </c>
      <c r="J2589" s="4" t="s">
        <v>2770</v>
      </c>
      <c r="K2589" s="4" t="s">
        <v>23</v>
      </c>
      <c r="L2589" s="4" t="s">
        <v>3743</v>
      </c>
      <c r="M2589" s="4" t="s">
        <v>3748</v>
      </c>
      <c r="N2589" s="4" t="s">
        <v>3749</v>
      </c>
      <c r="O2589" s="17">
        <f>INDEX('список ID из СУЭ с должностями'!$A:$F,MATCH(E2589,'список ID из СУЭ с должностями'!$B:$B,0),5)</f>
        <v>0</v>
      </c>
    </row>
    <row r="2590" spans="1:15" ht="105">
      <c r="A2590" s="3" t="s">
        <v>10</v>
      </c>
      <c r="B2590" s="3" t="s">
        <v>11</v>
      </c>
      <c r="C2590" s="4">
        <v>2026</v>
      </c>
      <c r="D2590" s="5" t="s">
        <v>12</v>
      </c>
      <c r="E2590" s="4">
        <v>356</v>
      </c>
      <c r="F2590" s="4" t="s">
        <v>2228</v>
      </c>
      <c r="G2590" s="4" t="s">
        <v>2765</v>
      </c>
      <c r="H2590" s="4" t="s">
        <v>21</v>
      </c>
      <c r="I2590" s="4" t="s">
        <v>2541</v>
      </c>
      <c r="J2590" s="4" t="s">
        <v>2771</v>
      </c>
      <c r="K2590" s="4" t="s">
        <v>2238</v>
      </c>
      <c r="L2590" s="4" t="s">
        <v>3743</v>
      </c>
      <c r="M2590" s="4" t="s">
        <v>3746</v>
      </c>
      <c r="N2590" s="4" t="s">
        <v>3775</v>
      </c>
      <c r="O2590" s="17">
        <f>INDEX('список ID из СУЭ с должностями'!$A:$F,MATCH(E2590,'список ID из СУЭ с должностями'!$B:$B,0),5)</f>
        <v>0</v>
      </c>
    </row>
    <row r="2591" spans="1:15" ht="165">
      <c r="A2591" s="3" t="s">
        <v>10</v>
      </c>
      <c r="B2591" s="3" t="s">
        <v>11</v>
      </c>
      <c r="C2591" s="4">
        <v>2026</v>
      </c>
      <c r="D2591" s="5" t="s">
        <v>12</v>
      </c>
      <c r="E2591" s="4">
        <v>356</v>
      </c>
      <c r="F2591" s="4" t="s">
        <v>2228</v>
      </c>
      <c r="G2591" s="4" t="s">
        <v>2765</v>
      </c>
      <c r="H2591" s="4" t="s">
        <v>41</v>
      </c>
      <c r="I2591" s="4" t="s">
        <v>2772</v>
      </c>
      <c r="J2591" s="4" t="s">
        <v>2773</v>
      </c>
      <c r="K2591" s="4" t="s">
        <v>2238</v>
      </c>
      <c r="L2591" s="4" t="s">
        <v>3743</v>
      </c>
      <c r="M2591" s="4" t="s">
        <v>3746</v>
      </c>
      <c r="N2591" s="4" t="s">
        <v>3775</v>
      </c>
      <c r="O2591" s="17">
        <f>INDEX('список ID из СУЭ с должностями'!$A:$F,MATCH(E2591,'список ID из СУЭ с должностями'!$B:$B,0),5)</f>
        <v>0</v>
      </c>
    </row>
    <row r="2592" spans="1:15" ht="165">
      <c r="A2592" s="3" t="s">
        <v>10</v>
      </c>
      <c r="B2592" s="3" t="s">
        <v>11</v>
      </c>
      <c r="C2592" s="4">
        <v>2026</v>
      </c>
      <c r="D2592" s="5" t="s">
        <v>12</v>
      </c>
      <c r="E2592" s="4">
        <v>357</v>
      </c>
      <c r="F2592" s="4" t="s">
        <v>280</v>
      </c>
      <c r="G2592" s="4" t="s">
        <v>1056</v>
      </c>
      <c r="H2592" s="4" t="s">
        <v>15</v>
      </c>
      <c r="I2592" s="4" t="s">
        <v>1057</v>
      </c>
      <c r="J2592" s="4" t="s">
        <v>1058</v>
      </c>
      <c r="K2592" s="4" t="s">
        <v>55</v>
      </c>
      <c r="L2592" s="4" t="s">
        <v>3743</v>
      </c>
      <c r="M2592" s="4" t="s">
        <v>3746</v>
      </c>
      <c r="N2592" s="4" t="s">
        <v>3747</v>
      </c>
      <c r="O2592" s="17">
        <f>INDEX('список ID из СУЭ с должностями'!$A:$F,MATCH(E2592,'список ID из СУЭ с должностями'!$B:$B,0),5)</f>
        <v>0</v>
      </c>
    </row>
    <row r="2593" spans="1:15" ht="135">
      <c r="A2593" s="3" t="s">
        <v>10</v>
      </c>
      <c r="B2593" s="3" t="s">
        <v>11</v>
      </c>
      <c r="C2593" s="4">
        <v>2026</v>
      </c>
      <c r="D2593" s="5" t="s">
        <v>12</v>
      </c>
      <c r="E2593" s="4">
        <v>357</v>
      </c>
      <c r="F2593" s="4" t="s">
        <v>280</v>
      </c>
      <c r="G2593" s="4" t="s">
        <v>1056</v>
      </c>
      <c r="H2593" s="4" t="s">
        <v>15</v>
      </c>
      <c r="I2593" s="4" t="s">
        <v>318</v>
      </c>
      <c r="J2593" s="4" t="s">
        <v>319</v>
      </c>
      <c r="K2593" s="4" t="s">
        <v>25</v>
      </c>
      <c r="L2593" s="4" t="s">
        <v>3743</v>
      </c>
      <c r="M2593" s="4" t="s">
        <v>3746</v>
      </c>
      <c r="N2593" s="4" t="s">
        <v>3747</v>
      </c>
      <c r="O2593" s="17">
        <f>INDEX('список ID из СУЭ с должностями'!$A:$F,MATCH(E2593,'список ID из СУЭ с должностями'!$B:$B,0),5)</f>
        <v>0</v>
      </c>
    </row>
    <row r="2594" spans="1:15" ht="105">
      <c r="A2594" s="3" t="s">
        <v>10</v>
      </c>
      <c r="B2594" s="3" t="s">
        <v>11</v>
      </c>
      <c r="C2594" s="4">
        <v>2026</v>
      </c>
      <c r="D2594" s="5" t="s">
        <v>12</v>
      </c>
      <c r="E2594" s="4">
        <v>357</v>
      </c>
      <c r="F2594" s="4" t="s">
        <v>280</v>
      </c>
      <c r="G2594" s="4" t="s">
        <v>1056</v>
      </c>
      <c r="H2594" s="4" t="s">
        <v>15</v>
      </c>
      <c r="I2594" s="4" t="s">
        <v>356</v>
      </c>
      <c r="J2594" s="4" t="s">
        <v>357</v>
      </c>
      <c r="K2594" s="4" t="s">
        <v>38</v>
      </c>
      <c r="L2594" s="4" t="s">
        <v>3743</v>
      </c>
      <c r="M2594" s="4" t="s">
        <v>3746</v>
      </c>
      <c r="N2594" s="4" t="s">
        <v>3747</v>
      </c>
      <c r="O2594" s="17">
        <f>INDEX('список ID из СУЭ с должностями'!$A:$F,MATCH(E2594,'список ID из СУЭ с должностями'!$B:$B,0),5)</f>
        <v>0</v>
      </c>
    </row>
    <row r="2595" spans="1:15" ht="315">
      <c r="A2595" s="3" t="s">
        <v>10</v>
      </c>
      <c r="B2595" s="3" t="s">
        <v>11</v>
      </c>
      <c r="C2595" s="4">
        <v>2026</v>
      </c>
      <c r="D2595" s="5" t="s">
        <v>12</v>
      </c>
      <c r="E2595" s="4">
        <v>357</v>
      </c>
      <c r="F2595" s="4" t="s">
        <v>280</v>
      </c>
      <c r="G2595" s="4" t="s">
        <v>1056</v>
      </c>
      <c r="H2595" s="4" t="s">
        <v>15</v>
      </c>
      <c r="I2595" s="4" t="s">
        <v>352</v>
      </c>
      <c r="J2595" s="4" t="s">
        <v>823</v>
      </c>
      <c r="K2595" s="4" t="s">
        <v>25</v>
      </c>
      <c r="L2595" s="4" t="s">
        <v>3743</v>
      </c>
      <c r="M2595" s="4" t="s">
        <v>3746</v>
      </c>
      <c r="N2595" s="4" t="s">
        <v>3747</v>
      </c>
      <c r="O2595" s="17">
        <f>INDEX('список ID из СУЭ с должностями'!$A:$F,MATCH(E2595,'список ID из СУЭ с должностями'!$B:$B,0),5)</f>
        <v>0</v>
      </c>
    </row>
    <row r="2596" spans="1:15" ht="409.5">
      <c r="A2596" s="3" t="s">
        <v>10</v>
      </c>
      <c r="B2596" s="3" t="s">
        <v>11</v>
      </c>
      <c r="C2596" s="4">
        <v>2026</v>
      </c>
      <c r="D2596" s="5" t="s">
        <v>12</v>
      </c>
      <c r="E2596" s="4">
        <v>357</v>
      </c>
      <c r="F2596" s="4" t="s">
        <v>280</v>
      </c>
      <c r="G2596" s="4" t="s">
        <v>1056</v>
      </c>
      <c r="H2596" s="4" t="s">
        <v>15</v>
      </c>
      <c r="I2596" s="4" t="s">
        <v>354</v>
      </c>
      <c r="J2596" s="4" t="s">
        <v>1059</v>
      </c>
      <c r="K2596" s="4" t="s">
        <v>25</v>
      </c>
      <c r="L2596" s="4" t="s">
        <v>3743</v>
      </c>
      <c r="M2596" s="4" t="s">
        <v>3746</v>
      </c>
      <c r="N2596" s="4" t="s">
        <v>3747</v>
      </c>
      <c r="O2596" s="17">
        <f>INDEX('список ID из СУЭ с должностями'!$A:$F,MATCH(E2596,'список ID из СУЭ с должностями'!$B:$B,0),5)</f>
        <v>0</v>
      </c>
    </row>
    <row r="2597" spans="1:15" ht="315">
      <c r="A2597" s="3" t="s">
        <v>10</v>
      </c>
      <c r="B2597" s="3" t="s">
        <v>11</v>
      </c>
      <c r="C2597" s="4">
        <v>2026</v>
      </c>
      <c r="D2597" s="5" t="s">
        <v>12</v>
      </c>
      <c r="E2597" s="4">
        <v>357</v>
      </c>
      <c r="F2597" s="4" t="s">
        <v>280</v>
      </c>
      <c r="G2597" s="4" t="s">
        <v>1056</v>
      </c>
      <c r="H2597" s="4" t="s">
        <v>15</v>
      </c>
      <c r="I2597" s="4" t="s">
        <v>28</v>
      </c>
      <c r="J2597" s="4" t="s">
        <v>824</v>
      </c>
      <c r="K2597" s="4" t="s">
        <v>38</v>
      </c>
      <c r="L2597" s="4" t="s">
        <v>3743</v>
      </c>
      <c r="M2597" s="4" t="s">
        <v>3746</v>
      </c>
      <c r="N2597" s="4" t="s">
        <v>3747</v>
      </c>
      <c r="O2597" s="17">
        <f>INDEX('список ID из СУЭ с должностями'!$A:$F,MATCH(E2597,'список ID из СУЭ с должностями'!$B:$B,0),5)</f>
        <v>0</v>
      </c>
    </row>
    <row r="2598" spans="1:15" ht="105">
      <c r="A2598" s="3" t="s">
        <v>10</v>
      </c>
      <c r="B2598" s="3" t="s">
        <v>11</v>
      </c>
      <c r="C2598" s="4">
        <v>2026</v>
      </c>
      <c r="D2598" s="5" t="s">
        <v>12</v>
      </c>
      <c r="E2598" s="4">
        <v>357</v>
      </c>
      <c r="F2598" s="4" t="s">
        <v>280</v>
      </c>
      <c r="G2598" s="4" t="s">
        <v>1056</v>
      </c>
      <c r="H2598" s="4" t="s">
        <v>15</v>
      </c>
      <c r="I2598" s="4" t="s">
        <v>358</v>
      </c>
      <c r="J2598" s="4" t="s">
        <v>2774</v>
      </c>
      <c r="K2598" s="4" t="s">
        <v>66</v>
      </c>
      <c r="L2598" s="4" t="s">
        <v>3743</v>
      </c>
      <c r="M2598" s="4" t="s">
        <v>3746</v>
      </c>
      <c r="N2598" s="4" t="s">
        <v>3747</v>
      </c>
      <c r="O2598" s="17">
        <f>INDEX('список ID из СУЭ с должностями'!$A:$F,MATCH(E2598,'список ID из СУЭ с должностями'!$B:$B,0),5)</f>
        <v>0</v>
      </c>
    </row>
    <row r="2599" spans="1:15" ht="330">
      <c r="A2599" s="3" t="s">
        <v>10</v>
      </c>
      <c r="B2599" s="3" t="s">
        <v>11</v>
      </c>
      <c r="C2599" s="4">
        <v>2026</v>
      </c>
      <c r="D2599" s="5" t="s">
        <v>12</v>
      </c>
      <c r="E2599" s="4">
        <v>357</v>
      </c>
      <c r="F2599" s="4" t="s">
        <v>280</v>
      </c>
      <c r="G2599" s="4" t="s">
        <v>1056</v>
      </c>
      <c r="H2599" s="4" t="s">
        <v>15</v>
      </c>
      <c r="I2599" s="4" t="s">
        <v>323</v>
      </c>
      <c r="J2599" s="4" t="s">
        <v>826</v>
      </c>
      <c r="K2599" s="4" t="s">
        <v>151</v>
      </c>
      <c r="L2599" s="4" t="s">
        <v>3743</v>
      </c>
      <c r="M2599" s="4" t="s">
        <v>3746</v>
      </c>
      <c r="N2599" s="4" t="s">
        <v>3747</v>
      </c>
      <c r="O2599" s="17">
        <f>INDEX('список ID из СУЭ с должностями'!$A:$F,MATCH(E2599,'список ID из СУЭ с должностями'!$B:$B,0),5)</f>
        <v>0</v>
      </c>
    </row>
    <row r="2600" spans="1:15" ht="330">
      <c r="A2600" s="3" t="s">
        <v>10</v>
      </c>
      <c r="B2600" s="3" t="s">
        <v>11</v>
      </c>
      <c r="C2600" s="4">
        <v>2026</v>
      </c>
      <c r="D2600" s="5" t="s">
        <v>12</v>
      </c>
      <c r="E2600" s="4">
        <v>357</v>
      </c>
      <c r="F2600" s="4" t="s">
        <v>280</v>
      </c>
      <c r="G2600" s="4" t="s">
        <v>1056</v>
      </c>
      <c r="H2600" s="4" t="s">
        <v>15</v>
      </c>
      <c r="I2600" s="4" t="s">
        <v>325</v>
      </c>
      <c r="J2600" s="4" t="s">
        <v>1060</v>
      </c>
      <c r="K2600" s="4" t="s">
        <v>35</v>
      </c>
      <c r="L2600" s="4" t="s">
        <v>3743</v>
      </c>
      <c r="M2600" s="4" t="s">
        <v>3746</v>
      </c>
      <c r="N2600" s="4" t="s">
        <v>3747</v>
      </c>
      <c r="O2600" s="17">
        <f>INDEX('список ID из СУЭ с должностями'!$A:$F,MATCH(E2600,'список ID из СУЭ с должностями'!$B:$B,0),5)</f>
        <v>0</v>
      </c>
    </row>
    <row r="2601" spans="1:15" ht="45">
      <c r="A2601" s="3" t="s">
        <v>10</v>
      </c>
      <c r="B2601" s="3" t="s">
        <v>11</v>
      </c>
      <c r="C2601" s="4">
        <v>2026</v>
      </c>
      <c r="D2601" s="5" t="s">
        <v>12</v>
      </c>
      <c r="E2601" s="4">
        <v>358</v>
      </c>
      <c r="F2601" s="4" t="s">
        <v>385</v>
      </c>
      <c r="G2601" s="4" t="s">
        <v>869</v>
      </c>
      <c r="H2601" s="4" t="s">
        <v>15</v>
      </c>
      <c r="I2601" s="4" t="s">
        <v>870</v>
      </c>
      <c r="J2601" s="4" t="s">
        <v>2454</v>
      </c>
      <c r="K2601" s="4" t="s">
        <v>35</v>
      </c>
      <c r="L2601" s="4" t="s">
        <v>3742</v>
      </c>
      <c r="M2601" s="4" t="s">
        <v>3746</v>
      </c>
      <c r="N2601" s="4" t="s">
        <v>3747</v>
      </c>
      <c r="O2601" s="17">
        <f>INDEX('список ID из СУЭ с должностями'!$A:$F,MATCH(E2601,'список ID из СУЭ с должностями'!$B:$B,0),5)</f>
        <v>0</v>
      </c>
    </row>
    <row r="2602" spans="1:15" ht="75">
      <c r="A2602" s="3" t="s">
        <v>10</v>
      </c>
      <c r="B2602" s="3" t="s">
        <v>11</v>
      </c>
      <c r="C2602" s="4">
        <v>2026</v>
      </c>
      <c r="D2602" s="5" t="s">
        <v>12</v>
      </c>
      <c r="E2602" s="4">
        <v>358</v>
      </c>
      <c r="F2602" s="4" t="s">
        <v>385</v>
      </c>
      <c r="G2602" s="4" t="s">
        <v>869</v>
      </c>
      <c r="H2602" s="4" t="s">
        <v>21</v>
      </c>
      <c r="I2602" s="4" t="s">
        <v>25</v>
      </c>
      <c r="J2602" s="4" t="s">
        <v>2775</v>
      </c>
      <c r="K2602" s="4" t="s">
        <v>25</v>
      </c>
      <c r="L2602" s="4" t="s">
        <v>3743</v>
      </c>
      <c r="M2602" s="4" t="s">
        <v>3746</v>
      </c>
      <c r="N2602" s="4" t="s">
        <v>3747</v>
      </c>
      <c r="O2602" s="17">
        <f>INDEX('список ID из СУЭ с должностями'!$A:$F,MATCH(E2602,'список ID из СУЭ с должностями'!$B:$B,0),5)</f>
        <v>0</v>
      </c>
    </row>
    <row r="2603" spans="1:15" ht="165">
      <c r="A2603" s="3" t="s">
        <v>10</v>
      </c>
      <c r="B2603" s="3" t="s">
        <v>11</v>
      </c>
      <c r="C2603" s="4">
        <v>2026</v>
      </c>
      <c r="D2603" s="5" t="s">
        <v>12</v>
      </c>
      <c r="E2603" s="4">
        <v>358</v>
      </c>
      <c r="F2603" s="4" t="s">
        <v>385</v>
      </c>
      <c r="G2603" s="4" t="s">
        <v>869</v>
      </c>
      <c r="H2603" s="4" t="s">
        <v>15</v>
      </c>
      <c r="I2603" s="4" t="s">
        <v>874</v>
      </c>
      <c r="J2603" s="4" t="s">
        <v>875</v>
      </c>
      <c r="K2603" s="4" t="s">
        <v>30</v>
      </c>
      <c r="L2603" s="4" t="s">
        <v>3743</v>
      </c>
      <c r="M2603" s="4" t="s">
        <v>3746</v>
      </c>
      <c r="N2603" s="4" t="s">
        <v>3747</v>
      </c>
      <c r="O2603" s="17">
        <f>INDEX('список ID из СУЭ с должностями'!$A:$F,MATCH(E2603,'список ID из СУЭ с должностями'!$B:$B,0),5)</f>
        <v>0</v>
      </c>
    </row>
    <row r="2604" spans="1:15" ht="90">
      <c r="A2604" s="3" t="s">
        <v>10</v>
      </c>
      <c r="B2604" s="3" t="s">
        <v>11</v>
      </c>
      <c r="C2604" s="4">
        <v>2026</v>
      </c>
      <c r="D2604" s="5" t="s">
        <v>12</v>
      </c>
      <c r="E2604" s="4">
        <v>358</v>
      </c>
      <c r="F2604" s="4" t="s">
        <v>385</v>
      </c>
      <c r="G2604" s="4" t="s">
        <v>869</v>
      </c>
      <c r="H2604" s="4" t="s">
        <v>15</v>
      </c>
      <c r="I2604" s="4" t="s">
        <v>2451</v>
      </c>
      <c r="J2604" s="4" t="s">
        <v>2452</v>
      </c>
      <c r="K2604" s="4" t="s">
        <v>30</v>
      </c>
      <c r="L2604" s="4" t="s">
        <v>3743</v>
      </c>
      <c r="M2604" s="4" t="s">
        <v>3746</v>
      </c>
      <c r="N2604" s="4" t="s">
        <v>3747</v>
      </c>
      <c r="O2604" s="17">
        <f>INDEX('список ID из СУЭ с должностями'!$A:$F,MATCH(E2604,'список ID из СУЭ с должностями'!$B:$B,0),5)</f>
        <v>0</v>
      </c>
    </row>
    <row r="2605" spans="1:15" ht="90">
      <c r="A2605" s="3" t="s">
        <v>10</v>
      </c>
      <c r="B2605" s="3" t="s">
        <v>11</v>
      </c>
      <c r="C2605" s="4">
        <v>2026</v>
      </c>
      <c r="D2605" s="5" t="s">
        <v>12</v>
      </c>
      <c r="E2605" s="4">
        <v>358</v>
      </c>
      <c r="F2605" s="4" t="s">
        <v>385</v>
      </c>
      <c r="G2605" s="4" t="s">
        <v>869</v>
      </c>
      <c r="H2605" s="4" t="s">
        <v>15</v>
      </c>
      <c r="I2605" s="4" t="s">
        <v>2449</v>
      </c>
      <c r="J2605" s="4" t="s">
        <v>2450</v>
      </c>
      <c r="K2605" s="4" t="s">
        <v>30</v>
      </c>
      <c r="L2605" s="4" t="s">
        <v>3743</v>
      </c>
      <c r="M2605" s="4" t="s">
        <v>3746</v>
      </c>
      <c r="N2605" s="4" t="s">
        <v>3747</v>
      </c>
      <c r="O2605" s="17">
        <f>INDEX('список ID из СУЭ с должностями'!$A:$F,MATCH(E2605,'список ID из СУЭ с должностями'!$B:$B,0),5)</f>
        <v>0</v>
      </c>
    </row>
    <row r="2606" spans="1:15" ht="90">
      <c r="A2606" s="3" t="s">
        <v>10</v>
      </c>
      <c r="B2606" s="3" t="s">
        <v>11</v>
      </c>
      <c r="C2606" s="4">
        <v>2026</v>
      </c>
      <c r="D2606" s="5" t="s">
        <v>12</v>
      </c>
      <c r="E2606" s="4">
        <v>358</v>
      </c>
      <c r="F2606" s="4" t="s">
        <v>385</v>
      </c>
      <c r="G2606" s="4" t="s">
        <v>869</v>
      </c>
      <c r="H2606" s="4" t="s">
        <v>15</v>
      </c>
      <c r="I2606" s="4" t="s">
        <v>876</v>
      </c>
      <c r="J2606" s="4" t="s">
        <v>877</v>
      </c>
      <c r="K2606" s="4" t="s">
        <v>30</v>
      </c>
      <c r="L2606" s="4" t="s">
        <v>3743</v>
      </c>
      <c r="M2606" s="4" t="s">
        <v>3746</v>
      </c>
      <c r="N2606" s="4" t="s">
        <v>3747</v>
      </c>
      <c r="O2606" s="17">
        <f>INDEX('список ID из СУЭ с должностями'!$A:$F,MATCH(E2606,'список ID из СУЭ с должностями'!$B:$B,0),5)</f>
        <v>0</v>
      </c>
    </row>
    <row r="2607" spans="1:15" ht="45">
      <c r="A2607" s="3" t="s">
        <v>10</v>
      </c>
      <c r="B2607" s="3" t="s">
        <v>11</v>
      </c>
      <c r="C2607" s="4">
        <v>2026</v>
      </c>
      <c r="D2607" s="5" t="s">
        <v>12</v>
      </c>
      <c r="E2607" s="4">
        <v>358</v>
      </c>
      <c r="F2607" s="4" t="s">
        <v>385</v>
      </c>
      <c r="G2607" s="4" t="s">
        <v>869</v>
      </c>
      <c r="H2607" s="4" t="s">
        <v>21</v>
      </c>
      <c r="I2607" s="4" t="s">
        <v>878</v>
      </c>
      <c r="J2607" s="4" t="s">
        <v>879</v>
      </c>
      <c r="K2607" s="4" t="s">
        <v>52</v>
      </c>
      <c r="L2607" s="4" t="s">
        <v>3742</v>
      </c>
      <c r="M2607" s="4" t="s">
        <v>3746</v>
      </c>
      <c r="N2607" s="4" t="s">
        <v>3747</v>
      </c>
      <c r="O2607" s="17">
        <f>INDEX('список ID из СУЭ с должностями'!$A:$F,MATCH(E2607,'список ID из СУЭ с должностями'!$B:$B,0),5)</f>
        <v>0</v>
      </c>
    </row>
    <row r="2608" spans="1:15" ht="45">
      <c r="A2608" s="3" t="s">
        <v>10</v>
      </c>
      <c r="B2608" s="3" t="s">
        <v>11</v>
      </c>
      <c r="C2608" s="4">
        <v>2026</v>
      </c>
      <c r="D2608" s="5" t="s">
        <v>12</v>
      </c>
      <c r="E2608" s="4">
        <v>358</v>
      </c>
      <c r="F2608" s="4" t="s">
        <v>385</v>
      </c>
      <c r="G2608" s="4" t="s">
        <v>869</v>
      </c>
      <c r="H2608" s="4" t="s">
        <v>21</v>
      </c>
      <c r="I2608" s="4" t="s">
        <v>880</v>
      </c>
      <c r="J2608" s="4" t="s">
        <v>881</v>
      </c>
      <c r="K2608" s="4" t="s">
        <v>52</v>
      </c>
      <c r="L2608" s="4" t="s">
        <v>3742</v>
      </c>
      <c r="M2608" s="4" t="s">
        <v>3746</v>
      </c>
      <c r="N2608" s="4" t="s">
        <v>3747</v>
      </c>
      <c r="O2608" s="17">
        <f>INDEX('список ID из СУЭ с должностями'!$A:$F,MATCH(E2608,'список ID из СУЭ с должностями'!$B:$B,0),5)</f>
        <v>0</v>
      </c>
    </row>
    <row r="2609" spans="1:15" ht="45">
      <c r="A2609" s="3" t="s">
        <v>10</v>
      </c>
      <c r="B2609" s="3" t="s">
        <v>11</v>
      </c>
      <c r="C2609" s="4">
        <v>2026</v>
      </c>
      <c r="D2609" s="5" t="s">
        <v>12</v>
      </c>
      <c r="E2609" s="4">
        <v>358</v>
      </c>
      <c r="F2609" s="4" t="s">
        <v>385</v>
      </c>
      <c r="G2609" s="4" t="s">
        <v>869</v>
      </c>
      <c r="H2609" s="4" t="s">
        <v>21</v>
      </c>
      <c r="I2609" s="4" t="s">
        <v>882</v>
      </c>
      <c r="J2609" s="4" t="s">
        <v>883</v>
      </c>
      <c r="K2609" s="4" t="s">
        <v>52</v>
      </c>
      <c r="L2609" s="4" t="s">
        <v>3742</v>
      </c>
      <c r="M2609" s="4" t="s">
        <v>3746</v>
      </c>
      <c r="N2609" s="4" t="s">
        <v>3747</v>
      </c>
      <c r="O2609" s="17">
        <f>INDEX('список ID из СУЭ с должностями'!$A:$F,MATCH(E2609,'список ID из СУЭ с должностями'!$B:$B,0),5)</f>
        <v>0</v>
      </c>
    </row>
    <row r="2610" spans="1:15" ht="60">
      <c r="A2610" s="3" t="s">
        <v>10</v>
      </c>
      <c r="B2610" s="3" t="s">
        <v>11</v>
      </c>
      <c r="C2610" s="4">
        <v>2026</v>
      </c>
      <c r="D2610" s="5" t="s">
        <v>12</v>
      </c>
      <c r="E2610" s="4">
        <v>359</v>
      </c>
      <c r="F2610" s="4" t="s">
        <v>385</v>
      </c>
      <c r="G2610" s="4" t="s">
        <v>386</v>
      </c>
      <c r="H2610" s="4" t="s">
        <v>21</v>
      </c>
      <c r="I2610" s="4" t="s">
        <v>1561</v>
      </c>
      <c r="J2610" s="4" t="s">
        <v>394</v>
      </c>
      <c r="K2610" s="4" t="s">
        <v>151</v>
      </c>
      <c r="L2610" s="4" t="s">
        <v>3742</v>
      </c>
      <c r="M2610" s="4" t="s">
        <v>3746</v>
      </c>
      <c r="N2610" s="4" t="s">
        <v>3747</v>
      </c>
      <c r="O2610" s="17">
        <f>INDEX('список ID из СУЭ с должностями'!$A:$F,MATCH(E2610,'список ID из СУЭ с должностями'!$B:$B,0),5)</f>
        <v>0</v>
      </c>
    </row>
    <row r="2611" spans="1:15" ht="45">
      <c r="A2611" s="3" t="s">
        <v>10</v>
      </c>
      <c r="B2611" s="3" t="s">
        <v>11</v>
      </c>
      <c r="C2611" s="4">
        <v>2026</v>
      </c>
      <c r="D2611" s="5" t="s">
        <v>12</v>
      </c>
      <c r="E2611" s="4">
        <v>359</v>
      </c>
      <c r="F2611" s="4" t="s">
        <v>385</v>
      </c>
      <c r="G2611" s="4" t="s">
        <v>386</v>
      </c>
      <c r="H2611" s="4" t="s">
        <v>41</v>
      </c>
      <c r="I2611" s="4" t="s">
        <v>401</v>
      </c>
      <c r="J2611" s="4" t="s">
        <v>402</v>
      </c>
      <c r="K2611" s="4" t="s">
        <v>66</v>
      </c>
      <c r="L2611" s="4" t="s">
        <v>3742</v>
      </c>
      <c r="M2611" s="4" t="s">
        <v>3746</v>
      </c>
      <c r="N2611" s="4" t="s">
        <v>3747</v>
      </c>
      <c r="O2611" s="17">
        <f>INDEX('список ID из СУЭ с должностями'!$A:$F,MATCH(E2611,'список ID из СУЭ с должностями'!$B:$B,0),5)</f>
        <v>0</v>
      </c>
    </row>
    <row r="2612" spans="1:15" ht="45">
      <c r="A2612" s="3" t="s">
        <v>10</v>
      </c>
      <c r="B2612" s="3" t="s">
        <v>11</v>
      </c>
      <c r="C2612" s="4">
        <v>2026</v>
      </c>
      <c r="D2612" s="5" t="s">
        <v>12</v>
      </c>
      <c r="E2612" s="4">
        <v>359</v>
      </c>
      <c r="F2612" s="4" t="s">
        <v>385</v>
      </c>
      <c r="G2612" s="4" t="s">
        <v>386</v>
      </c>
      <c r="H2612" s="4" t="s">
        <v>15</v>
      </c>
      <c r="I2612" s="4" t="s">
        <v>2518</v>
      </c>
      <c r="J2612" s="4" t="s">
        <v>388</v>
      </c>
      <c r="K2612" s="4" t="s">
        <v>66</v>
      </c>
      <c r="L2612" s="4" t="s">
        <v>3742</v>
      </c>
      <c r="M2612" s="4" t="s">
        <v>3746</v>
      </c>
      <c r="N2612" s="4" t="s">
        <v>3747</v>
      </c>
      <c r="O2612" s="17">
        <f>INDEX('список ID из СУЭ с должностями'!$A:$F,MATCH(E2612,'список ID из СУЭ с должностями'!$B:$B,0),5)</f>
        <v>0</v>
      </c>
    </row>
    <row r="2613" spans="1:15" ht="45">
      <c r="A2613" s="3" t="s">
        <v>10</v>
      </c>
      <c r="B2613" s="3" t="s">
        <v>11</v>
      </c>
      <c r="C2613" s="4">
        <v>2026</v>
      </c>
      <c r="D2613" s="5" t="s">
        <v>12</v>
      </c>
      <c r="E2613" s="4">
        <v>359</v>
      </c>
      <c r="F2613" s="4" t="s">
        <v>385</v>
      </c>
      <c r="G2613" s="4" t="s">
        <v>386</v>
      </c>
      <c r="H2613" s="4" t="s">
        <v>15</v>
      </c>
      <c r="I2613" s="4" t="s">
        <v>956</v>
      </c>
      <c r="J2613" s="4" t="s">
        <v>2519</v>
      </c>
      <c r="K2613" s="4" t="s">
        <v>35</v>
      </c>
      <c r="L2613" s="4" t="s">
        <v>3742</v>
      </c>
      <c r="M2613" s="4" t="s">
        <v>3746</v>
      </c>
      <c r="N2613" s="4" t="s">
        <v>3747</v>
      </c>
      <c r="O2613" s="17">
        <f>INDEX('список ID из СУЭ с должностями'!$A:$F,MATCH(E2613,'список ID из СУЭ с должностями'!$B:$B,0),5)</f>
        <v>0</v>
      </c>
    </row>
    <row r="2614" spans="1:15" ht="45">
      <c r="A2614" s="3" t="s">
        <v>10</v>
      </c>
      <c r="B2614" s="3" t="s">
        <v>11</v>
      </c>
      <c r="C2614" s="4">
        <v>2026</v>
      </c>
      <c r="D2614" s="5" t="s">
        <v>12</v>
      </c>
      <c r="E2614" s="4">
        <v>359</v>
      </c>
      <c r="F2614" s="4" t="s">
        <v>385</v>
      </c>
      <c r="G2614" s="4" t="s">
        <v>386</v>
      </c>
      <c r="H2614" s="4" t="s">
        <v>15</v>
      </c>
      <c r="I2614" s="4" t="s">
        <v>395</v>
      </c>
      <c r="J2614" s="4" t="s">
        <v>565</v>
      </c>
      <c r="K2614" s="4" t="s">
        <v>23</v>
      </c>
      <c r="L2614" s="4" t="s">
        <v>3742</v>
      </c>
      <c r="M2614" s="4" t="s">
        <v>3748</v>
      </c>
      <c r="N2614" s="4" t="s">
        <v>3752</v>
      </c>
      <c r="O2614" s="17">
        <f>INDEX('список ID из СУЭ с должностями'!$A:$F,MATCH(E2614,'список ID из СУЭ с должностями'!$B:$B,0),5)</f>
        <v>0</v>
      </c>
    </row>
    <row r="2615" spans="1:15" ht="45">
      <c r="A2615" s="3" t="s">
        <v>10</v>
      </c>
      <c r="B2615" s="3" t="s">
        <v>11</v>
      </c>
      <c r="C2615" s="4">
        <v>2026</v>
      </c>
      <c r="D2615" s="5" t="s">
        <v>12</v>
      </c>
      <c r="E2615" s="4">
        <v>359</v>
      </c>
      <c r="F2615" s="4" t="s">
        <v>385</v>
      </c>
      <c r="G2615" s="4" t="s">
        <v>386</v>
      </c>
      <c r="H2615" s="4" t="s">
        <v>21</v>
      </c>
      <c r="I2615" s="4" t="s">
        <v>2520</v>
      </c>
      <c r="J2615" s="4" t="s">
        <v>132</v>
      </c>
      <c r="K2615" s="4" t="s">
        <v>66</v>
      </c>
      <c r="L2615" s="4" t="s">
        <v>3742</v>
      </c>
      <c r="M2615" s="4" t="s">
        <v>3746</v>
      </c>
      <c r="N2615" s="4" t="s">
        <v>3747</v>
      </c>
      <c r="O2615" s="17">
        <f>INDEX('список ID из СУЭ с должностями'!$A:$F,MATCH(E2615,'список ID из СУЭ с должностями'!$B:$B,0),5)</f>
        <v>0</v>
      </c>
    </row>
    <row r="2616" spans="1:15" ht="60">
      <c r="A2616" s="3" t="s">
        <v>10</v>
      </c>
      <c r="B2616" s="3" t="s">
        <v>11</v>
      </c>
      <c r="C2616" s="4">
        <v>2026</v>
      </c>
      <c r="D2616" s="5" t="s">
        <v>12</v>
      </c>
      <c r="E2616" s="4">
        <v>359</v>
      </c>
      <c r="F2616" s="4" t="s">
        <v>385</v>
      </c>
      <c r="G2616" s="4" t="s">
        <v>386</v>
      </c>
      <c r="H2616" s="4" t="s">
        <v>21</v>
      </c>
      <c r="I2616" s="4" t="s">
        <v>2776</v>
      </c>
      <c r="J2616" s="4" t="s">
        <v>2777</v>
      </c>
      <c r="K2616" s="4" t="s">
        <v>188</v>
      </c>
      <c r="L2616" s="4" t="s">
        <v>3742</v>
      </c>
      <c r="M2616" s="4" t="s">
        <v>3746</v>
      </c>
      <c r="N2616" s="4" t="s">
        <v>3747</v>
      </c>
      <c r="O2616" s="17">
        <f>INDEX('список ID из СУЭ с должностями'!$A:$F,MATCH(E2616,'список ID из СУЭ с должностями'!$B:$B,0),5)</f>
        <v>0</v>
      </c>
    </row>
    <row r="2617" spans="1:15" ht="45">
      <c r="A2617" s="3" t="s">
        <v>10</v>
      </c>
      <c r="B2617" s="3" t="s">
        <v>11</v>
      </c>
      <c r="C2617" s="4">
        <v>2026</v>
      </c>
      <c r="D2617" s="5" t="s">
        <v>12</v>
      </c>
      <c r="E2617" s="4">
        <v>359</v>
      </c>
      <c r="F2617" s="4" t="s">
        <v>385</v>
      </c>
      <c r="G2617" s="4" t="s">
        <v>386</v>
      </c>
      <c r="H2617" s="4" t="s">
        <v>15</v>
      </c>
      <c r="I2617" s="4" t="s">
        <v>2778</v>
      </c>
      <c r="J2617" s="4" t="s">
        <v>182</v>
      </c>
      <c r="K2617" s="4" t="s">
        <v>23</v>
      </c>
      <c r="L2617" s="4" t="s">
        <v>3742</v>
      </c>
      <c r="M2617" s="4" t="s">
        <v>3748</v>
      </c>
      <c r="N2617" s="4" t="s">
        <v>3749</v>
      </c>
      <c r="O2617" s="17">
        <f>INDEX('список ID из СУЭ с должностями'!$A:$F,MATCH(E2617,'список ID из СУЭ с должностями'!$B:$B,0),5)</f>
        <v>0</v>
      </c>
    </row>
    <row r="2618" spans="1:15" ht="45">
      <c r="A2618" s="3" t="s">
        <v>10</v>
      </c>
      <c r="B2618" s="3" t="s">
        <v>11</v>
      </c>
      <c r="C2618" s="4">
        <v>2026</v>
      </c>
      <c r="D2618" s="5" t="s">
        <v>12</v>
      </c>
      <c r="E2618" s="4">
        <v>359</v>
      </c>
      <c r="F2618" s="4" t="s">
        <v>385</v>
      </c>
      <c r="G2618" s="4" t="s">
        <v>386</v>
      </c>
      <c r="H2618" s="4" t="s">
        <v>21</v>
      </c>
      <c r="I2618" s="4" t="s">
        <v>2523</v>
      </c>
      <c r="J2618" s="4" t="s">
        <v>182</v>
      </c>
      <c r="K2618" s="4" t="s">
        <v>66</v>
      </c>
      <c r="L2618" s="4" t="s">
        <v>3742</v>
      </c>
      <c r="M2618" s="4" t="s">
        <v>3746</v>
      </c>
      <c r="N2618" s="4" t="s">
        <v>3747</v>
      </c>
      <c r="O2618" s="17">
        <f>INDEX('список ID из СУЭ с должностями'!$A:$F,MATCH(E2618,'список ID из СУЭ с должностями'!$B:$B,0),5)</f>
        <v>0</v>
      </c>
    </row>
    <row r="2619" spans="1:15" ht="60">
      <c r="A2619" s="3" t="s">
        <v>10</v>
      </c>
      <c r="B2619" s="3" t="s">
        <v>11</v>
      </c>
      <c r="C2619" s="4">
        <v>2026</v>
      </c>
      <c r="D2619" s="5" t="s">
        <v>12</v>
      </c>
      <c r="E2619" s="4">
        <v>359</v>
      </c>
      <c r="F2619" s="4" t="s">
        <v>385</v>
      </c>
      <c r="G2619" s="4" t="s">
        <v>386</v>
      </c>
      <c r="H2619" s="4" t="s">
        <v>21</v>
      </c>
      <c r="I2619" s="4" t="s">
        <v>2779</v>
      </c>
      <c r="J2619" s="4" t="s">
        <v>2525</v>
      </c>
      <c r="K2619" s="4" t="s">
        <v>188</v>
      </c>
      <c r="L2619" s="4" t="s">
        <v>3742</v>
      </c>
      <c r="M2619" s="4" t="s">
        <v>3746</v>
      </c>
      <c r="N2619" s="4" t="s">
        <v>3747</v>
      </c>
      <c r="O2619" s="17">
        <f>INDEX('список ID из СУЭ с должностями'!$A:$F,MATCH(E2619,'список ID из СУЭ с должностями'!$B:$B,0),5)</f>
        <v>0</v>
      </c>
    </row>
    <row r="2620" spans="1:15" ht="409.5">
      <c r="A2620" s="3" t="s">
        <v>10</v>
      </c>
      <c r="B2620" s="3" t="s">
        <v>11</v>
      </c>
      <c r="C2620" s="4">
        <v>2026</v>
      </c>
      <c r="D2620" s="5" t="s">
        <v>12</v>
      </c>
      <c r="E2620" s="4">
        <v>360</v>
      </c>
      <c r="F2620" s="4" t="s">
        <v>67</v>
      </c>
      <c r="G2620" s="4" t="s">
        <v>1347</v>
      </c>
      <c r="H2620" s="4" t="s">
        <v>15</v>
      </c>
      <c r="I2620" s="4" t="s">
        <v>1354</v>
      </c>
      <c r="J2620" s="4" t="s">
        <v>2780</v>
      </c>
      <c r="K2620" s="4" t="s">
        <v>35</v>
      </c>
      <c r="L2620" s="4" t="s">
        <v>3743</v>
      </c>
      <c r="M2620" s="4" t="s">
        <v>3746</v>
      </c>
      <c r="N2620" s="4" t="s">
        <v>3747</v>
      </c>
      <c r="O2620" s="17">
        <f>INDEX('список ID из СУЭ с должностями'!$A:$F,MATCH(E2620,'список ID из СУЭ с должностями'!$B:$B,0),5)</f>
        <v>0</v>
      </c>
    </row>
    <row r="2621" spans="1:15" ht="210">
      <c r="A2621" s="3" t="s">
        <v>10</v>
      </c>
      <c r="B2621" s="3" t="s">
        <v>11</v>
      </c>
      <c r="C2621" s="4">
        <v>2026</v>
      </c>
      <c r="D2621" s="5" t="s">
        <v>12</v>
      </c>
      <c r="E2621" s="4">
        <v>360</v>
      </c>
      <c r="F2621" s="4" t="s">
        <v>67</v>
      </c>
      <c r="G2621" s="4" t="s">
        <v>1347</v>
      </c>
      <c r="H2621" s="4" t="s">
        <v>15</v>
      </c>
      <c r="I2621" s="4" t="s">
        <v>1350</v>
      </c>
      <c r="J2621" s="4" t="s">
        <v>1351</v>
      </c>
      <c r="K2621" s="4" t="s">
        <v>35</v>
      </c>
      <c r="L2621" s="4" t="s">
        <v>3743</v>
      </c>
      <c r="M2621" s="4" t="s">
        <v>3746</v>
      </c>
      <c r="N2621" s="4" t="s">
        <v>3747</v>
      </c>
      <c r="O2621" s="17">
        <f>INDEX('список ID из СУЭ с должностями'!$A:$F,MATCH(E2621,'список ID из СУЭ с должностями'!$B:$B,0),5)</f>
        <v>0</v>
      </c>
    </row>
    <row r="2622" spans="1:15" ht="240">
      <c r="A2622" s="3" t="s">
        <v>10</v>
      </c>
      <c r="B2622" s="3" t="s">
        <v>11</v>
      </c>
      <c r="C2622" s="4">
        <v>2026</v>
      </c>
      <c r="D2622" s="5" t="s">
        <v>12</v>
      </c>
      <c r="E2622" s="4">
        <v>360</v>
      </c>
      <c r="F2622" s="4" t="s">
        <v>67</v>
      </c>
      <c r="G2622" s="4" t="s">
        <v>1347</v>
      </c>
      <c r="H2622" s="4" t="s">
        <v>21</v>
      </c>
      <c r="I2622" s="4" t="s">
        <v>2781</v>
      </c>
      <c r="J2622" s="4" t="s">
        <v>2782</v>
      </c>
      <c r="K2622" s="4" t="s">
        <v>30</v>
      </c>
      <c r="L2622" s="4" t="s">
        <v>3743</v>
      </c>
      <c r="M2622" s="4" t="s">
        <v>3746</v>
      </c>
      <c r="N2622" s="4" t="s">
        <v>3747</v>
      </c>
      <c r="O2622" s="17">
        <f>INDEX('список ID из СУЭ с должностями'!$A:$F,MATCH(E2622,'список ID из СУЭ с должностями'!$B:$B,0),5)</f>
        <v>0</v>
      </c>
    </row>
    <row r="2623" spans="1:15" ht="75">
      <c r="A2623" s="3" t="s">
        <v>10</v>
      </c>
      <c r="B2623" s="3" t="s">
        <v>11</v>
      </c>
      <c r="C2623" s="4">
        <v>2026</v>
      </c>
      <c r="D2623" s="5" t="s">
        <v>12</v>
      </c>
      <c r="E2623" s="4">
        <v>360</v>
      </c>
      <c r="F2623" s="4" t="s">
        <v>67</v>
      </c>
      <c r="G2623" s="4" t="s">
        <v>1347</v>
      </c>
      <c r="H2623" s="4" t="s">
        <v>15</v>
      </c>
      <c r="I2623" s="4" t="s">
        <v>2783</v>
      </c>
      <c r="J2623" s="4" t="s">
        <v>109</v>
      </c>
      <c r="K2623" s="4" t="s">
        <v>30</v>
      </c>
      <c r="L2623" s="4" t="s">
        <v>3742</v>
      </c>
      <c r="M2623" s="4" t="s">
        <v>3746</v>
      </c>
      <c r="N2623" s="4" t="s">
        <v>3747</v>
      </c>
      <c r="O2623" s="17">
        <f>INDEX('список ID из СУЭ с должностями'!$A:$F,MATCH(E2623,'список ID из СУЭ с должностями'!$B:$B,0),5)</f>
        <v>0</v>
      </c>
    </row>
    <row r="2624" spans="1:15" ht="75">
      <c r="A2624" s="3" t="s">
        <v>10</v>
      </c>
      <c r="B2624" s="3" t="s">
        <v>11</v>
      </c>
      <c r="C2624" s="4">
        <v>2026</v>
      </c>
      <c r="D2624" s="5" t="s">
        <v>12</v>
      </c>
      <c r="E2624" s="4">
        <v>360</v>
      </c>
      <c r="F2624" s="4" t="s">
        <v>67</v>
      </c>
      <c r="G2624" s="4" t="s">
        <v>1347</v>
      </c>
      <c r="H2624" s="4" t="s">
        <v>21</v>
      </c>
      <c r="I2624" s="4" t="s">
        <v>2784</v>
      </c>
      <c r="J2624" s="4" t="s">
        <v>378</v>
      </c>
      <c r="K2624" s="4" t="s">
        <v>30</v>
      </c>
      <c r="L2624" s="4" t="s">
        <v>3742</v>
      </c>
      <c r="M2624" s="4" t="s">
        <v>3746</v>
      </c>
      <c r="N2624" s="4" t="s">
        <v>3747</v>
      </c>
      <c r="O2624" s="17">
        <f>INDEX('список ID из СУЭ с должностями'!$A:$F,MATCH(E2624,'список ID из СУЭ с должностями'!$B:$B,0),5)</f>
        <v>0</v>
      </c>
    </row>
    <row r="2625" spans="1:15" ht="409.5">
      <c r="A2625" s="3" t="s">
        <v>10</v>
      </c>
      <c r="B2625" s="3" t="s">
        <v>11</v>
      </c>
      <c r="C2625" s="4">
        <v>2026</v>
      </c>
      <c r="D2625" s="5" t="s">
        <v>12</v>
      </c>
      <c r="E2625" s="4">
        <v>360</v>
      </c>
      <c r="F2625" s="4" t="s">
        <v>67</v>
      </c>
      <c r="G2625" s="4" t="s">
        <v>1347</v>
      </c>
      <c r="H2625" s="4" t="s">
        <v>21</v>
      </c>
      <c r="I2625" s="4" t="s">
        <v>2785</v>
      </c>
      <c r="J2625" s="4" t="s">
        <v>2786</v>
      </c>
      <c r="K2625" s="4" t="s">
        <v>66</v>
      </c>
      <c r="L2625" s="4" t="s">
        <v>3743</v>
      </c>
      <c r="M2625" s="4" t="s">
        <v>3746</v>
      </c>
      <c r="N2625" s="4" t="s">
        <v>3747</v>
      </c>
      <c r="O2625" s="17">
        <f>INDEX('список ID из СУЭ с должностями'!$A:$F,MATCH(E2625,'список ID из СУЭ с должностями'!$B:$B,0),5)</f>
        <v>0</v>
      </c>
    </row>
    <row r="2626" spans="1:15" ht="330">
      <c r="A2626" s="3" t="s">
        <v>10</v>
      </c>
      <c r="B2626" s="3" t="s">
        <v>11</v>
      </c>
      <c r="C2626" s="4">
        <v>2026</v>
      </c>
      <c r="D2626" s="5" t="s">
        <v>12</v>
      </c>
      <c r="E2626" s="4">
        <v>361</v>
      </c>
      <c r="F2626" s="4" t="s">
        <v>67</v>
      </c>
      <c r="G2626" s="4" t="s">
        <v>455</v>
      </c>
      <c r="H2626" s="4" t="s">
        <v>15</v>
      </c>
      <c r="I2626" s="4" t="s">
        <v>1002</v>
      </c>
      <c r="J2626" s="4" t="s">
        <v>1003</v>
      </c>
      <c r="K2626" s="4" t="s">
        <v>35</v>
      </c>
      <c r="L2626" s="4" t="s">
        <v>3743</v>
      </c>
      <c r="M2626" s="4" t="s">
        <v>3746</v>
      </c>
      <c r="N2626" s="4" t="s">
        <v>3747</v>
      </c>
      <c r="O2626" s="17">
        <f>INDEX('список ID из СУЭ с должностями'!$A:$F,MATCH(E2626,'список ID из СУЭ с должностями'!$B:$B,0),5)</f>
        <v>0</v>
      </c>
    </row>
    <row r="2627" spans="1:15" ht="180">
      <c r="A2627" s="3" t="s">
        <v>10</v>
      </c>
      <c r="B2627" s="3" t="s">
        <v>11</v>
      </c>
      <c r="C2627" s="4">
        <v>2026</v>
      </c>
      <c r="D2627" s="5" t="s">
        <v>12</v>
      </c>
      <c r="E2627" s="4">
        <v>361</v>
      </c>
      <c r="F2627" s="4" t="s">
        <v>67</v>
      </c>
      <c r="G2627" s="4" t="s">
        <v>455</v>
      </c>
      <c r="H2627" s="4" t="s">
        <v>15</v>
      </c>
      <c r="I2627" s="4" t="s">
        <v>791</v>
      </c>
      <c r="J2627" s="4" t="s">
        <v>1005</v>
      </c>
      <c r="K2627" s="4" t="s">
        <v>30</v>
      </c>
      <c r="L2627" s="4" t="s">
        <v>3743</v>
      </c>
      <c r="M2627" s="4" t="s">
        <v>3746</v>
      </c>
      <c r="N2627" s="4" t="s">
        <v>3747</v>
      </c>
      <c r="O2627" s="17">
        <f>INDEX('список ID из СУЭ с должностями'!$A:$F,MATCH(E2627,'список ID из СУЭ с должностями'!$B:$B,0),5)</f>
        <v>0</v>
      </c>
    </row>
    <row r="2628" spans="1:15" ht="409.5">
      <c r="A2628" s="3" t="s">
        <v>10</v>
      </c>
      <c r="B2628" s="3" t="s">
        <v>11</v>
      </c>
      <c r="C2628" s="4">
        <v>2026</v>
      </c>
      <c r="D2628" s="5" t="s">
        <v>12</v>
      </c>
      <c r="E2628" s="4">
        <v>361</v>
      </c>
      <c r="F2628" s="4" t="s">
        <v>67</v>
      </c>
      <c r="G2628" s="4" t="s">
        <v>455</v>
      </c>
      <c r="H2628" s="4" t="s">
        <v>15</v>
      </c>
      <c r="I2628" s="4" t="s">
        <v>460</v>
      </c>
      <c r="J2628" s="4" t="s">
        <v>1006</v>
      </c>
      <c r="K2628" s="4" t="s">
        <v>38</v>
      </c>
      <c r="L2628" s="4" t="s">
        <v>3743</v>
      </c>
      <c r="M2628" s="4" t="s">
        <v>3746</v>
      </c>
      <c r="N2628" s="4" t="s">
        <v>3747</v>
      </c>
      <c r="O2628" s="17">
        <f>INDEX('список ID из СУЭ с должностями'!$A:$F,MATCH(E2628,'список ID из СУЭ с должностями'!$B:$B,0),5)</f>
        <v>0</v>
      </c>
    </row>
    <row r="2629" spans="1:15" ht="165">
      <c r="A2629" s="3" t="s">
        <v>10</v>
      </c>
      <c r="B2629" s="3" t="s">
        <v>11</v>
      </c>
      <c r="C2629" s="4">
        <v>2026</v>
      </c>
      <c r="D2629" s="5" t="s">
        <v>12</v>
      </c>
      <c r="E2629" s="4">
        <v>361</v>
      </c>
      <c r="F2629" s="4" t="s">
        <v>67</v>
      </c>
      <c r="G2629" s="4" t="s">
        <v>455</v>
      </c>
      <c r="H2629" s="4" t="s">
        <v>15</v>
      </c>
      <c r="I2629" s="4" t="s">
        <v>303</v>
      </c>
      <c r="J2629" s="4" t="s">
        <v>1007</v>
      </c>
      <c r="K2629" s="4" t="s">
        <v>30</v>
      </c>
      <c r="L2629" s="4" t="s">
        <v>3743</v>
      </c>
      <c r="M2629" s="4" t="s">
        <v>3746</v>
      </c>
      <c r="N2629" s="4" t="s">
        <v>3747</v>
      </c>
      <c r="O2629" s="17">
        <f>INDEX('список ID из СУЭ с должностями'!$A:$F,MATCH(E2629,'список ID из СУЭ с должностями'!$B:$B,0),5)</f>
        <v>0</v>
      </c>
    </row>
    <row r="2630" spans="1:15" ht="135">
      <c r="A2630" s="3" t="s">
        <v>10</v>
      </c>
      <c r="B2630" s="3" t="s">
        <v>11</v>
      </c>
      <c r="C2630" s="4">
        <v>2026</v>
      </c>
      <c r="D2630" s="5" t="s">
        <v>12</v>
      </c>
      <c r="E2630" s="4">
        <v>361</v>
      </c>
      <c r="F2630" s="4" t="s">
        <v>67</v>
      </c>
      <c r="G2630" s="4" t="s">
        <v>455</v>
      </c>
      <c r="H2630" s="4" t="s">
        <v>15</v>
      </c>
      <c r="I2630" s="4" t="s">
        <v>149</v>
      </c>
      <c r="J2630" s="4" t="s">
        <v>1008</v>
      </c>
      <c r="K2630" s="4" t="s">
        <v>55</v>
      </c>
      <c r="L2630" s="4" t="s">
        <v>3743</v>
      </c>
      <c r="M2630" s="4" t="s">
        <v>3746</v>
      </c>
      <c r="N2630" s="4" t="s">
        <v>3747</v>
      </c>
      <c r="O2630" s="17">
        <f>INDEX('список ID из СУЭ с должностями'!$A:$F,MATCH(E2630,'список ID из СУЭ с должностями'!$B:$B,0),5)</f>
        <v>0</v>
      </c>
    </row>
    <row r="2631" spans="1:15" ht="120">
      <c r="A2631" s="3" t="s">
        <v>10</v>
      </c>
      <c r="B2631" s="3" t="s">
        <v>11</v>
      </c>
      <c r="C2631" s="4">
        <v>2026</v>
      </c>
      <c r="D2631" s="5" t="s">
        <v>12</v>
      </c>
      <c r="E2631" s="4">
        <v>361</v>
      </c>
      <c r="F2631" s="4" t="s">
        <v>67</v>
      </c>
      <c r="G2631" s="4" t="s">
        <v>455</v>
      </c>
      <c r="H2631" s="4" t="s">
        <v>15</v>
      </c>
      <c r="I2631" s="4" t="s">
        <v>2787</v>
      </c>
      <c r="J2631" s="4" t="s">
        <v>1010</v>
      </c>
      <c r="K2631" s="4" t="s">
        <v>66</v>
      </c>
      <c r="L2631" s="4" t="s">
        <v>3742</v>
      </c>
      <c r="M2631" s="4" t="s">
        <v>3746</v>
      </c>
      <c r="N2631" s="4" t="s">
        <v>3747</v>
      </c>
      <c r="O2631" s="17">
        <f>INDEX('список ID из СУЭ с должностями'!$A:$F,MATCH(E2631,'список ID из СУЭ с должностями'!$B:$B,0),5)</f>
        <v>0</v>
      </c>
    </row>
    <row r="2632" spans="1:15" ht="300">
      <c r="A2632" s="3" t="s">
        <v>10</v>
      </c>
      <c r="B2632" s="3" t="s">
        <v>11</v>
      </c>
      <c r="C2632" s="4">
        <v>2026</v>
      </c>
      <c r="D2632" s="5" t="s">
        <v>12</v>
      </c>
      <c r="E2632" s="4">
        <v>361</v>
      </c>
      <c r="F2632" s="4" t="s">
        <v>67</v>
      </c>
      <c r="G2632" s="4" t="s">
        <v>455</v>
      </c>
      <c r="H2632" s="4" t="s">
        <v>15</v>
      </c>
      <c r="I2632" s="4" t="s">
        <v>147</v>
      </c>
      <c r="J2632" s="4" t="s">
        <v>1011</v>
      </c>
      <c r="K2632" s="4" t="s">
        <v>35</v>
      </c>
      <c r="L2632" s="4" t="s">
        <v>3743</v>
      </c>
      <c r="M2632" s="4" t="s">
        <v>3746</v>
      </c>
      <c r="N2632" s="4" t="s">
        <v>3747</v>
      </c>
      <c r="O2632" s="17">
        <f>INDEX('список ID из СУЭ с должностями'!$A:$F,MATCH(E2632,'список ID из СУЭ с должностями'!$B:$B,0),5)</f>
        <v>0</v>
      </c>
    </row>
    <row r="2633" spans="1:15" ht="60">
      <c r="A2633" s="3" t="s">
        <v>10</v>
      </c>
      <c r="B2633" s="3" t="s">
        <v>11</v>
      </c>
      <c r="C2633" s="4">
        <v>2026</v>
      </c>
      <c r="D2633" s="5" t="s">
        <v>12</v>
      </c>
      <c r="E2633" s="4">
        <v>362</v>
      </c>
      <c r="F2633" s="4" t="s">
        <v>44</v>
      </c>
      <c r="G2633" s="4" t="s">
        <v>665</v>
      </c>
      <c r="H2633" s="4" t="s">
        <v>15</v>
      </c>
      <c r="I2633" s="4" t="s">
        <v>984</v>
      </c>
      <c r="J2633" s="4" t="s">
        <v>2788</v>
      </c>
      <c r="K2633" s="4" t="s">
        <v>66</v>
      </c>
      <c r="L2633" s="4" t="s">
        <v>3743</v>
      </c>
      <c r="M2633" s="4" t="s">
        <v>3746</v>
      </c>
      <c r="N2633" s="4" t="s">
        <v>3747</v>
      </c>
      <c r="O2633" s="17" t="str">
        <f>INDEX('список ID из СУЭ с должностями'!$A:$F,MATCH(E2633,'список ID из СУЭ с должностями'!$B:$B,0),5)</f>
        <v>НП</v>
      </c>
    </row>
    <row r="2634" spans="1:15" ht="120">
      <c r="A2634" s="3" t="s">
        <v>10</v>
      </c>
      <c r="B2634" s="3" t="s">
        <v>11</v>
      </c>
      <c r="C2634" s="4">
        <v>2026</v>
      </c>
      <c r="D2634" s="5" t="s">
        <v>12</v>
      </c>
      <c r="E2634" s="4">
        <v>362</v>
      </c>
      <c r="F2634" s="4" t="s">
        <v>44</v>
      </c>
      <c r="G2634" s="4" t="s">
        <v>665</v>
      </c>
      <c r="H2634" s="4" t="s">
        <v>15</v>
      </c>
      <c r="I2634" s="4" t="s">
        <v>2029</v>
      </c>
      <c r="J2634" s="4" t="s">
        <v>2789</v>
      </c>
      <c r="K2634" s="4" t="s">
        <v>52</v>
      </c>
      <c r="L2634" s="4" t="s">
        <v>3743</v>
      </c>
      <c r="M2634" s="4" t="s">
        <v>3746</v>
      </c>
      <c r="N2634" s="4" t="s">
        <v>3747</v>
      </c>
      <c r="O2634" s="17" t="str">
        <f>INDEX('список ID из СУЭ с должностями'!$A:$F,MATCH(E2634,'список ID из СУЭ с должностями'!$B:$B,0),5)</f>
        <v>НП</v>
      </c>
    </row>
    <row r="2635" spans="1:15" ht="60">
      <c r="A2635" s="3" t="s">
        <v>10</v>
      </c>
      <c r="B2635" s="3" t="s">
        <v>11</v>
      </c>
      <c r="C2635" s="4">
        <v>2026</v>
      </c>
      <c r="D2635" s="5" t="s">
        <v>12</v>
      </c>
      <c r="E2635" s="4">
        <v>362</v>
      </c>
      <c r="F2635" s="4" t="s">
        <v>44</v>
      </c>
      <c r="G2635" s="4" t="s">
        <v>665</v>
      </c>
      <c r="H2635" s="4" t="s">
        <v>41</v>
      </c>
      <c r="I2635" s="4" t="s">
        <v>2790</v>
      </c>
      <c r="J2635" s="4" t="s">
        <v>2791</v>
      </c>
      <c r="K2635" s="4" t="s">
        <v>25</v>
      </c>
      <c r="L2635" s="4" t="s">
        <v>3743</v>
      </c>
      <c r="M2635" s="4" t="s">
        <v>3746</v>
      </c>
      <c r="N2635" s="4" t="s">
        <v>3747</v>
      </c>
      <c r="O2635" s="17" t="str">
        <f>INDEX('список ID из СУЭ с должностями'!$A:$F,MATCH(E2635,'список ID из СУЭ с должностями'!$B:$B,0),5)</f>
        <v>НП</v>
      </c>
    </row>
    <row r="2636" spans="1:15" ht="90">
      <c r="A2636" s="3" t="s">
        <v>10</v>
      </c>
      <c r="B2636" s="3" t="s">
        <v>11</v>
      </c>
      <c r="C2636" s="4">
        <v>2026</v>
      </c>
      <c r="D2636" s="5" t="s">
        <v>12</v>
      </c>
      <c r="E2636" s="4">
        <v>362</v>
      </c>
      <c r="F2636" s="4" t="s">
        <v>44</v>
      </c>
      <c r="G2636" s="4" t="s">
        <v>665</v>
      </c>
      <c r="H2636" s="4" t="s">
        <v>15</v>
      </c>
      <c r="I2636" s="4" t="s">
        <v>198</v>
      </c>
      <c r="J2636" s="4" t="s">
        <v>2792</v>
      </c>
      <c r="K2636" s="4" t="s">
        <v>20</v>
      </c>
      <c r="L2636" s="4" t="s">
        <v>3743</v>
      </c>
      <c r="M2636" s="4" t="s">
        <v>3746</v>
      </c>
      <c r="N2636" s="4" t="s">
        <v>3747</v>
      </c>
      <c r="O2636" s="17" t="str">
        <f>INDEX('список ID из СУЭ с должностями'!$A:$F,MATCH(E2636,'список ID из СУЭ с должностями'!$B:$B,0),5)</f>
        <v>НП</v>
      </c>
    </row>
    <row r="2637" spans="1:15" ht="270">
      <c r="A2637" s="3" t="s">
        <v>10</v>
      </c>
      <c r="B2637" s="3" t="s">
        <v>11</v>
      </c>
      <c r="C2637" s="4">
        <v>2026</v>
      </c>
      <c r="D2637" s="5" t="s">
        <v>12</v>
      </c>
      <c r="E2637" s="4">
        <v>362</v>
      </c>
      <c r="F2637" s="4" t="s">
        <v>44</v>
      </c>
      <c r="G2637" s="4" t="s">
        <v>665</v>
      </c>
      <c r="H2637" s="4" t="s">
        <v>15</v>
      </c>
      <c r="I2637" s="4" t="s">
        <v>933</v>
      </c>
      <c r="J2637" s="4" t="s">
        <v>2793</v>
      </c>
      <c r="K2637" s="4" t="s">
        <v>52</v>
      </c>
      <c r="L2637" s="4" t="s">
        <v>3743</v>
      </c>
      <c r="M2637" s="4" t="s">
        <v>3746</v>
      </c>
      <c r="N2637" s="4" t="s">
        <v>3747</v>
      </c>
      <c r="O2637" s="17" t="str">
        <f>INDEX('список ID из СУЭ с должностями'!$A:$F,MATCH(E2637,'список ID из СУЭ с должностями'!$B:$B,0),5)</f>
        <v>НП</v>
      </c>
    </row>
    <row r="2638" spans="1:15" ht="165">
      <c r="A2638" s="3" t="s">
        <v>10</v>
      </c>
      <c r="B2638" s="3" t="s">
        <v>11</v>
      </c>
      <c r="C2638" s="4">
        <v>2026</v>
      </c>
      <c r="D2638" s="5" t="s">
        <v>12</v>
      </c>
      <c r="E2638" s="4">
        <v>362</v>
      </c>
      <c r="F2638" s="4" t="s">
        <v>44</v>
      </c>
      <c r="G2638" s="4" t="s">
        <v>665</v>
      </c>
      <c r="H2638" s="4" t="s">
        <v>41</v>
      </c>
      <c r="I2638" s="4" t="s">
        <v>2794</v>
      </c>
      <c r="J2638" s="4" t="s">
        <v>2795</v>
      </c>
      <c r="K2638" s="4" t="s">
        <v>38</v>
      </c>
      <c r="L2638" s="4" t="s">
        <v>3743</v>
      </c>
      <c r="M2638" s="4" t="s">
        <v>3746</v>
      </c>
      <c r="N2638" s="4" t="s">
        <v>3747</v>
      </c>
      <c r="O2638" s="17" t="str">
        <f>INDEX('список ID из СУЭ с должностями'!$A:$F,MATCH(E2638,'список ID из СУЭ с должностями'!$B:$B,0),5)</f>
        <v>НП</v>
      </c>
    </row>
    <row r="2639" spans="1:15" ht="375">
      <c r="A2639" s="3" t="s">
        <v>10</v>
      </c>
      <c r="B2639" s="3" t="s">
        <v>11</v>
      </c>
      <c r="C2639" s="4">
        <v>2026</v>
      </c>
      <c r="D2639" s="5" t="s">
        <v>12</v>
      </c>
      <c r="E2639" s="4">
        <v>362</v>
      </c>
      <c r="F2639" s="4" t="s">
        <v>44</v>
      </c>
      <c r="G2639" s="4" t="s">
        <v>665</v>
      </c>
      <c r="H2639" s="4" t="s">
        <v>15</v>
      </c>
      <c r="I2639" s="4" t="s">
        <v>2023</v>
      </c>
      <c r="J2639" s="4" t="s">
        <v>2796</v>
      </c>
      <c r="K2639" s="4" t="s">
        <v>35</v>
      </c>
      <c r="L2639" s="4" t="s">
        <v>3743</v>
      </c>
      <c r="M2639" s="4" t="s">
        <v>3746</v>
      </c>
      <c r="N2639" s="4" t="s">
        <v>3747</v>
      </c>
      <c r="O2639" s="17" t="str">
        <f>INDEX('список ID из СУЭ с должностями'!$A:$F,MATCH(E2639,'список ID из СУЭ с должностями'!$B:$B,0),5)</f>
        <v>НП</v>
      </c>
    </row>
    <row r="2640" spans="1:15" ht="45">
      <c r="A2640" s="3" t="s">
        <v>10</v>
      </c>
      <c r="B2640" s="3" t="s">
        <v>11</v>
      </c>
      <c r="C2640" s="4">
        <v>2026</v>
      </c>
      <c r="D2640" s="5" t="s">
        <v>12</v>
      </c>
      <c r="E2640" s="4">
        <v>363</v>
      </c>
      <c r="F2640" s="4" t="s">
        <v>2797</v>
      </c>
      <c r="G2640" s="4" t="s">
        <v>990</v>
      </c>
      <c r="H2640" s="4" t="s">
        <v>21</v>
      </c>
      <c r="I2640" s="4" t="s">
        <v>2798</v>
      </c>
      <c r="J2640" s="4" t="s">
        <v>2799</v>
      </c>
      <c r="K2640" s="4" t="s">
        <v>55</v>
      </c>
      <c r="L2640" s="4" t="s">
        <v>3743</v>
      </c>
      <c r="M2640" s="4" t="s">
        <v>3746</v>
      </c>
      <c r="N2640" s="4" t="s">
        <v>3747</v>
      </c>
      <c r="O2640" s="17">
        <f>INDEX('список ID из СУЭ с должностями'!$A:$F,MATCH(E2640,'список ID из СУЭ с должностями'!$B:$B,0),5)</f>
        <v>0</v>
      </c>
    </row>
    <row r="2641" spans="1:15" ht="75">
      <c r="A2641" s="3" t="s">
        <v>10</v>
      </c>
      <c r="B2641" s="3" t="s">
        <v>11</v>
      </c>
      <c r="C2641" s="4">
        <v>2026</v>
      </c>
      <c r="D2641" s="5" t="s">
        <v>12</v>
      </c>
      <c r="E2641" s="4">
        <v>363</v>
      </c>
      <c r="F2641" s="4" t="s">
        <v>2797</v>
      </c>
      <c r="G2641" s="4" t="s">
        <v>990</v>
      </c>
      <c r="H2641" s="4" t="s">
        <v>21</v>
      </c>
      <c r="I2641" s="4" t="s">
        <v>2800</v>
      </c>
      <c r="J2641" s="4" t="s">
        <v>2801</v>
      </c>
      <c r="K2641" s="4" t="s">
        <v>20</v>
      </c>
      <c r="L2641" s="4" t="s">
        <v>3743</v>
      </c>
      <c r="M2641" s="4" t="s">
        <v>3746</v>
      </c>
      <c r="N2641" s="4" t="s">
        <v>3747</v>
      </c>
      <c r="O2641" s="17">
        <f>INDEX('список ID из СУЭ с должностями'!$A:$F,MATCH(E2641,'список ID из СУЭ с должностями'!$B:$B,0),5)</f>
        <v>0</v>
      </c>
    </row>
    <row r="2642" spans="1:15" ht="60">
      <c r="A2642" s="3" t="s">
        <v>10</v>
      </c>
      <c r="B2642" s="3" t="s">
        <v>11</v>
      </c>
      <c r="C2642" s="4">
        <v>2026</v>
      </c>
      <c r="D2642" s="5" t="s">
        <v>12</v>
      </c>
      <c r="E2642" s="4">
        <v>363</v>
      </c>
      <c r="F2642" s="4" t="s">
        <v>2797</v>
      </c>
      <c r="G2642" s="4" t="s">
        <v>990</v>
      </c>
      <c r="H2642" s="4" t="s">
        <v>21</v>
      </c>
      <c r="I2642" s="4" t="s">
        <v>2802</v>
      </c>
      <c r="J2642" s="4" t="s">
        <v>2803</v>
      </c>
      <c r="K2642" s="4" t="s">
        <v>52</v>
      </c>
      <c r="L2642" s="4" t="s">
        <v>3743</v>
      </c>
      <c r="M2642" s="4" t="s">
        <v>3746</v>
      </c>
      <c r="N2642" s="4" t="s">
        <v>3747</v>
      </c>
      <c r="O2642" s="17">
        <f>INDEX('список ID из СУЭ с должностями'!$A:$F,MATCH(E2642,'список ID из СУЭ с должностями'!$B:$B,0),5)</f>
        <v>0</v>
      </c>
    </row>
    <row r="2643" spans="1:15" ht="60">
      <c r="A2643" s="3" t="s">
        <v>10</v>
      </c>
      <c r="B2643" s="3" t="s">
        <v>11</v>
      </c>
      <c r="C2643" s="4">
        <v>2026</v>
      </c>
      <c r="D2643" s="5" t="s">
        <v>12</v>
      </c>
      <c r="E2643" s="4">
        <v>363</v>
      </c>
      <c r="F2643" s="4" t="s">
        <v>2797</v>
      </c>
      <c r="G2643" s="4" t="s">
        <v>990</v>
      </c>
      <c r="H2643" s="4" t="s">
        <v>21</v>
      </c>
      <c r="I2643" s="4" t="s">
        <v>2804</v>
      </c>
      <c r="J2643" s="4" t="s">
        <v>2805</v>
      </c>
      <c r="K2643" s="4" t="s">
        <v>25</v>
      </c>
      <c r="L2643" s="4" t="s">
        <v>3743</v>
      </c>
      <c r="M2643" s="4" t="s">
        <v>3746</v>
      </c>
      <c r="N2643" s="4" t="s">
        <v>3747</v>
      </c>
      <c r="O2643" s="17">
        <f>INDEX('список ID из СУЭ с должностями'!$A:$F,MATCH(E2643,'список ID из СУЭ с должностями'!$B:$B,0),5)</f>
        <v>0</v>
      </c>
    </row>
    <row r="2644" spans="1:15" ht="135">
      <c r="A2644" s="3" t="s">
        <v>10</v>
      </c>
      <c r="B2644" s="3" t="s">
        <v>11</v>
      </c>
      <c r="C2644" s="4">
        <v>2026</v>
      </c>
      <c r="D2644" s="5" t="s">
        <v>12</v>
      </c>
      <c r="E2644" s="4">
        <v>363</v>
      </c>
      <c r="F2644" s="4" t="s">
        <v>2797</v>
      </c>
      <c r="G2644" s="4" t="s">
        <v>990</v>
      </c>
      <c r="H2644" s="4" t="s">
        <v>21</v>
      </c>
      <c r="I2644" s="4" t="s">
        <v>2806</v>
      </c>
      <c r="J2644" s="4" t="s">
        <v>2807</v>
      </c>
      <c r="K2644" s="4" t="s">
        <v>52</v>
      </c>
      <c r="L2644" s="4" t="s">
        <v>3743</v>
      </c>
      <c r="M2644" s="4" t="s">
        <v>3746</v>
      </c>
      <c r="N2644" s="4" t="s">
        <v>3747</v>
      </c>
      <c r="O2644" s="17">
        <f>INDEX('список ID из СУЭ с должностями'!$A:$F,MATCH(E2644,'список ID из СУЭ с должностями'!$B:$B,0),5)</f>
        <v>0</v>
      </c>
    </row>
    <row r="2645" spans="1:15" ht="75">
      <c r="A2645" s="3" t="s">
        <v>10</v>
      </c>
      <c r="B2645" s="3" t="s">
        <v>11</v>
      </c>
      <c r="C2645" s="4">
        <v>2026</v>
      </c>
      <c r="D2645" s="5" t="s">
        <v>12</v>
      </c>
      <c r="E2645" s="4">
        <v>363</v>
      </c>
      <c r="F2645" s="4" t="s">
        <v>2797</v>
      </c>
      <c r="G2645" s="4" t="s">
        <v>990</v>
      </c>
      <c r="H2645" s="4" t="s">
        <v>15</v>
      </c>
      <c r="I2645" s="4" t="s">
        <v>2808</v>
      </c>
      <c r="J2645" s="4" t="s">
        <v>2809</v>
      </c>
      <c r="K2645" s="4" t="s">
        <v>52</v>
      </c>
      <c r="L2645" s="4" t="s">
        <v>3743</v>
      </c>
      <c r="M2645" s="4" t="s">
        <v>3746</v>
      </c>
      <c r="N2645" s="4" t="s">
        <v>3747</v>
      </c>
      <c r="O2645" s="17">
        <f>INDEX('список ID из СУЭ с должностями'!$A:$F,MATCH(E2645,'список ID из СУЭ с должностями'!$B:$B,0),5)</f>
        <v>0</v>
      </c>
    </row>
    <row r="2646" spans="1:15" ht="105">
      <c r="A2646" s="3" t="s">
        <v>10</v>
      </c>
      <c r="B2646" s="3" t="s">
        <v>11</v>
      </c>
      <c r="C2646" s="4">
        <v>2026</v>
      </c>
      <c r="D2646" s="5" t="s">
        <v>12</v>
      </c>
      <c r="E2646" s="4">
        <v>363</v>
      </c>
      <c r="F2646" s="4" t="s">
        <v>2797</v>
      </c>
      <c r="G2646" s="4" t="s">
        <v>990</v>
      </c>
      <c r="H2646" s="4" t="s">
        <v>15</v>
      </c>
      <c r="I2646" s="4" t="s">
        <v>35</v>
      </c>
      <c r="J2646" s="4" t="s">
        <v>2810</v>
      </c>
      <c r="K2646" s="4" t="s">
        <v>35</v>
      </c>
      <c r="L2646" s="4" t="s">
        <v>3743</v>
      </c>
      <c r="M2646" s="4" t="s">
        <v>3746</v>
      </c>
      <c r="N2646" s="4" t="s">
        <v>3747</v>
      </c>
      <c r="O2646" s="17">
        <f>INDEX('список ID из СУЭ с должностями'!$A:$F,MATCH(E2646,'список ID из СУЭ с должностями'!$B:$B,0),5)</f>
        <v>0</v>
      </c>
    </row>
    <row r="2647" spans="1:15" ht="405">
      <c r="A2647" s="3" t="s">
        <v>10</v>
      </c>
      <c r="B2647" s="3" t="s">
        <v>11</v>
      </c>
      <c r="C2647" s="4">
        <v>2026</v>
      </c>
      <c r="D2647" s="5" t="s">
        <v>12</v>
      </c>
      <c r="E2647" s="4">
        <v>364</v>
      </c>
      <c r="F2647" s="4" t="s">
        <v>2811</v>
      </c>
      <c r="G2647" s="4" t="s">
        <v>436</v>
      </c>
      <c r="H2647" s="4" t="s">
        <v>15</v>
      </c>
      <c r="I2647" s="4" t="s">
        <v>439</v>
      </c>
      <c r="J2647" s="4" t="s">
        <v>2812</v>
      </c>
      <c r="K2647" s="4" t="s">
        <v>55</v>
      </c>
      <c r="L2647" s="4" t="s">
        <v>3743</v>
      </c>
      <c r="M2647" s="4" t="s">
        <v>3746</v>
      </c>
      <c r="N2647" s="4" t="s">
        <v>3747</v>
      </c>
      <c r="O2647" s="17">
        <f>INDEX('список ID из СУЭ с должностями'!$A:$F,MATCH(E2647,'список ID из СУЭ с должностями'!$B:$B,0),5)</f>
        <v>0</v>
      </c>
    </row>
    <row r="2648" spans="1:15" ht="75">
      <c r="A2648" s="3" t="s">
        <v>10</v>
      </c>
      <c r="B2648" s="3" t="s">
        <v>11</v>
      </c>
      <c r="C2648" s="4">
        <v>2026</v>
      </c>
      <c r="D2648" s="5" t="s">
        <v>12</v>
      </c>
      <c r="E2648" s="4">
        <v>364</v>
      </c>
      <c r="F2648" s="4" t="s">
        <v>2811</v>
      </c>
      <c r="G2648" s="4" t="s">
        <v>436</v>
      </c>
      <c r="H2648" s="4" t="s">
        <v>15</v>
      </c>
      <c r="I2648" s="4" t="s">
        <v>888</v>
      </c>
      <c r="J2648" s="4" t="s">
        <v>889</v>
      </c>
      <c r="K2648" s="4" t="s">
        <v>35</v>
      </c>
      <c r="L2648" s="4" t="s">
        <v>3743</v>
      </c>
      <c r="M2648" s="4" t="s">
        <v>3746</v>
      </c>
      <c r="N2648" s="4" t="s">
        <v>3747</v>
      </c>
      <c r="O2648" s="17">
        <f>INDEX('список ID из СУЭ с должностями'!$A:$F,MATCH(E2648,'список ID из СУЭ с должностями'!$B:$B,0),5)</f>
        <v>0</v>
      </c>
    </row>
    <row r="2649" spans="1:15" ht="75">
      <c r="A2649" s="3" t="s">
        <v>10</v>
      </c>
      <c r="B2649" s="3" t="s">
        <v>11</v>
      </c>
      <c r="C2649" s="4">
        <v>2026</v>
      </c>
      <c r="D2649" s="5" t="s">
        <v>12</v>
      </c>
      <c r="E2649" s="4">
        <v>364</v>
      </c>
      <c r="F2649" s="4" t="s">
        <v>2811</v>
      </c>
      <c r="G2649" s="4" t="s">
        <v>436</v>
      </c>
      <c r="H2649" s="4" t="s">
        <v>15</v>
      </c>
      <c r="I2649" s="4" t="s">
        <v>437</v>
      </c>
      <c r="J2649" s="4" t="s">
        <v>930</v>
      </c>
      <c r="K2649" s="4" t="s">
        <v>55</v>
      </c>
      <c r="L2649" s="4" t="s">
        <v>3743</v>
      </c>
      <c r="M2649" s="4" t="s">
        <v>3746</v>
      </c>
      <c r="N2649" s="4" t="s">
        <v>3747</v>
      </c>
      <c r="O2649" s="17">
        <f>INDEX('список ID из СУЭ с должностями'!$A:$F,MATCH(E2649,'список ID из СУЭ с должностями'!$B:$B,0),5)</f>
        <v>0</v>
      </c>
    </row>
    <row r="2650" spans="1:15" ht="315">
      <c r="A2650" s="3" t="s">
        <v>10</v>
      </c>
      <c r="B2650" s="3" t="s">
        <v>11</v>
      </c>
      <c r="C2650" s="4">
        <v>2026</v>
      </c>
      <c r="D2650" s="5" t="s">
        <v>12</v>
      </c>
      <c r="E2650" s="4">
        <v>365</v>
      </c>
      <c r="F2650" s="4" t="s">
        <v>280</v>
      </c>
      <c r="G2650" s="4" t="s">
        <v>2813</v>
      </c>
      <c r="H2650" s="4" t="s">
        <v>41</v>
      </c>
      <c r="I2650" s="4" t="s">
        <v>469</v>
      </c>
      <c r="J2650" s="4" t="s">
        <v>2814</v>
      </c>
      <c r="K2650" s="4" t="s">
        <v>38</v>
      </c>
      <c r="L2650" s="4" t="s">
        <v>3743</v>
      </c>
      <c r="M2650" s="4" t="s">
        <v>3746</v>
      </c>
      <c r="N2650" s="4" t="s">
        <v>3747</v>
      </c>
      <c r="O2650" s="17" t="str">
        <f>INDEX('список ID из СУЭ с должностями'!$A:$F,MATCH(E2650,'список ID из СУЭ с должностями'!$B:$B,0),5)</f>
        <v>ВИП</v>
      </c>
    </row>
    <row r="2651" spans="1:15" ht="240">
      <c r="A2651" s="3" t="s">
        <v>10</v>
      </c>
      <c r="B2651" s="3" t="s">
        <v>11</v>
      </c>
      <c r="C2651" s="4">
        <v>2026</v>
      </c>
      <c r="D2651" s="5" t="s">
        <v>12</v>
      </c>
      <c r="E2651" s="4">
        <v>365</v>
      </c>
      <c r="F2651" s="4" t="s">
        <v>280</v>
      </c>
      <c r="G2651" s="4" t="s">
        <v>2813</v>
      </c>
      <c r="H2651" s="4" t="s">
        <v>15</v>
      </c>
      <c r="I2651" s="4" t="s">
        <v>2025</v>
      </c>
      <c r="J2651" s="4" t="s">
        <v>2815</v>
      </c>
      <c r="K2651" s="4" t="s">
        <v>25</v>
      </c>
      <c r="L2651" s="4" t="s">
        <v>3743</v>
      </c>
      <c r="M2651" s="4" t="s">
        <v>3746</v>
      </c>
      <c r="N2651" s="4" t="s">
        <v>3747</v>
      </c>
      <c r="O2651" s="17" t="str">
        <f>INDEX('список ID из СУЭ с должностями'!$A:$F,MATCH(E2651,'список ID из СУЭ с должностями'!$B:$B,0),5)</f>
        <v>ВИП</v>
      </c>
    </row>
    <row r="2652" spans="1:15" ht="180">
      <c r="A2652" s="3" t="s">
        <v>10</v>
      </c>
      <c r="B2652" s="3" t="s">
        <v>11</v>
      </c>
      <c r="C2652" s="4">
        <v>2026</v>
      </c>
      <c r="D2652" s="5" t="s">
        <v>12</v>
      </c>
      <c r="E2652" s="4">
        <v>365</v>
      </c>
      <c r="F2652" s="4" t="s">
        <v>280</v>
      </c>
      <c r="G2652" s="4" t="s">
        <v>2813</v>
      </c>
      <c r="H2652" s="4" t="s">
        <v>15</v>
      </c>
      <c r="I2652" s="4" t="s">
        <v>2816</v>
      </c>
      <c r="J2652" s="4" t="s">
        <v>2817</v>
      </c>
      <c r="K2652" s="4" t="s">
        <v>66</v>
      </c>
      <c r="L2652" s="4" t="s">
        <v>3743</v>
      </c>
      <c r="M2652" s="4" t="s">
        <v>3746</v>
      </c>
      <c r="N2652" s="4" t="s">
        <v>3747</v>
      </c>
      <c r="O2652" s="17" t="str">
        <f>INDEX('список ID из СУЭ с должностями'!$A:$F,MATCH(E2652,'список ID из СУЭ с должностями'!$B:$B,0),5)</f>
        <v>ВИП</v>
      </c>
    </row>
    <row r="2653" spans="1:15" ht="165">
      <c r="A2653" s="3" t="s">
        <v>10</v>
      </c>
      <c r="B2653" s="3" t="s">
        <v>11</v>
      </c>
      <c r="C2653" s="4">
        <v>2026</v>
      </c>
      <c r="D2653" s="5" t="s">
        <v>12</v>
      </c>
      <c r="E2653" s="4">
        <v>365</v>
      </c>
      <c r="F2653" s="4" t="s">
        <v>280</v>
      </c>
      <c r="G2653" s="4" t="s">
        <v>2813</v>
      </c>
      <c r="H2653" s="4" t="s">
        <v>15</v>
      </c>
      <c r="I2653" s="4" t="s">
        <v>2818</v>
      </c>
      <c r="J2653" s="4" t="s">
        <v>2819</v>
      </c>
      <c r="K2653" s="4" t="s">
        <v>52</v>
      </c>
      <c r="L2653" s="4" t="s">
        <v>3743</v>
      </c>
      <c r="M2653" s="4" t="s">
        <v>3746</v>
      </c>
      <c r="N2653" s="4" t="s">
        <v>3747</v>
      </c>
      <c r="O2653" s="17" t="str">
        <f>INDEX('список ID из СУЭ с должностями'!$A:$F,MATCH(E2653,'список ID из СУЭ с должностями'!$B:$B,0),5)</f>
        <v>ВИП</v>
      </c>
    </row>
    <row r="2654" spans="1:15" ht="330">
      <c r="A2654" s="3" t="s">
        <v>10</v>
      </c>
      <c r="B2654" s="3" t="s">
        <v>11</v>
      </c>
      <c r="C2654" s="4">
        <v>2026</v>
      </c>
      <c r="D2654" s="5" t="s">
        <v>12</v>
      </c>
      <c r="E2654" s="4">
        <v>365</v>
      </c>
      <c r="F2654" s="4" t="s">
        <v>280</v>
      </c>
      <c r="G2654" s="4" t="s">
        <v>2813</v>
      </c>
      <c r="H2654" s="4" t="s">
        <v>15</v>
      </c>
      <c r="I2654" s="4" t="s">
        <v>2820</v>
      </c>
      <c r="J2654" s="4" t="s">
        <v>2821</v>
      </c>
      <c r="K2654" s="4" t="s">
        <v>188</v>
      </c>
      <c r="L2654" s="4" t="s">
        <v>3743</v>
      </c>
      <c r="M2654" s="4" t="s">
        <v>3746</v>
      </c>
      <c r="N2654" s="4" t="s">
        <v>3747</v>
      </c>
      <c r="O2654" s="17" t="str">
        <f>INDEX('список ID из СУЭ с должностями'!$A:$F,MATCH(E2654,'список ID из СУЭ с должностями'!$B:$B,0),5)</f>
        <v>ВИП</v>
      </c>
    </row>
    <row r="2655" spans="1:15" ht="195">
      <c r="A2655" s="3" t="s">
        <v>10</v>
      </c>
      <c r="B2655" s="3" t="s">
        <v>11</v>
      </c>
      <c r="C2655" s="4">
        <v>2026</v>
      </c>
      <c r="D2655" s="5" t="s">
        <v>12</v>
      </c>
      <c r="E2655" s="4">
        <v>365</v>
      </c>
      <c r="F2655" s="4" t="s">
        <v>280</v>
      </c>
      <c r="G2655" s="4" t="s">
        <v>2813</v>
      </c>
      <c r="H2655" s="4" t="s">
        <v>15</v>
      </c>
      <c r="I2655" s="4" t="s">
        <v>984</v>
      </c>
      <c r="J2655" s="4" t="s">
        <v>2822</v>
      </c>
      <c r="K2655" s="4" t="s">
        <v>66</v>
      </c>
      <c r="L2655" s="4" t="s">
        <v>3743</v>
      </c>
      <c r="M2655" s="4" t="s">
        <v>3746</v>
      </c>
      <c r="N2655" s="4" t="s">
        <v>3747</v>
      </c>
      <c r="O2655" s="17" t="str">
        <f>INDEX('список ID из СУЭ с должностями'!$A:$F,MATCH(E2655,'список ID из СУЭ с должностями'!$B:$B,0),5)</f>
        <v>ВИП</v>
      </c>
    </row>
    <row r="2656" spans="1:15" ht="75">
      <c r="A2656" s="3" t="s">
        <v>10</v>
      </c>
      <c r="B2656" s="3" t="s">
        <v>11</v>
      </c>
      <c r="C2656" s="4">
        <v>2026</v>
      </c>
      <c r="D2656" s="5" t="s">
        <v>12</v>
      </c>
      <c r="E2656" s="4">
        <v>365</v>
      </c>
      <c r="F2656" s="4" t="s">
        <v>280</v>
      </c>
      <c r="G2656" s="4" t="s">
        <v>2813</v>
      </c>
      <c r="H2656" s="4" t="s">
        <v>15</v>
      </c>
      <c r="I2656" s="4" t="s">
        <v>2823</v>
      </c>
      <c r="J2656" s="4" t="s">
        <v>2824</v>
      </c>
      <c r="K2656" s="4" t="s">
        <v>55</v>
      </c>
      <c r="L2656" s="4" t="s">
        <v>3743</v>
      </c>
      <c r="M2656" s="4" t="s">
        <v>3746</v>
      </c>
      <c r="N2656" s="4" t="s">
        <v>3747</v>
      </c>
      <c r="O2656" s="17" t="str">
        <f>INDEX('список ID из СУЭ с должностями'!$A:$F,MATCH(E2656,'список ID из СУЭ с должностями'!$B:$B,0),5)</f>
        <v>ВИП</v>
      </c>
    </row>
    <row r="2657" spans="1:15" ht="345">
      <c r="A2657" s="3" t="s">
        <v>10</v>
      </c>
      <c r="B2657" s="3" t="s">
        <v>11</v>
      </c>
      <c r="C2657" s="4">
        <v>2026</v>
      </c>
      <c r="D2657" s="5" t="s">
        <v>12</v>
      </c>
      <c r="E2657" s="4">
        <v>365</v>
      </c>
      <c r="F2657" s="4" t="s">
        <v>280</v>
      </c>
      <c r="G2657" s="4" t="s">
        <v>2813</v>
      </c>
      <c r="H2657" s="4" t="s">
        <v>15</v>
      </c>
      <c r="I2657" s="4" t="s">
        <v>2825</v>
      </c>
      <c r="J2657" s="4" t="s">
        <v>2826</v>
      </c>
      <c r="K2657" s="4" t="s">
        <v>30</v>
      </c>
      <c r="L2657" s="4" t="s">
        <v>3743</v>
      </c>
      <c r="M2657" s="4" t="s">
        <v>3746</v>
      </c>
      <c r="N2657" s="4" t="s">
        <v>3747</v>
      </c>
      <c r="O2657" s="17" t="str">
        <f>INDEX('список ID из СУЭ с должностями'!$A:$F,MATCH(E2657,'список ID из СУЭ с должностями'!$B:$B,0),5)</f>
        <v>ВИП</v>
      </c>
    </row>
    <row r="2658" spans="1:15" ht="90">
      <c r="A2658" s="3" t="s">
        <v>10</v>
      </c>
      <c r="B2658" s="3" t="s">
        <v>11</v>
      </c>
      <c r="C2658" s="4">
        <v>2026</v>
      </c>
      <c r="D2658" s="5" t="s">
        <v>12</v>
      </c>
      <c r="E2658" s="4">
        <v>365</v>
      </c>
      <c r="F2658" s="4" t="s">
        <v>280</v>
      </c>
      <c r="G2658" s="4" t="s">
        <v>2813</v>
      </c>
      <c r="H2658" s="4" t="s">
        <v>15</v>
      </c>
      <c r="I2658" s="4" t="s">
        <v>2827</v>
      </c>
      <c r="J2658" s="4" t="s">
        <v>2828</v>
      </c>
      <c r="K2658" s="4" t="s">
        <v>188</v>
      </c>
      <c r="L2658" s="4" t="s">
        <v>3743</v>
      </c>
      <c r="M2658" s="4" t="s">
        <v>3746</v>
      </c>
      <c r="N2658" s="4" t="s">
        <v>3747</v>
      </c>
      <c r="O2658" s="17" t="str">
        <f>INDEX('список ID из СУЭ с должностями'!$A:$F,MATCH(E2658,'список ID из СУЭ с должностями'!$B:$B,0),5)</f>
        <v>ВИП</v>
      </c>
    </row>
    <row r="2659" spans="1:15" ht="165">
      <c r="A2659" s="3" t="s">
        <v>10</v>
      </c>
      <c r="B2659" s="3" t="s">
        <v>11</v>
      </c>
      <c r="C2659" s="4">
        <v>2026</v>
      </c>
      <c r="D2659" s="5" t="s">
        <v>2829</v>
      </c>
      <c r="E2659" s="4">
        <v>366</v>
      </c>
      <c r="F2659" s="4" t="s">
        <v>239</v>
      </c>
      <c r="G2659" s="4" t="s">
        <v>240</v>
      </c>
      <c r="H2659" s="4" t="s">
        <v>15</v>
      </c>
      <c r="I2659" s="4" t="s">
        <v>201</v>
      </c>
      <c r="J2659" s="4" t="s">
        <v>202</v>
      </c>
      <c r="K2659" s="4" t="s">
        <v>188</v>
      </c>
      <c r="L2659" s="4" t="s">
        <v>3743</v>
      </c>
      <c r="M2659" s="4" t="s">
        <v>3746</v>
      </c>
      <c r="N2659" s="4" t="s">
        <v>3747</v>
      </c>
      <c r="O2659" s="17" t="str">
        <f>INDEX('список ID из СУЭ с должностями'!$A:$F,MATCH(E2659,'список ID из СУЭ с должностями'!$B:$B,0),5)</f>
        <v>ИПП</v>
      </c>
    </row>
    <row r="2660" spans="1:15" ht="75">
      <c r="A2660" s="3" t="s">
        <v>10</v>
      </c>
      <c r="B2660" s="3" t="s">
        <v>11</v>
      </c>
      <c r="C2660" s="4">
        <v>2026</v>
      </c>
      <c r="D2660" s="5" t="s">
        <v>2829</v>
      </c>
      <c r="E2660" s="4">
        <v>366</v>
      </c>
      <c r="F2660" s="4" t="s">
        <v>239</v>
      </c>
      <c r="G2660" s="4" t="s">
        <v>240</v>
      </c>
      <c r="H2660" s="4" t="s">
        <v>15</v>
      </c>
      <c r="I2660" s="4" t="s">
        <v>2830</v>
      </c>
      <c r="J2660" s="4" t="s">
        <v>299</v>
      </c>
      <c r="K2660" s="4" t="s">
        <v>66</v>
      </c>
      <c r="L2660" s="4" t="s">
        <v>3743</v>
      </c>
      <c r="M2660" s="4" t="s">
        <v>3746</v>
      </c>
      <c r="N2660" s="4" t="s">
        <v>3747</v>
      </c>
      <c r="O2660" s="17" t="str">
        <f>INDEX('список ID из СУЭ с должностями'!$A:$F,MATCH(E2660,'список ID из СУЭ с должностями'!$B:$B,0),5)</f>
        <v>ИПП</v>
      </c>
    </row>
    <row r="2661" spans="1:15" ht="90">
      <c r="A2661" s="3" t="s">
        <v>10</v>
      </c>
      <c r="B2661" s="3" t="s">
        <v>11</v>
      </c>
      <c r="C2661" s="4">
        <v>2026</v>
      </c>
      <c r="D2661" s="5" t="s">
        <v>2829</v>
      </c>
      <c r="E2661" s="4">
        <v>366</v>
      </c>
      <c r="F2661" s="4" t="s">
        <v>239</v>
      </c>
      <c r="G2661" s="4" t="s">
        <v>240</v>
      </c>
      <c r="H2661" s="4" t="s">
        <v>21</v>
      </c>
      <c r="I2661" s="4" t="s">
        <v>829</v>
      </c>
      <c r="J2661" s="4" t="s">
        <v>199</v>
      </c>
      <c r="K2661" s="4" t="s">
        <v>20</v>
      </c>
      <c r="L2661" s="4" t="s">
        <v>3743</v>
      </c>
      <c r="M2661" s="4" t="s">
        <v>3746</v>
      </c>
      <c r="N2661" s="4" t="s">
        <v>3747</v>
      </c>
      <c r="O2661" s="17" t="str">
        <f>INDEX('список ID из СУЭ с должностями'!$A:$F,MATCH(E2661,'список ID из СУЭ с должностями'!$B:$B,0),5)</f>
        <v>ИПП</v>
      </c>
    </row>
    <row r="2662" spans="1:15" ht="75">
      <c r="A2662" s="3" t="s">
        <v>10</v>
      </c>
      <c r="B2662" s="3" t="s">
        <v>11</v>
      </c>
      <c r="C2662" s="4">
        <v>2026</v>
      </c>
      <c r="D2662" s="5" t="s">
        <v>2829</v>
      </c>
      <c r="E2662" s="4">
        <v>366</v>
      </c>
      <c r="F2662" s="4" t="s">
        <v>239</v>
      </c>
      <c r="G2662" s="4" t="s">
        <v>240</v>
      </c>
      <c r="H2662" s="4" t="s">
        <v>15</v>
      </c>
      <c r="I2662" s="4" t="s">
        <v>834</v>
      </c>
      <c r="J2662" s="4" t="s">
        <v>196</v>
      </c>
      <c r="K2662" s="4" t="s">
        <v>188</v>
      </c>
      <c r="L2662" s="4" t="s">
        <v>3742</v>
      </c>
      <c r="M2662" s="4" t="s">
        <v>3746</v>
      </c>
      <c r="N2662" s="4" t="s">
        <v>3747</v>
      </c>
      <c r="O2662" s="17" t="str">
        <f>INDEX('список ID из СУЭ с должностями'!$A:$F,MATCH(E2662,'список ID из СУЭ с должностями'!$B:$B,0),5)</f>
        <v>ИПП</v>
      </c>
    </row>
    <row r="2663" spans="1:15" ht="75">
      <c r="A2663" s="3" t="s">
        <v>10</v>
      </c>
      <c r="B2663" s="3" t="s">
        <v>11</v>
      </c>
      <c r="C2663" s="4">
        <v>2026</v>
      </c>
      <c r="D2663" s="5" t="s">
        <v>2829</v>
      </c>
      <c r="E2663" s="4">
        <v>366</v>
      </c>
      <c r="F2663" s="4" t="s">
        <v>239</v>
      </c>
      <c r="G2663" s="4" t="s">
        <v>240</v>
      </c>
      <c r="H2663" s="4" t="s">
        <v>15</v>
      </c>
      <c r="I2663" s="4" t="s">
        <v>48</v>
      </c>
      <c r="J2663" s="4" t="s">
        <v>187</v>
      </c>
      <c r="K2663" s="4" t="s">
        <v>35</v>
      </c>
      <c r="L2663" s="4" t="s">
        <v>3743</v>
      </c>
      <c r="M2663" s="4" t="s">
        <v>3746</v>
      </c>
      <c r="N2663" s="4" t="s">
        <v>3747</v>
      </c>
      <c r="O2663" s="17" t="str">
        <f>INDEX('список ID из СУЭ с должностями'!$A:$F,MATCH(E2663,'список ID из СУЭ с должностями'!$B:$B,0),5)</f>
        <v>ИПП</v>
      </c>
    </row>
    <row r="2664" spans="1:15" ht="75">
      <c r="A2664" s="3" t="s">
        <v>10</v>
      </c>
      <c r="B2664" s="3" t="s">
        <v>11</v>
      </c>
      <c r="C2664" s="4">
        <v>2026</v>
      </c>
      <c r="D2664" s="5" t="s">
        <v>2829</v>
      </c>
      <c r="E2664" s="4">
        <v>366</v>
      </c>
      <c r="F2664" s="4" t="s">
        <v>239</v>
      </c>
      <c r="G2664" s="4" t="s">
        <v>240</v>
      </c>
      <c r="H2664" s="4" t="s">
        <v>15</v>
      </c>
      <c r="I2664" s="4" t="s">
        <v>1702</v>
      </c>
      <c r="J2664" s="4" t="s">
        <v>132</v>
      </c>
      <c r="K2664" s="4" t="s">
        <v>38</v>
      </c>
      <c r="L2664" s="4" t="s">
        <v>3742</v>
      </c>
      <c r="M2664" s="4" t="s">
        <v>3746</v>
      </c>
      <c r="N2664" s="4" t="s">
        <v>3747</v>
      </c>
      <c r="O2664" s="17" t="str">
        <f>INDEX('список ID из СУЭ с должностями'!$A:$F,MATCH(E2664,'список ID из СУЭ с должностями'!$B:$B,0),5)</f>
        <v>ИПП</v>
      </c>
    </row>
    <row r="2665" spans="1:15" ht="75">
      <c r="A2665" s="3" t="s">
        <v>10</v>
      </c>
      <c r="B2665" s="3" t="s">
        <v>11</v>
      </c>
      <c r="C2665" s="4">
        <v>2026</v>
      </c>
      <c r="D2665" s="5" t="s">
        <v>2829</v>
      </c>
      <c r="E2665" s="4">
        <v>366</v>
      </c>
      <c r="F2665" s="4" t="s">
        <v>239</v>
      </c>
      <c r="G2665" s="4" t="s">
        <v>240</v>
      </c>
      <c r="H2665" s="4" t="s">
        <v>15</v>
      </c>
      <c r="I2665" s="4" t="s">
        <v>1408</v>
      </c>
      <c r="J2665" s="4" t="s">
        <v>182</v>
      </c>
      <c r="K2665" s="4" t="s">
        <v>151</v>
      </c>
      <c r="L2665" s="4" t="s">
        <v>3742</v>
      </c>
      <c r="M2665" s="4" t="s">
        <v>3746</v>
      </c>
      <c r="N2665" s="4" t="s">
        <v>3747</v>
      </c>
      <c r="O2665" s="17" t="str">
        <f>INDEX('список ID из СУЭ с должностями'!$A:$F,MATCH(E2665,'список ID из СУЭ с должностями'!$B:$B,0),5)</f>
        <v>ИПП</v>
      </c>
    </row>
    <row r="2666" spans="1:15" ht="75">
      <c r="A2666" s="3" t="s">
        <v>10</v>
      </c>
      <c r="B2666" s="3" t="s">
        <v>11</v>
      </c>
      <c r="C2666" s="4">
        <v>2026</v>
      </c>
      <c r="D2666" s="5" t="s">
        <v>12</v>
      </c>
      <c r="E2666" s="4">
        <v>367</v>
      </c>
      <c r="F2666" s="4" t="s">
        <v>67</v>
      </c>
      <c r="G2666" s="4" t="s">
        <v>1540</v>
      </c>
      <c r="H2666" s="4" t="s">
        <v>15</v>
      </c>
      <c r="I2666" s="4" t="s">
        <v>2831</v>
      </c>
      <c r="J2666" s="4" t="s">
        <v>2832</v>
      </c>
      <c r="K2666" s="4" t="s">
        <v>25</v>
      </c>
      <c r="L2666" s="4" t="s">
        <v>3743</v>
      </c>
      <c r="M2666" s="4" t="s">
        <v>3746</v>
      </c>
      <c r="N2666" s="4" t="s">
        <v>3747</v>
      </c>
      <c r="O2666" s="17">
        <f>INDEX('список ID из СУЭ с должностями'!$A:$F,MATCH(E2666,'список ID из СУЭ с должностями'!$B:$B,0),5)</f>
        <v>0</v>
      </c>
    </row>
    <row r="2667" spans="1:15" ht="60">
      <c r="A2667" s="3" t="s">
        <v>10</v>
      </c>
      <c r="B2667" s="3" t="s">
        <v>11</v>
      </c>
      <c r="C2667" s="4">
        <v>2026</v>
      </c>
      <c r="D2667" s="5" t="s">
        <v>12</v>
      </c>
      <c r="E2667" s="4">
        <v>367</v>
      </c>
      <c r="F2667" s="4" t="s">
        <v>67</v>
      </c>
      <c r="G2667" s="4" t="s">
        <v>1540</v>
      </c>
      <c r="H2667" s="4" t="s">
        <v>21</v>
      </c>
      <c r="I2667" s="4" t="s">
        <v>2833</v>
      </c>
      <c r="J2667" s="4" t="s">
        <v>2834</v>
      </c>
      <c r="K2667" s="4" t="s">
        <v>188</v>
      </c>
      <c r="L2667" s="4" t="s">
        <v>3742</v>
      </c>
      <c r="M2667" s="4" t="s">
        <v>3746</v>
      </c>
      <c r="N2667" s="4" t="s">
        <v>3747</v>
      </c>
      <c r="O2667" s="17">
        <f>INDEX('список ID из СУЭ с должностями'!$A:$F,MATCH(E2667,'список ID из СУЭ с должностями'!$B:$B,0),5)</f>
        <v>0</v>
      </c>
    </row>
    <row r="2668" spans="1:15" ht="105">
      <c r="A2668" s="3" t="s">
        <v>10</v>
      </c>
      <c r="B2668" s="3" t="s">
        <v>11</v>
      </c>
      <c r="C2668" s="4">
        <v>2026</v>
      </c>
      <c r="D2668" s="5" t="s">
        <v>12</v>
      </c>
      <c r="E2668" s="4">
        <v>367</v>
      </c>
      <c r="F2668" s="4" t="s">
        <v>67</v>
      </c>
      <c r="G2668" s="4" t="s">
        <v>1540</v>
      </c>
      <c r="H2668" s="4" t="s">
        <v>41</v>
      </c>
      <c r="I2668" s="4" t="s">
        <v>2835</v>
      </c>
      <c r="J2668" s="4" t="s">
        <v>2836</v>
      </c>
      <c r="K2668" s="4" t="s">
        <v>20</v>
      </c>
      <c r="L2668" s="4" t="s">
        <v>3743</v>
      </c>
      <c r="M2668" s="4" t="s">
        <v>3746</v>
      </c>
      <c r="N2668" s="4" t="s">
        <v>3747</v>
      </c>
      <c r="O2668" s="17">
        <f>INDEX('список ID из СУЭ с должностями'!$A:$F,MATCH(E2668,'список ID из СУЭ с должностями'!$B:$B,0),5)</f>
        <v>0</v>
      </c>
    </row>
    <row r="2669" spans="1:15" ht="165">
      <c r="A2669" s="3" t="s">
        <v>10</v>
      </c>
      <c r="B2669" s="3" t="s">
        <v>11</v>
      </c>
      <c r="C2669" s="4">
        <v>2026</v>
      </c>
      <c r="D2669" s="5" t="s">
        <v>12</v>
      </c>
      <c r="E2669" s="4">
        <v>367</v>
      </c>
      <c r="F2669" s="4" t="s">
        <v>67</v>
      </c>
      <c r="G2669" s="4" t="s">
        <v>1540</v>
      </c>
      <c r="H2669" s="4" t="s">
        <v>15</v>
      </c>
      <c r="I2669" s="4" t="s">
        <v>1548</v>
      </c>
      <c r="J2669" s="4" t="s">
        <v>2837</v>
      </c>
      <c r="K2669" s="4" t="s">
        <v>66</v>
      </c>
      <c r="L2669" s="4" t="s">
        <v>3743</v>
      </c>
      <c r="M2669" s="4" t="s">
        <v>3746</v>
      </c>
      <c r="N2669" s="4" t="s">
        <v>3747</v>
      </c>
      <c r="O2669" s="17">
        <f>INDEX('список ID из СУЭ с должностями'!$A:$F,MATCH(E2669,'список ID из СУЭ с должностями'!$B:$B,0),5)</f>
        <v>0</v>
      </c>
    </row>
    <row r="2670" spans="1:15" ht="120">
      <c r="A2670" s="3" t="s">
        <v>10</v>
      </c>
      <c r="B2670" s="3" t="s">
        <v>11</v>
      </c>
      <c r="C2670" s="4">
        <v>2026</v>
      </c>
      <c r="D2670" s="5" t="s">
        <v>12</v>
      </c>
      <c r="E2670" s="4">
        <v>367</v>
      </c>
      <c r="F2670" s="4" t="s">
        <v>67</v>
      </c>
      <c r="G2670" s="4" t="s">
        <v>1540</v>
      </c>
      <c r="H2670" s="4" t="s">
        <v>15</v>
      </c>
      <c r="I2670" s="4" t="s">
        <v>1550</v>
      </c>
      <c r="J2670" s="4" t="s">
        <v>1551</v>
      </c>
      <c r="K2670" s="4" t="s">
        <v>35</v>
      </c>
      <c r="L2670" s="4" t="s">
        <v>3743</v>
      </c>
      <c r="M2670" s="4" t="s">
        <v>3746</v>
      </c>
      <c r="N2670" s="4" t="s">
        <v>3747</v>
      </c>
      <c r="O2670" s="17">
        <f>INDEX('список ID из СУЭ с должностями'!$A:$F,MATCH(E2670,'список ID из СУЭ с должностями'!$B:$B,0),5)</f>
        <v>0</v>
      </c>
    </row>
    <row r="2671" spans="1:15" ht="75">
      <c r="A2671" s="3" t="s">
        <v>10</v>
      </c>
      <c r="B2671" s="3" t="s">
        <v>11</v>
      </c>
      <c r="C2671" s="4">
        <v>2026</v>
      </c>
      <c r="D2671" s="5" t="s">
        <v>12</v>
      </c>
      <c r="E2671" s="4">
        <v>367</v>
      </c>
      <c r="F2671" s="4" t="s">
        <v>67</v>
      </c>
      <c r="G2671" s="4" t="s">
        <v>1540</v>
      </c>
      <c r="H2671" s="4" t="s">
        <v>21</v>
      </c>
      <c r="I2671" s="4" t="s">
        <v>2838</v>
      </c>
      <c r="J2671" s="4" t="s">
        <v>2839</v>
      </c>
      <c r="K2671" s="4" t="s">
        <v>20</v>
      </c>
      <c r="L2671" s="4" t="s">
        <v>3742</v>
      </c>
      <c r="M2671" s="4" t="s">
        <v>3746</v>
      </c>
      <c r="N2671" s="4" t="s">
        <v>3747</v>
      </c>
      <c r="O2671" s="17">
        <f>INDEX('список ID из СУЭ с должностями'!$A:$F,MATCH(E2671,'список ID из СУЭ с должностями'!$B:$B,0),5)</f>
        <v>0</v>
      </c>
    </row>
    <row r="2672" spans="1:15" ht="180">
      <c r="A2672" s="3" t="s">
        <v>10</v>
      </c>
      <c r="B2672" s="3" t="s">
        <v>11</v>
      </c>
      <c r="C2672" s="4">
        <v>2026</v>
      </c>
      <c r="D2672" s="5" t="s">
        <v>12</v>
      </c>
      <c r="E2672" s="4">
        <v>367</v>
      </c>
      <c r="F2672" s="4" t="s">
        <v>67</v>
      </c>
      <c r="G2672" s="4" t="s">
        <v>1540</v>
      </c>
      <c r="H2672" s="4" t="s">
        <v>15</v>
      </c>
      <c r="I2672" s="4" t="s">
        <v>1546</v>
      </c>
      <c r="J2672" s="4" t="s">
        <v>2840</v>
      </c>
      <c r="K2672" s="4" t="s">
        <v>188</v>
      </c>
      <c r="L2672" s="4" t="s">
        <v>3743</v>
      </c>
      <c r="M2672" s="4" t="s">
        <v>3746</v>
      </c>
      <c r="N2672" s="4" t="s">
        <v>3747</v>
      </c>
      <c r="O2672" s="17">
        <f>INDEX('список ID из СУЭ с должностями'!$A:$F,MATCH(E2672,'список ID из СУЭ с должностями'!$B:$B,0),5)</f>
        <v>0</v>
      </c>
    </row>
    <row r="2673" spans="1:15" ht="75">
      <c r="A2673" s="3" t="s">
        <v>10</v>
      </c>
      <c r="B2673" s="3" t="s">
        <v>11</v>
      </c>
      <c r="C2673" s="4">
        <v>2026</v>
      </c>
      <c r="D2673" s="5" t="s">
        <v>12</v>
      </c>
      <c r="E2673" s="4">
        <v>367</v>
      </c>
      <c r="F2673" s="4" t="s">
        <v>67</v>
      </c>
      <c r="G2673" s="4" t="s">
        <v>1540</v>
      </c>
      <c r="H2673" s="4" t="s">
        <v>41</v>
      </c>
      <c r="I2673" s="4" t="s">
        <v>2841</v>
      </c>
      <c r="J2673" s="4" t="s">
        <v>2842</v>
      </c>
      <c r="K2673" s="4" t="s">
        <v>20</v>
      </c>
      <c r="L2673" s="4" t="s">
        <v>3742</v>
      </c>
      <c r="M2673" s="4" t="s">
        <v>3746</v>
      </c>
      <c r="N2673" s="4" t="s">
        <v>3747</v>
      </c>
      <c r="O2673" s="17">
        <f>INDEX('список ID из СУЭ с должностями'!$A:$F,MATCH(E2673,'список ID из СУЭ с должностями'!$B:$B,0),5)</f>
        <v>0</v>
      </c>
    </row>
    <row r="2674" spans="1:15" ht="150">
      <c r="A2674" s="3" t="s">
        <v>10</v>
      </c>
      <c r="B2674" s="3" t="s">
        <v>11</v>
      </c>
      <c r="C2674" s="4">
        <v>2026</v>
      </c>
      <c r="D2674" s="5" t="s">
        <v>12</v>
      </c>
      <c r="E2674" s="4">
        <v>368</v>
      </c>
      <c r="F2674" s="4" t="s">
        <v>420</v>
      </c>
      <c r="G2674" s="4" t="s">
        <v>417</v>
      </c>
      <c r="H2674" s="4" t="s">
        <v>15</v>
      </c>
      <c r="I2674" s="4" t="s">
        <v>2843</v>
      </c>
      <c r="J2674" s="4" t="s">
        <v>2844</v>
      </c>
      <c r="K2674" s="4" t="s">
        <v>2845</v>
      </c>
      <c r="L2674" s="4" t="s">
        <v>3743</v>
      </c>
      <c r="M2674" s="4" t="s">
        <v>3746</v>
      </c>
      <c r="N2674" s="4" t="s">
        <v>3754</v>
      </c>
      <c r="O2674" s="17">
        <f>INDEX('список ID из СУЭ с должностями'!$A:$F,MATCH(E2674,'список ID из СУЭ с должностями'!$B:$B,0),5)</f>
        <v>0</v>
      </c>
    </row>
    <row r="2675" spans="1:15" ht="120">
      <c r="A2675" s="3" t="s">
        <v>10</v>
      </c>
      <c r="B2675" s="3" t="s">
        <v>11</v>
      </c>
      <c r="C2675" s="4">
        <v>2026</v>
      </c>
      <c r="D2675" s="5" t="s">
        <v>12</v>
      </c>
      <c r="E2675" s="4">
        <v>368</v>
      </c>
      <c r="F2675" s="4" t="s">
        <v>420</v>
      </c>
      <c r="G2675" s="4" t="s">
        <v>417</v>
      </c>
      <c r="H2675" s="4" t="s">
        <v>21</v>
      </c>
      <c r="I2675" s="4" t="s">
        <v>2218</v>
      </c>
      <c r="J2675" s="4" t="s">
        <v>2846</v>
      </c>
      <c r="K2675" s="4" t="s">
        <v>55</v>
      </c>
      <c r="L2675" s="4" t="s">
        <v>3743</v>
      </c>
      <c r="M2675" s="4" t="s">
        <v>3746</v>
      </c>
      <c r="N2675" s="4" t="s">
        <v>3747</v>
      </c>
      <c r="O2675" s="17">
        <f>INDEX('список ID из СУЭ с должностями'!$A:$F,MATCH(E2675,'список ID из СУЭ с должностями'!$B:$B,0),5)</f>
        <v>0</v>
      </c>
    </row>
    <row r="2676" spans="1:15" ht="210">
      <c r="A2676" s="3" t="s">
        <v>10</v>
      </c>
      <c r="B2676" s="3" t="s">
        <v>11</v>
      </c>
      <c r="C2676" s="4">
        <v>2026</v>
      </c>
      <c r="D2676" s="5" t="s">
        <v>12</v>
      </c>
      <c r="E2676" s="4">
        <v>368</v>
      </c>
      <c r="F2676" s="4" t="s">
        <v>420</v>
      </c>
      <c r="G2676" s="4" t="s">
        <v>417</v>
      </c>
      <c r="H2676" s="4" t="s">
        <v>21</v>
      </c>
      <c r="I2676" s="4" t="s">
        <v>2847</v>
      </c>
      <c r="J2676" s="4" t="s">
        <v>2848</v>
      </c>
      <c r="K2676" s="4" t="s">
        <v>55</v>
      </c>
      <c r="L2676" s="4" t="s">
        <v>3743</v>
      </c>
      <c r="M2676" s="4" t="s">
        <v>3746</v>
      </c>
      <c r="N2676" s="4" t="s">
        <v>3747</v>
      </c>
      <c r="O2676" s="17">
        <f>INDEX('список ID из СУЭ с должностями'!$A:$F,MATCH(E2676,'список ID из СУЭ с должностями'!$B:$B,0),5)</f>
        <v>0</v>
      </c>
    </row>
    <row r="2677" spans="1:15" ht="120">
      <c r="A2677" s="3" t="s">
        <v>10</v>
      </c>
      <c r="B2677" s="3" t="s">
        <v>11</v>
      </c>
      <c r="C2677" s="4">
        <v>2026</v>
      </c>
      <c r="D2677" s="5" t="s">
        <v>12</v>
      </c>
      <c r="E2677" s="4">
        <v>368</v>
      </c>
      <c r="F2677" s="4" t="s">
        <v>420</v>
      </c>
      <c r="G2677" s="4" t="s">
        <v>417</v>
      </c>
      <c r="H2677" s="4" t="s">
        <v>21</v>
      </c>
      <c r="I2677" s="4" t="s">
        <v>2223</v>
      </c>
      <c r="J2677" s="4" t="s">
        <v>2849</v>
      </c>
      <c r="K2677" s="4" t="s">
        <v>55</v>
      </c>
      <c r="L2677" s="4" t="s">
        <v>3743</v>
      </c>
      <c r="M2677" s="4" t="s">
        <v>3746</v>
      </c>
      <c r="N2677" s="4" t="s">
        <v>3747</v>
      </c>
      <c r="O2677" s="17">
        <f>INDEX('список ID из СУЭ с должностями'!$A:$F,MATCH(E2677,'список ID из СУЭ с должностями'!$B:$B,0),5)</f>
        <v>0</v>
      </c>
    </row>
    <row r="2678" spans="1:15" ht="405">
      <c r="A2678" s="3" t="s">
        <v>10</v>
      </c>
      <c r="B2678" s="3" t="s">
        <v>11</v>
      </c>
      <c r="C2678" s="4">
        <v>2026</v>
      </c>
      <c r="D2678" s="5" t="s">
        <v>12</v>
      </c>
      <c r="E2678" s="4">
        <v>368</v>
      </c>
      <c r="F2678" s="4" t="s">
        <v>420</v>
      </c>
      <c r="G2678" s="4" t="s">
        <v>417</v>
      </c>
      <c r="H2678" s="4" t="s">
        <v>21</v>
      </c>
      <c r="I2678" s="4" t="s">
        <v>2221</v>
      </c>
      <c r="J2678" s="4" t="s">
        <v>2850</v>
      </c>
      <c r="K2678" s="4" t="s">
        <v>55</v>
      </c>
      <c r="L2678" s="4" t="s">
        <v>3743</v>
      </c>
      <c r="M2678" s="4" t="s">
        <v>3746</v>
      </c>
      <c r="N2678" s="4" t="s">
        <v>3747</v>
      </c>
      <c r="O2678" s="17">
        <f>INDEX('список ID из СУЭ с должностями'!$A:$F,MATCH(E2678,'список ID из СУЭ с должностями'!$B:$B,0),5)</f>
        <v>0</v>
      </c>
    </row>
    <row r="2679" spans="1:15" ht="120">
      <c r="A2679" s="3" t="s">
        <v>10</v>
      </c>
      <c r="B2679" s="3" t="s">
        <v>11</v>
      </c>
      <c r="C2679" s="4">
        <v>2026</v>
      </c>
      <c r="D2679" s="5" t="s">
        <v>12</v>
      </c>
      <c r="E2679" s="4">
        <v>368</v>
      </c>
      <c r="F2679" s="4" t="s">
        <v>420</v>
      </c>
      <c r="G2679" s="4" t="s">
        <v>417</v>
      </c>
      <c r="H2679" s="4" t="s">
        <v>15</v>
      </c>
      <c r="I2679" s="4" t="s">
        <v>423</v>
      </c>
      <c r="J2679" s="4" t="s">
        <v>2851</v>
      </c>
      <c r="K2679" s="4" t="s">
        <v>25</v>
      </c>
      <c r="L2679" s="4" t="s">
        <v>3743</v>
      </c>
      <c r="M2679" s="4" t="s">
        <v>3746</v>
      </c>
      <c r="N2679" s="4" t="s">
        <v>3747</v>
      </c>
      <c r="O2679" s="17">
        <f>INDEX('список ID из СУЭ с должностями'!$A:$F,MATCH(E2679,'список ID из СУЭ с должностями'!$B:$B,0),5)</f>
        <v>0</v>
      </c>
    </row>
    <row r="2680" spans="1:15" ht="135">
      <c r="A2680" s="3" t="s">
        <v>10</v>
      </c>
      <c r="B2680" s="3" t="s">
        <v>11</v>
      </c>
      <c r="C2680" s="4">
        <v>2026</v>
      </c>
      <c r="D2680" s="5" t="s">
        <v>12</v>
      </c>
      <c r="E2680" s="4">
        <v>368</v>
      </c>
      <c r="F2680" s="4" t="s">
        <v>420</v>
      </c>
      <c r="G2680" s="4" t="s">
        <v>417</v>
      </c>
      <c r="H2680" s="4" t="s">
        <v>15</v>
      </c>
      <c r="I2680" s="4" t="s">
        <v>2223</v>
      </c>
      <c r="J2680" s="4" t="s">
        <v>2852</v>
      </c>
      <c r="K2680" s="4" t="s">
        <v>55</v>
      </c>
      <c r="L2680" s="4" t="s">
        <v>3743</v>
      </c>
      <c r="M2680" s="4" t="s">
        <v>3746</v>
      </c>
      <c r="N2680" s="4" t="s">
        <v>3747</v>
      </c>
      <c r="O2680" s="17">
        <f>INDEX('список ID из СУЭ с должностями'!$A:$F,MATCH(E2680,'список ID из СУЭ с должностями'!$B:$B,0),5)</f>
        <v>0</v>
      </c>
    </row>
    <row r="2681" spans="1:15" ht="195">
      <c r="A2681" s="3" t="s">
        <v>10</v>
      </c>
      <c r="B2681" s="3" t="s">
        <v>11</v>
      </c>
      <c r="C2681" s="4">
        <v>2026</v>
      </c>
      <c r="D2681" s="5" t="s">
        <v>12</v>
      </c>
      <c r="E2681" s="4">
        <v>368</v>
      </c>
      <c r="F2681" s="4" t="s">
        <v>420</v>
      </c>
      <c r="G2681" s="4" t="s">
        <v>417</v>
      </c>
      <c r="H2681" s="4" t="s">
        <v>15</v>
      </c>
      <c r="I2681" s="4" t="s">
        <v>2853</v>
      </c>
      <c r="J2681" s="4" t="s">
        <v>2854</v>
      </c>
      <c r="K2681" s="4" t="s">
        <v>25</v>
      </c>
      <c r="L2681" s="4" t="s">
        <v>3743</v>
      </c>
      <c r="M2681" s="4" t="s">
        <v>3746</v>
      </c>
      <c r="N2681" s="4" t="s">
        <v>3747</v>
      </c>
      <c r="O2681" s="17">
        <f>INDEX('список ID из СУЭ с должностями'!$A:$F,MATCH(E2681,'список ID из СУЭ с должностями'!$B:$B,0),5)</f>
        <v>0</v>
      </c>
    </row>
    <row r="2682" spans="1:15" ht="270">
      <c r="A2682" s="3" t="s">
        <v>10</v>
      </c>
      <c r="B2682" s="3" t="s">
        <v>11</v>
      </c>
      <c r="C2682" s="4">
        <v>2026</v>
      </c>
      <c r="D2682" s="5" t="s">
        <v>12</v>
      </c>
      <c r="E2682" s="4">
        <v>368</v>
      </c>
      <c r="F2682" s="4" t="s">
        <v>420</v>
      </c>
      <c r="G2682" s="4" t="s">
        <v>417</v>
      </c>
      <c r="H2682" s="4" t="s">
        <v>15</v>
      </c>
      <c r="I2682" s="4" t="s">
        <v>2221</v>
      </c>
      <c r="J2682" s="4" t="s">
        <v>2855</v>
      </c>
      <c r="K2682" s="4" t="s">
        <v>55</v>
      </c>
      <c r="L2682" s="4" t="s">
        <v>3743</v>
      </c>
      <c r="M2682" s="4" t="s">
        <v>3746</v>
      </c>
      <c r="N2682" s="4" t="s">
        <v>3747</v>
      </c>
      <c r="O2682" s="17">
        <f>INDEX('список ID из СУЭ с должностями'!$A:$F,MATCH(E2682,'список ID из СУЭ с должностями'!$B:$B,0),5)</f>
        <v>0</v>
      </c>
    </row>
    <row r="2683" spans="1:15" ht="180">
      <c r="A2683" s="3" t="s">
        <v>10</v>
      </c>
      <c r="B2683" s="3" t="s">
        <v>11</v>
      </c>
      <c r="C2683" s="4">
        <v>2026</v>
      </c>
      <c r="D2683" s="5" t="s">
        <v>12</v>
      </c>
      <c r="E2683" s="4">
        <v>368</v>
      </c>
      <c r="F2683" s="4" t="s">
        <v>420</v>
      </c>
      <c r="G2683" s="4" t="s">
        <v>417</v>
      </c>
      <c r="H2683" s="4" t="s">
        <v>21</v>
      </c>
      <c r="I2683" s="4" t="s">
        <v>999</v>
      </c>
      <c r="J2683" s="4" t="s">
        <v>1396</v>
      </c>
      <c r="K2683" s="4" t="s">
        <v>23</v>
      </c>
      <c r="L2683" s="4" t="s">
        <v>3743</v>
      </c>
      <c r="M2683" s="4" t="s">
        <v>3748</v>
      </c>
      <c r="N2683" s="4" t="s">
        <v>3752</v>
      </c>
      <c r="O2683" s="17">
        <f>INDEX('список ID из СУЭ с должностями'!$A:$F,MATCH(E2683,'список ID из СУЭ с должностями'!$B:$B,0),5)</f>
        <v>0</v>
      </c>
    </row>
    <row r="2684" spans="1:15" ht="150">
      <c r="A2684" s="3" t="s">
        <v>10</v>
      </c>
      <c r="B2684" s="3" t="s">
        <v>11</v>
      </c>
      <c r="C2684" s="4">
        <v>2026</v>
      </c>
      <c r="D2684" s="5" t="s">
        <v>12</v>
      </c>
      <c r="E2684" s="4">
        <v>369</v>
      </c>
      <c r="F2684" s="4" t="s">
        <v>239</v>
      </c>
      <c r="G2684" s="4" t="s">
        <v>2813</v>
      </c>
      <c r="H2684" s="4" t="s">
        <v>15</v>
      </c>
      <c r="I2684" s="4" t="s">
        <v>203</v>
      </c>
      <c r="J2684" s="4" t="s">
        <v>2856</v>
      </c>
      <c r="K2684" s="4" t="s">
        <v>35</v>
      </c>
      <c r="L2684" s="4" t="s">
        <v>3743</v>
      </c>
      <c r="M2684" s="4" t="s">
        <v>3746</v>
      </c>
      <c r="N2684" s="4" t="s">
        <v>3747</v>
      </c>
      <c r="O2684" s="17" t="str">
        <f>INDEX('список ID из СУЭ с должностями'!$A:$F,MATCH(E2684,'список ID из СУЭ с должностями'!$B:$B,0),5)</f>
        <v>ИПП</v>
      </c>
    </row>
    <row r="2685" spans="1:15" ht="90">
      <c r="A2685" s="3" t="s">
        <v>10</v>
      </c>
      <c r="B2685" s="3" t="s">
        <v>11</v>
      </c>
      <c r="C2685" s="4">
        <v>2026</v>
      </c>
      <c r="D2685" s="5" t="s">
        <v>12</v>
      </c>
      <c r="E2685" s="4">
        <v>369</v>
      </c>
      <c r="F2685" s="4" t="s">
        <v>239</v>
      </c>
      <c r="G2685" s="4" t="s">
        <v>2813</v>
      </c>
      <c r="H2685" s="4" t="s">
        <v>15</v>
      </c>
      <c r="I2685" s="4" t="s">
        <v>2857</v>
      </c>
      <c r="J2685" s="4" t="s">
        <v>2858</v>
      </c>
      <c r="K2685" s="4" t="s">
        <v>66</v>
      </c>
      <c r="L2685" s="4" t="s">
        <v>3743</v>
      </c>
      <c r="M2685" s="4" t="s">
        <v>3746</v>
      </c>
      <c r="N2685" s="4" t="s">
        <v>3747</v>
      </c>
      <c r="O2685" s="17" t="str">
        <f>INDEX('список ID из СУЭ с должностями'!$A:$F,MATCH(E2685,'список ID из СУЭ с должностями'!$B:$B,0),5)</f>
        <v>ИПП</v>
      </c>
    </row>
    <row r="2686" spans="1:15" ht="225">
      <c r="A2686" s="3" t="s">
        <v>10</v>
      </c>
      <c r="B2686" s="3" t="s">
        <v>11</v>
      </c>
      <c r="C2686" s="4">
        <v>2026</v>
      </c>
      <c r="D2686" s="5" t="s">
        <v>12</v>
      </c>
      <c r="E2686" s="4">
        <v>369</v>
      </c>
      <c r="F2686" s="4" t="s">
        <v>239</v>
      </c>
      <c r="G2686" s="4" t="s">
        <v>2813</v>
      </c>
      <c r="H2686" s="4" t="s">
        <v>15</v>
      </c>
      <c r="I2686" s="4" t="s">
        <v>46</v>
      </c>
      <c r="J2686" s="4" t="s">
        <v>2859</v>
      </c>
      <c r="K2686" s="4" t="s">
        <v>20</v>
      </c>
      <c r="L2686" s="4" t="s">
        <v>3743</v>
      </c>
      <c r="M2686" s="4" t="s">
        <v>3746</v>
      </c>
      <c r="N2686" s="4" t="s">
        <v>3747</v>
      </c>
      <c r="O2686" s="17" t="str">
        <f>INDEX('список ID из СУЭ с должностями'!$A:$F,MATCH(E2686,'список ID из СУЭ с должностями'!$B:$B,0),5)</f>
        <v>ИПП</v>
      </c>
    </row>
    <row r="2687" spans="1:15" ht="330">
      <c r="A2687" s="3" t="s">
        <v>10</v>
      </c>
      <c r="B2687" s="3" t="s">
        <v>11</v>
      </c>
      <c r="C2687" s="4">
        <v>2026</v>
      </c>
      <c r="D2687" s="5" t="s">
        <v>12</v>
      </c>
      <c r="E2687" s="4">
        <v>369</v>
      </c>
      <c r="F2687" s="4" t="s">
        <v>239</v>
      </c>
      <c r="G2687" s="4" t="s">
        <v>2813</v>
      </c>
      <c r="H2687" s="4" t="s">
        <v>21</v>
      </c>
      <c r="I2687" s="4" t="s">
        <v>2860</v>
      </c>
      <c r="J2687" s="4" t="s">
        <v>2861</v>
      </c>
      <c r="K2687" s="4" t="s">
        <v>188</v>
      </c>
      <c r="L2687" s="4" t="s">
        <v>3743</v>
      </c>
      <c r="M2687" s="4" t="s">
        <v>3746</v>
      </c>
      <c r="N2687" s="4" t="s">
        <v>3747</v>
      </c>
      <c r="O2687" s="17" t="str">
        <f>INDEX('список ID из СУЭ с должностями'!$A:$F,MATCH(E2687,'список ID из СУЭ с должностями'!$B:$B,0),5)</f>
        <v>ИПП</v>
      </c>
    </row>
    <row r="2688" spans="1:15" ht="60">
      <c r="A2688" s="3" t="s">
        <v>10</v>
      </c>
      <c r="B2688" s="3" t="s">
        <v>11</v>
      </c>
      <c r="C2688" s="4">
        <v>2026</v>
      </c>
      <c r="D2688" s="5" t="s">
        <v>12</v>
      </c>
      <c r="E2688" s="4">
        <v>369</v>
      </c>
      <c r="F2688" s="4" t="s">
        <v>239</v>
      </c>
      <c r="G2688" s="4" t="s">
        <v>2813</v>
      </c>
      <c r="H2688" s="4" t="s">
        <v>21</v>
      </c>
      <c r="I2688" s="4" t="s">
        <v>2862</v>
      </c>
      <c r="J2688" s="4" t="s">
        <v>2863</v>
      </c>
      <c r="K2688" s="4" t="s">
        <v>25</v>
      </c>
      <c r="L2688" s="4" t="s">
        <v>3743</v>
      </c>
      <c r="M2688" s="4" t="s">
        <v>3746</v>
      </c>
      <c r="N2688" s="4" t="s">
        <v>3747</v>
      </c>
      <c r="O2688" s="17" t="str">
        <f>INDEX('список ID из СУЭ с должностями'!$A:$F,MATCH(E2688,'список ID из СУЭ с должностями'!$B:$B,0),5)</f>
        <v>ИПП</v>
      </c>
    </row>
    <row r="2689" spans="1:15" ht="60">
      <c r="A2689" s="3" t="s">
        <v>10</v>
      </c>
      <c r="B2689" s="3" t="s">
        <v>11</v>
      </c>
      <c r="C2689" s="4">
        <v>2026</v>
      </c>
      <c r="D2689" s="5" t="s">
        <v>12</v>
      </c>
      <c r="E2689" s="4">
        <v>369</v>
      </c>
      <c r="F2689" s="4" t="s">
        <v>239</v>
      </c>
      <c r="G2689" s="4" t="s">
        <v>2813</v>
      </c>
      <c r="H2689" s="4" t="s">
        <v>15</v>
      </c>
      <c r="I2689" s="4" t="s">
        <v>2864</v>
      </c>
      <c r="J2689" s="4" t="s">
        <v>182</v>
      </c>
      <c r="K2689" s="4" t="s">
        <v>30</v>
      </c>
      <c r="L2689" s="4" t="s">
        <v>3742</v>
      </c>
      <c r="M2689" s="4" t="s">
        <v>3746</v>
      </c>
      <c r="N2689" s="4" t="s">
        <v>3747</v>
      </c>
      <c r="O2689" s="17" t="str">
        <f>INDEX('список ID из СУЭ с должностями'!$A:$F,MATCH(E2689,'список ID из СУЭ с должностями'!$B:$B,0),5)</f>
        <v>ИПП</v>
      </c>
    </row>
    <row r="2690" spans="1:15" ht="75">
      <c r="A2690" s="3" t="s">
        <v>10</v>
      </c>
      <c r="B2690" s="3" t="s">
        <v>11</v>
      </c>
      <c r="C2690" s="4">
        <v>2026</v>
      </c>
      <c r="D2690" s="5" t="s">
        <v>12</v>
      </c>
      <c r="E2690" s="4">
        <v>369</v>
      </c>
      <c r="F2690" s="4" t="s">
        <v>239</v>
      </c>
      <c r="G2690" s="4" t="s">
        <v>2813</v>
      </c>
      <c r="H2690" s="4" t="s">
        <v>15</v>
      </c>
      <c r="I2690" s="4" t="s">
        <v>2865</v>
      </c>
      <c r="J2690" s="4" t="s">
        <v>2866</v>
      </c>
      <c r="K2690" s="4" t="s">
        <v>35</v>
      </c>
      <c r="L2690" s="4" t="s">
        <v>3743</v>
      </c>
      <c r="M2690" s="4" t="s">
        <v>3746</v>
      </c>
      <c r="N2690" s="4" t="s">
        <v>3747</v>
      </c>
      <c r="O2690" s="17" t="str">
        <f>INDEX('список ID из СУЭ с должностями'!$A:$F,MATCH(E2690,'список ID из СУЭ с должностями'!$B:$B,0),5)</f>
        <v>ИПП</v>
      </c>
    </row>
    <row r="2691" spans="1:15" ht="60">
      <c r="A2691" s="3" t="s">
        <v>10</v>
      </c>
      <c r="B2691" s="3" t="s">
        <v>11</v>
      </c>
      <c r="C2691" s="4">
        <v>2026</v>
      </c>
      <c r="D2691" s="5" t="s">
        <v>12</v>
      </c>
      <c r="E2691" s="4">
        <v>369</v>
      </c>
      <c r="F2691" s="4" t="s">
        <v>239</v>
      </c>
      <c r="G2691" s="4" t="s">
        <v>2813</v>
      </c>
      <c r="H2691" s="4" t="s">
        <v>41</v>
      </c>
      <c r="I2691" s="4" t="s">
        <v>243</v>
      </c>
      <c r="J2691" s="4" t="s">
        <v>2867</v>
      </c>
      <c r="K2691" s="4" t="s">
        <v>38</v>
      </c>
      <c r="L2691" s="4" t="s">
        <v>3742</v>
      </c>
      <c r="M2691" s="4" t="s">
        <v>3746</v>
      </c>
      <c r="N2691" s="4" t="s">
        <v>3747</v>
      </c>
      <c r="O2691" s="17" t="str">
        <f>INDEX('список ID из СУЭ с должностями'!$A:$F,MATCH(E2691,'список ID из СУЭ с должностями'!$B:$B,0),5)</f>
        <v>ИПП</v>
      </c>
    </row>
    <row r="2692" spans="1:15" ht="60">
      <c r="A2692" s="3" t="s">
        <v>10</v>
      </c>
      <c r="B2692" s="3" t="s">
        <v>11</v>
      </c>
      <c r="C2692" s="4">
        <v>2026</v>
      </c>
      <c r="D2692" s="5" t="s">
        <v>12</v>
      </c>
      <c r="E2692" s="4">
        <v>370</v>
      </c>
      <c r="F2692" s="4" t="s">
        <v>280</v>
      </c>
      <c r="G2692" s="4" t="s">
        <v>1611</v>
      </c>
      <c r="H2692" s="4" t="s">
        <v>41</v>
      </c>
      <c r="I2692" s="4" t="s">
        <v>1593</v>
      </c>
      <c r="J2692" s="4" t="s">
        <v>1594</v>
      </c>
      <c r="K2692" s="4" t="s">
        <v>52</v>
      </c>
      <c r="L2692" s="4" t="s">
        <v>3742</v>
      </c>
      <c r="M2692" s="4" t="s">
        <v>3746</v>
      </c>
      <c r="N2692" s="4" t="s">
        <v>3747</v>
      </c>
      <c r="O2692" s="17" t="str">
        <f>INDEX('список ID из СУЭ с должностями'!$A:$F,MATCH(E2692,'список ID из СУЭ с должностями'!$B:$B,0),5)</f>
        <v>ВИП</v>
      </c>
    </row>
    <row r="2693" spans="1:15" ht="60">
      <c r="A2693" s="3" t="s">
        <v>10</v>
      </c>
      <c r="B2693" s="3" t="s">
        <v>11</v>
      </c>
      <c r="C2693" s="4">
        <v>2026</v>
      </c>
      <c r="D2693" s="5" t="s">
        <v>12</v>
      </c>
      <c r="E2693" s="4">
        <v>370</v>
      </c>
      <c r="F2693" s="4" t="s">
        <v>280</v>
      </c>
      <c r="G2693" s="4" t="s">
        <v>1611</v>
      </c>
      <c r="H2693" s="4" t="s">
        <v>15</v>
      </c>
      <c r="I2693" s="4" t="s">
        <v>48</v>
      </c>
      <c r="J2693" s="4" t="s">
        <v>187</v>
      </c>
      <c r="K2693" s="4" t="s">
        <v>35</v>
      </c>
      <c r="L2693" s="4" t="s">
        <v>3743</v>
      </c>
      <c r="M2693" s="4" t="s">
        <v>3746</v>
      </c>
      <c r="N2693" s="4" t="s">
        <v>3747</v>
      </c>
      <c r="O2693" s="17" t="str">
        <f>INDEX('список ID из СУЭ с должностями'!$A:$F,MATCH(E2693,'список ID из СУЭ с должностями'!$B:$B,0),5)</f>
        <v>ВИП</v>
      </c>
    </row>
    <row r="2694" spans="1:15" ht="60">
      <c r="A2694" s="3" t="s">
        <v>10</v>
      </c>
      <c r="B2694" s="3" t="s">
        <v>11</v>
      </c>
      <c r="C2694" s="4">
        <v>2026</v>
      </c>
      <c r="D2694" s="5" t="s">
        <v>12</v>
      </c>
      <c r="E2694" s="4">
        <v>370</v>
      </c>
      <c r="F2694" s="4" t="s">
        <v>280</v>
      </c>
      <c r="G2694" s="4" t="s">
        <v>1611</v>
      </c>
      <c r="H2694" s="4" t="s">
        <v>15</v>
      </c>
      <c r="I2694" s="4" t="s">
        <v>819</v>
      </c>
      <c r="J2694" s="4" t="s">
        <v>200</v>
      </c>
      <c r="K2694" s="4" t="s">
        <v>66</v>
      </c>
      <c r="L2694" s="4" t="s">
        <v>3742</v>
      </c>
      <c r="M2694" s="4" t="s">
        <v>3746</v>
      </c>
      <c r="N2694" s="4" t="s">
        <v>3747</v>
      </c>
      <c r="O2694" s="17" t="str">
        <f>INDEX('список ID из СУЭ с должностями'!$A:$F,MATCH(E2694,'список ID из СУЭ с должностями'!$B:$B,0),5)</f>
        <v>ВИП</v>
      </c>
    </row>
    <row r="2695" spans="1:15" ht="105">
      <c r="A2695" s="3" t="s">
        <v>10</v>
      </c>
      <c r="B2695" s="3" t="s">
        <v>11</v>
      </c>
      <c r="C2695" s="4">
        <v>2026</v>
      </c>
      <c r="D2695" s="5" t="s">
        <v>12</v>
      </c>
      <c r="E2695" s="4">
        <v>370</v>
      </c>
      <c r="F2695" s="4" t="s">
        <v>280</v>
      </c>
      <c r="G2695" s="4" t="s">
        <v>1611</v>
      </c>
      <c r="H2695" s="4" t="s">
        <v>15</v>
      </c>
      <c r="I2695" s="4" t="s">
        <v>1591</v>
      </c>
      <c r="J2695" s="4" t="s">
        <v>1592</v>
      </c>
      <c r="K2695" s="4" t="s">
        <v>30</v>
      </c>
      <c r="L2695" s="4" t="s">
        <v>3743</v>
      </c>
      <c r="M2695" s="4" t="s">
        <v>3746</v>
      </c>
      <c r="N2695" s="4" t="s">
        <v>3747</v>
      </c>
      <c r="O2695" s="17" t="str">
        <f>INDEX('список ID из СУЭ с должностями'!$A:$F,MATCH(E2695,'список ID из СУЭ с должностями'!$B:$B,0),5)</f>
        <v>ВИП</v>
      </c>
    </row>
    <row r="2696" spans="1:15" ht="60">
      <c r="A2696" s="3" t="s">
        <v>10</v>
      </c>
      <c r="B2696" s="3" t="s">
        <v>11</v>
      </c>
      <c r="C2696" s="4">
        <v>2026</v>
      </c>
      <c r="D2696" s="5" t="s">
        <v>12</v>
      </c>
      <c r="E2696" s="4">
        <v>370</v>
      </c>
      <c r="F2696" s="4" t="s">
        <v>280</v>
      </c>
      <c r="G2696" s="4" t="s">
        <v>1611</v>
      </c>
      <c r="H2696" s="4" t="s">
        <v>15</v>
      </c>
      <c r="I2696" s="4" t="s">
        <v>1250</v>
      </c>
      <c r="J2696" s="4" t="s">
        <v>1251</v>
      </c>
      <c r="K2696" s="4" t="s">
        <v>52</v>
      </c>
      <c r="L2696" s="4" t="s">
        <v>3743</v>
      </c>
      <c r="M2696" s="4" t="s">
        <v>3746</v>
      </c>
      <c r="N2696" s="4" t="s">
        <v>3747</v>
      </c>
      <c r="O2696" s="17" t="str">
        <f>INDEX('список ID из СУЭ с должностями'!$A:$F,MATCH(E2696,'список ID из СУЭ с должностями'!$B:$B,0),5)</f>
        <v>ВИП</v>
      </c>
    </row>
    <row r="2697" spans="1:15" ht="315">
      <c r="A2697" s="3" t="s">
        <v>10</v>
      </c>
      <c r="B2697" s="3" t="s">
        <v>11</v>
      </c>
      <c r="C2697" s="4">
        <v>2026</v>
      </c>
      <c r="D2697" s="5" t="s">
        <v>12</v>
      </c>
      <c r="E2697" s="4">
        <v>370</v>
      </c>
      <c r="F2697" s="4" t="s">
        <v>280</v>
      </c>
      <c r="G2697" s="4" t="s">
        <v>1611</v>
      </c>
      <c r="H2697" s="4" t="s">
        <v>15</v>
      </c>
      <c r="I2697" s="4" t="s">
        <v>1595</v>
      </c>
      <c r="J2697" s="4" t="s">
        <v>1596</v>
      </c>
      <c r="K2697" s="4" t="s">
        <v>66</v>
      </c>
      <c r="L2697" s="4" t="s">
        <v>3743</v>
      </c>
      <c r="M2697" s="4" t="s">
        <v>3746</v>
      </c>
      <c r="N2697" s="4" t="s">
        <v>3747</v>
      </c>
      <c r="O2697" s="17" t="str">
        <f>INDEX('список ID из СУЭ с должностями'!$A:$F,MATCH(E2697,'список ID из СУЭ с должностями'!$B:$B,0),5)</f>
        <v>ВИП</v>
      </c>
    </row>
    <row r="2698" spans="1:15" ht="60">
      <c r="A2698" s="3" t="s">
        <v>10</v>
      </c>
      <c r="B2698" s="3" t="s">
        <v>11</v>
      </c>
      <c r="C2698" s="4">
        <v>2026</v>
      </c>
      <c r="D2698" s="5" t="s">
        <v>12</v>
      </c>
      <c r="E2698" s="4">
        <v>370</v>
      </c>
      <c r="F2698" s="4" t="s">
        <v>280</v>
      </c>
      <c r="G2698" s="4" t="s">
        <v>1611</v>
      </c>
      <c r="H2698" s="4" t="s">
        <v>15</v>
      </c>
      <c r="I2698" s="4" t="s">
        <v>245</v>
      </c>
      <c r="J2698" s="4" t="s">
        <v>182</v>
      </c>
      <c r="K2698" s="4" t="s">
        <v>151</v>
      </c>
      <c r="L2698" s="4" t="s">
        <v>3742</v>
      </c>
      <c r="M2698" s="4" t="s">
        <v>3746</v>
      </c>
      <c r="N2698" s="4" t="s">
        <v>3747</v>
      </c>
      <c r="O2698" s="17" t="str">
        <f>INDEX('список ID из СУЭ с должностями'!$A:$F,MATCH(E2698,'список ID из СУЭ с должностями'!$B:$B,0),5)</f>
        <v>ВИП</v>
      </c>
    </row>
    <row r="2699" spans="1:15" ht="60">
      <c r="A2699" s="3" t="s">
        <v>10</v>
      </c>
      <c r="B2699" s="3" t="s">
        <v>11</v>
      </c>
      <c r="C2699" s="4">
        <v>2026</v>
      </c>
      <c r="D2699" s="5" t="s">
        <v>12</v>
      </c>
      <c r="E2699" s="4">
        <v>370</v>
      </c>
      <c r="F2699" s="4" t="s">
        <v>280</v>
      </c>
      <c r="G2699" s="4" t="s">
        <v>1611</v>
      </c>
      <c r="H2699" s="4" t="s">
        <v>15</v>
      </c>
      <c r="I2699" s="4" t="s">
        <v>62</v>
      </c>
      <c r="J2699" s="4" t="s">
        <v>1590</v>
      </c>
      <c r="K2699" s="4" t="s">
        <v>55</v>
      </c>
      <c r="L2699" s="4" t="s">
        <v>3743</v>
      </c>
      <c r="M2699" s="4" t="s">
        <v>3746</v>
      </c>
      <c r="N2699" s="4" t="s">
        <v>3747</v>
      </c>
      <c r="O2699" s="17" t="str">
        <f>INDEX('список ID из СУЭ с должностями'!$A:$F,MATCH(E2699,'список ID из СУЭ с должностями'!$B:$B,0),5)</f>
        <v>ВИП</v>
      </c>
    </row>
    <row r="2700" spans="1:15" ht="60">
      <c r="A2700" s="3" t="s">
        <v>10</v>
      </c>
      <c r="B2700" s="3" t="s">
        <v>11</v>
      </c>
      <c r="C2700" s="4">
        <v>2026</v>
      </c>
      <c r="D2700" s="5" t="s">
        <v>12</v>
      </c>
      <c r="E2700" s="4">
        <v>370</v>
      </c>
      <c r="F2700" s="4" t="s">
        <v>280</v>
      </c>
      <c r="G2700" s="4" t="s">
        <v>1611</v>
      </c>
      <c r="H2700" s="4" t="s">
        <v>15</v>
      </c>
      <c r="I2700" s="4" t="s">
        <v>1588</v>
      </c>
      <c r="J2700" s="4" t="s">
        <v>1589</v>
      </c>
      <c r="K2700" s="4" t="s">
        <v>151</v>
      </c>
      <c r="L2700" s="4" t="s">
        <v>3742</v>
      </c>
      <c r="M2700" s="4" t="s">
        <v>3746</v>
      </c>
      <c r="N2700" s="4" t="s">
        <v>3747</v>
      </c>
      <c r="O2700" s="17" t="str">
        <f>INDEX('список ID из СУЭ с должностями'!$A:$F,MATCH(E2700,'список ID из СУЭ с должностями'!$B:$B,0),5)</f>
        <v>ВИП</v>
      </c>
    </row>
    <row r="2701" spans="1:15" ht="210">
      <c r="A2701" s="3" t="s">
        <v>10</v>
      </c>
      <c r="B2701" s="3" t="s">
        <v>11</v>
      </c>
      <c r="C2701" s="4">
        <v>2026</v>
      </c>
      <c r="D2701" s="5" t="s">
        <v>12</v>
      </c>
      <c r="E2701" s="4">
        <v>371</v>
      </c>
      <c r="F2701" s="4" t="s">
        <v>1670</v>
      </c>
      <c r="G2701" s="4" t="s">
        <v>665</v>
      </c>
      <c r="H2701" s="4" t="s">
        <v>15</v>
      </c>
      <c r="I2701" s="4" t="s">
        <v>198</v>
      </c>
      <c r="J2701" s="4" t="s">
        <v>2868</v>
      </c>
      <c r="K2701" s="4" t="s">
        <v>20</v>
      </c>
      <c r="L2701" s="4" t="s">
        <v>3743</v>
      </c>
      <c r="M2701" s="4" t="s">
        <v>3746</v>
      </c>
      <c r="N2701" s="4" t="s">
        <v>3747</v>
      </c>
      <c r="O2701" s="17" t="str">
        <f>INDEX('список ID из СУЭ с должностями'!$A:$F,MATCH(E2701,'список ID из СУЭ с должностями'!$B:$B,0),5)</f>
        <v>СМП</v>
      </c>
    </row>
    <row r="2702" spans="1:15" ht="135">
      <c r="A2702" s="3" t="s">
        <v>10</v>
      </c>
      <c r="B2702" s="3" t="s">
        <v>11</v>
      </c>
      <c r="C2702" s="4">
        <v>2026</v>
      </c>
      <c r="D2702" s="5" t="s">
        <v>12</v>
      </c>
      <c r="E2702" s="4">
        <v>371</v>
      </c>
      <c r="F2702" s="4" t="s">
        <v>1670</v>
      </c>
      <c r="G2702" s="4" t="s">
        <v>665</v>
      </c>
      <c r="H2702" s="4" t="s">
        <v>21</v>
      </c>
      <c r="I2702" s="4" t="s">
        <v>2818</v>
      </c>
      <c r="J2702" s="4" t="s">
        <v>2869</v>
      </c>
      <c r="K2702" s="4" t="s">
        <v>52</v>
      </c>
      <c r="L2702" s="4" t="s">
        <v>3743</v>
      </c>
      <c r="M2702" s="4" t="s">
        <v>3746</v>
      </c>
      <c r="N2702" s="4" t="s">
        <v>3747</v>
      </c>
      <c r="O2702" s="17" t="str">
        <f>INDEX('список ID из СУЭ с должностями'!$A:$F,MATCH(E2702,'список ID из СУЭ с должностями'!$B:$B,0),5)</f>
        <v>СМП</v>
      </c>
    </row>
    <row r="2703" spans="1:15" ht="180">
      <c r="A2703" s="3" t="s">
        <v>10</v>
      </c>
      <c r="B2703" s="3" t="s">
        <v>11</v>
      </c>
      <c r="C2703" s="4">
        <v>2026</v>
      </c>
      <c r="D2703" s="5" t="s">
        <v>12</v>
      </c>
      <c r="E2703" s="4">
        <v>371</v>
      </c>
      <c r="F2703" s="4" t="s">
        <v>1670</v>
      </c>
      <c r="G2703" s="4" t="s">
        <v>665</v>
      </c>
      <c r="H2703" s="4" t="s">
        <v>41</v>
      </c>
      <c r="I2703" s="4" t="s">
        <v>189</v>
      </c>
      <c r="J2703" s="4" t="s">
        <v>2870</v>
      </c>
      <c r="K2703" s="4" t="s">
        <v>66</v>
      </c>
      <c r="L2703" s="4" t="s">
        <v>3743</v>
      </c>
      <c r="M2703" s="4" t="s">
        <v>3746</v>
      </c>
      <c r="N2703" s="4" t="s">
        <v>3747</v>
      </c>
      <c r="O2703" s="17" t="str">
        <f>INDEX('список ID из СУЭ с должностями'!$A:$F,MATCH(E2703,'список ID из СУЭ с должностями'!$B:$B,0),5)</f>
        <v>СМП</v>
      </c>
    </row>
    <row r="2704" spans="1:15" ht="225">
      <c r="A2704" s="3" t="s">
        <v>10</v>
      </c>
      <c r="B2704" s="3" t="s">
        <v>11</v>
      </c>
      <c r="C2704" s="4">
        <v>2026</v>
      </c>
      <c r="D2704" s="5" t="s">
        <v>12</v>
      </c>
      <c r="E2704" s="4">
        <v>371</v>
      </c>
      <c r="F2704" s="4" t="s">
        <v>1670</v>
      </c>
      <c r="G2704" s="4" t="s">
        <v>665</v>
      </c>
      <c r="H2704" s="4" t="s">
        <v>15</v>
      </c>
      <c r="I2704" s="4" t="s">
        <v>2871</v>
      </c>
      <c r="J2704" s="4" t="s">
        <v>2872</v>
      </c>
      <c r="K2704" s="4" t="s">
        <v>66</v>
      </c>
      <c r="L2704" s="4" t="s">
        <v>3743</v>
      </c>
      <c r="M2704" s="4" t="s">
        <v>3746</v>
      </c>
      <c r="N2704" s="4" t="s">
        <v>3747</v>
      </c>
      <c r="O2704" s="17" t="str">
        <f>INDEX('список ID из СУЭ с должностями'!$A:$F,MATCH(E2704,'список ID из СУЭ с должностями'!$B:$B,0),5)</f>
        <v>СМП</v>
      </c>
    </row>
    <row r="2705" spans="1:15" ht="210">
      <c r="A2705" s="3" t="s">
        <v>10</v>
      </c>
      <c r="B2705" s="3" t="s">
        <v>11</v>
      </c>
      <c r="C2705" s="4">
        <v>2026</v>
      </c>
      <c r="D2705" s="5" t="s">
        <v>12</v>
      </c>
      <c r="E2705" s="4">
        <v>371</v>
      </c>
      <c r="F2705" s="4" t="s">
        <v>1670</v>
      </c>
      <c r="G2705" s="4" t="s">
        <v>665</v>
      </c>
      <c r="H2705" s="4" t="s">
        <v>15</v>
      </c>
      <c r="I2705" s="4" t="s">
        <v>2816</v>
      </c>
      <c r="J2705" s="4" t="s">
        <v>2873</v>
      </c>
      <c r="K2705" s="4" t="s">
        <v>66</v>
      </c>
      <c r="L2705" s="4" t="s">
        <v>3743</v>
      </c>
      <c r="M2705" s="4" t="s">
        <v>3746</v>
      </c>
      <c r="N2705" s="4" t="s">
        <v>3747</v>
      </c>
      <c r="O2705" s="17" t="str">
        <f>INDEX('список ID из СУЭ с должностями'!$A:$F,MATCH(E2705,'список ID из СУЭ с должностями'!$B:$B,0),5)</f>
        <v>СМП</v>
      </c>
    </row>
    <row r="2706" spans="1:15" ht="409.5">
      <c r="A2706" s="3" t="s">
        <v>10</v>
      </c>
      <c r="B2706" s="3" t="s">
        <v>11</v>
      </c>
      <c r="C2706" s="4">
        <v>2026</v>
      </c>
      <c r="D2706" s="5" t="s">
        <v>12</v>
      </c>
      <c r="E2706" s="4">
        <v>371</v>
      </c>
      <c r="F2706" s="4" t="s">
        <v>1670</v>
      </c>
      <c r="G2706" s="4" t="s">
        <v>665</v>
      </c>
      <c r="H2706" s="4" t="s">
        <v>15</v>
      </c>
      <c r="I2706" s="4" t="s">
        <v>2820</v>
      </c>
      <c r="J2706" s="4" t="s">
        <v>2874</v>
      </c>
      <c r="K2706" s="4" t="s">
        <v>35</v>
      </c>
      <c r="L2706" s="4" t="s">
        <v>3743</v>
      </c>
      <c r="M2706" s="4" t="s">
        <v>3746</v>
      </c>
      <c r="N2706" s="4" t="s">
        <v>3747</v>
      </c>
      <c r="O2706" s="17" t="str">
        <f>INDEX('список ID из СУЭ с должностями'!$A:$F,MATCH(E2706,'список ID из СУЭ с должностями'!$B:$B,0),5)</f>
        <v>СМП</v>
      </c>
    </row>
    <row r="2707" spans="1:15" ht="360">
      <c r="A2707" s="3" t="s">
        <v>10</v>
      </c>
      <c r="B2707" s="3" t="s">
        <v>11</v>
      </c>
      <c r="C2707" s="4">
        <v>2026</v>
      </c>
      <c r="D2707" s="5" t="s">
        <v>12</v>
      </c>
      <c r="E2707" s="4">
        <v>371</v>
      </c>
      <c r="F2707" s="4" t="s">
        <v>1670</v>
      </c>
      <c r="G2707" s="4" t="s">
        <v>665</v>
      </c>
      <c r="H2707" s="4" t="s">
        <v>15</v>
      </c>
      <c r="I2707" s="4" t="s">
        <v>2025</v>
      </c>
      <c r="J2707" s="4" t="s">
        <v>2875</v>
      </c>
      <c r="K2707" s="4" t="s">
        <v>25</v>
      </c>
      <c r="L2707" s="4" t="s">
        <v>3743</v>
      </c>
      <c r="M2707" s="4" t="s">
        <v>3746</v>
      </c>
      <c r="N2707" s="4" t="s">
        <v>3747</v>
      </c>
      <c r="O2707" s="17" t="str">
        <f>INDEX('список ID из СУЭ с должностями'!$A:$F,MATCH(E2707,'список ID из СУЭ с должностями'!$B:$B,0),5)</f>
        <v>СМП</v>
      </c>
    </row>
    <row r="2708" spans="1:15" ht="165">
      <c r="A2708" s="3" t="s">
        <v>10</v>
      </c>
      <c r="B2708" s="3" t="s">
        <v>11</v>
      </c>
      <c r="C2708" s="4">
        <v>2026</v>
      </c>
      <c r="D2708" s="5" t="s">
        <v>12</v>
      </c>
      <c r="E2708" s="4">
        <v>371</v>
      </c>
      <c r="F2708" s="4" t="s">
        <v>1670</v>
      </c>
      <c r="G2708" s="4" t="s">
        <v>665</v>
      </c>
      <c r="H2708" s="4" t="s">
        <v>21</v>
      </c>
      <c r="I2708" s="4" t="s">
        <v>2378</v>
      </c>
      <c r="J2708" s="4" t="s">
        <v>2876</v>
      </c>
      <c r="K2708" s="4" t="s">
        <v>38</v>
      </c>
      <c r="L2708" s="4" t="s">
        <v>3743</v>
      </c>
      <c r="M2708" s="4" t="s">
        <v>3746</v>
      </c>
      <c r="N2708" s="4" t="s">
        <v>3747</v>
      </c>
      <c r="O2708" s="17" t="str">
        <f>INDEX('список ID из СУЭ с должностями'!$A:$F,MATCH(E2708,'список ID из СУЭ с должностями'!$B:$B,0),5)</f>
        <v>СМП</v>
      </c>
    </row>
    <row r="2709" spans="1:15" ht="75">
      <c r="A2709" s="3" t="s">
        <v>10</v>
      </c>
      <c r="B2709" s="3" t="s">
        <v>11</v>
      </c>
      <c r="C2709" s="4">
        <v>2026</v>
      </c>
      <c r="D2709" s="5" t="s">
        <v>12</v>
      </c>
      <c r="E2709" s="4">
        <v>372</v>
      </c>
      <c r="F2709" s="4" t="s">
        <v>247</v>
      </c>
      <c r="G2709" s="4" t="s">
        <v>158</v>
      </c>
      <c r="H2709" s="4" t="s">
        <v>15</v>
      </c>
      <c r="I2709" s="4" t="s">
        <v>2259</v>
      </c>
      <c r="J2709" s="4" t="s">
        <v>164</v>
      </c>
      <c r="K2709" s="4" t="s">
        <v>20</v>
      </c>
      <c r="L2709" s="4" t="s">
        <v>3742</v>
      </c>
      <c r="M2709" s="4" t="s">
        <v>3746</v>
      </c>
      <c r="N2709" s="4" t="s">
        <v>3747</v>
      </c>
      <c r="O2709" s="17">
        <f>INDEX('список ID из СУЭ с должностями'!$A:$F,MATCH(E2709,'список ID из СУЭ с должностями'!$B:$B,0),5)</f>
        <v>0</v>
      </c>
    </row>
    <row r="2710" spans="1:15" ht="90">
      <c r="A2710" s="3" t="s">
        <v>10</v>
      </c>
      <c r="B2710" s="3" t="s">
        <v>11</v>
      </c>
      <c r="C2710" s="4">
        <v>2026</v>
      </c>
      <c r="D2710" s="5" t="s">
        <v>12</v>
      </c>
      <c r="E2710" s="4">
        <v>372</v>
      </c>
      <c r="F2710" s="4" t="s">
        <v>247</v>
      </c>
      <c r="G2710" s="4" t="s">
        <v>158</v>
      </c>
      <c r="H2710" s="4" t="s">
        <v>15</v>
      </c>
      <c r="I2710" s="4" t="s">
        <v>548</v>
      </c>
      <c r="J2710" s="4" t="s">
        <v>2260</v>
      </c>
      <c r="K2710" s="4" t="s">
        <v>38</v>
      </c>
      <c r="L2710" s="4" t="s">
        <v>3743</v>
      </c>
      <c r="M2710" s="4" t="s">
        <v>3746</v>
      </c>
      <c r="N2710" s="4" t="s">
        <v>3747</v>
      </c>
      <c r="O2710" s="17">
        <f>INDEX('список ID из СУЭ с должностями'!$A:$F,MATCH(E2710,'список ID из СУЭ с должностями'!$B:$B,0),5)</f>
        <v>0</v>
      </c>
    </row>
    <row r="2711" spans="1:15" ht="75">
      <c r="A2711" s="3" t="s">
        <v>10</v>
      </c>
      <c r="B2711" s="3" t="s">
        <v>11</v>
      </c>
      <c r="C2711" s="4">
        <v>2026</v>
      </c>
      <c r="D2711" s="5" t="s">
        <v>12</v>
      </c>
      <c r="E2711" s="4">
        <v>372</v>
      </c>
      <c r="F2711" s="4" t="s">
        <v>247</v>
      </c>
      <c r="G2711" s="4" t="s">
        <v>158</v>
      </c>
      <c r="H2711" s="4" t="s">
        <v>21</v>
      </c>
      <c r="I2711" s="4" t="s">
        <v>543</v>
      </c>
      <c r="J2711" s="4" t="s">
        <v>544</v>
      </c>
      <c r="K2711" s="4" t="s">
        <v>151</v>
      </c>
      <c r="L2711" s="4" t="s">
        <v>3743</v>
      </c>
      <c r="M2711" s="4" t="s">
        <v>3746</v>
      </c>
      <c r="N2711" s="4" t="s">
        <v>3747</v>
      </c>
      <c r="O2711" s="17">
        <f>INDEX('список ID из СУЭ с должностями'!$A:$F,MATCH(E2711,'список ID из СУЭ с должностями'!$B:$B,0),5)</f>
        <v>0</v>
      </c>
    </row>
    <row r="2712" spans="1:15" ht="75">
      <c r="A2712" s="3" t="s">
        <v>10</v>
      </c>
      <c r="B2712" s="3" t="s">
        <v>11</v>
      </c>
      <c r="C2712" s="4">
        <v>2026</v>
      </c>
      <c r="D2712" s="5" t="s">
        <v>12</v>
      </c>
      <c r="E2712" s="4">
        <v>372</v>
      </c>
      <c r="F2712" s="4" t="s">
        <v>247</v>
      </c>
      <c r="G2712" s="4" t="s">
        <v>158</v>
      </c>
      <c r="H2712" s="4" t="s">
        <v>41</v>
      </c>
      <c r="I2712" s="4" t="s">
        <v>556</v>
      </c>
      <c r="J2712" s="4" t="s">
        <v>557</v>
      </c>
      <c r="K2712" s="4" t="s">
        <v>151</v>
      </c>
      <c r="L2712" s="4" t="s">
        <v>3743</v>
      </c>
      <c r="M2712" s="4" t="s">
        <v>3746</v>
      </c>
      <c r="N2712" s="4" t="s">
        <v>3747</v>
      </c>
      <c r="O2712" s="17">
        <f>INDEX('список ID из СУЭ с должностями'!$A:$F,MATCH(E2712,'список ID из СУЭ с должностями'!$B:$B,0),5)</f>
        <v>0</v>
      </c>
    </row>
    <row r="2713" spans="1:15" ht="45">
      <c r="A2713" s="3" t="s">
        <v>10</v>
      </c>
      <c r="B2713" s="3" t="s">
        <v>11</v>
      </c>
      <c r="C2713" s="4">
        <v>2026</v>
      </c>
      <c r="D2713" s="5" t="s">
        <v>12</v>
      </c>
      <c r="E2713" s="4">
        <v>372</v>
      </c>
      <c r="F2713" s="4" t="s">
        <v>247</v>
      </c>
      <c r="G2713" s="4" t="s">
        <v>158</v>
      </c>
      <c r="H2713" s="4" t="s">
        <v>21</v>
      </c>
      <c r="I2713" s="4" t="s">
        <v>2877</v>
      </c>
      <c r="J2713" s="4" t="s">
        <v>2878</v>
      </c>
      <c r="K2713" s="4" t="s">
        <v>52</v>
      </c>
      <c r="L2713" s="4" t="s">
        <v>3743</v>
      </c>
      <c r="M2713" s="4" t="s">
        <v>3746</v>
      </c>
      <c r="N2713" s="4" t="s">
        <v>3747</v>
      </c>
      <c r="O2713" s="17">
        <f>INDEX('список ID из СУЭ с должностями'!$A:$F,MATCH(E2713,'список ID из СУЭ с должностями'!$B:$B,0),5)</f>
        <v>0</v>
      </c>
    </row>
    <row r="2714" spans="1:15" ht="105">
      <c r="A2714" s="3" t="s">
        <v>10</v>
      </c>
      <c r="B2714" s="3" t="s">
        <v>11</v>
      </c>
      <c r="C2714" s="4">
        <v>2026</v>
      </c>
      <c r="D2714" s="5" t="s">
        <v>12</v>
      </c>
      <c r="E2714" s="4">
        <v>372</v>
      </c>
      <c r="F2714" s="4" t="s">
        <v>247</v>
      </c>
      <c r="G2714" s="4" t="s">
        <v>158</v>
      </c>
      <c r="H2714" s="4" t="s">
        <v>21</v>
      </c>
      <c r="I2714" s="4" t="s">
        <v>545</v>
      </c>
      <c r="J2714" s="4" t="s">
        <v>546</v>
      </c>
      <c r="K2714" s="4" t="s">
        <v>25</v>
      </c>
      <c r="L2714" s="4" t="s">
        <v>3743</v>
      </c>
      <c r="M2714" s="4" t="s">
        <v>3746</v>
      </c>
      <c r="N2714" s="4" t="s">
        <v>3747</v>
      </c>
      <c r="O2714" s="17">
        <f>INDEX('список ID из СУЭ с должностями'!$A:$F,MATCH(E2714,'список ID из СУЭ с должностями'!$B:$B,0),5)</f>
        <v>0</v>
      </c>
    </row>
    <row r="2715" spans="1:15" ht="60">
      <c r="A2715" s="3" t="s">
        <v>10</v>
      </c>
      <c r="B2715" s="3" t="s">
        <v>11</v>
      </c>
      <c r="C2715" s="4">
        <v>2026</v>
      </c>
      <c r="D2715" s="5" t="s">
        <v>12</v>
      </c>
      <c r="E2715" s="4">
        <v>372</v>
      </c>
      <c r="F2715" s="4" t="s">
        <v>247</v>
      </c>
      <c r="G2715" s="4" t="s">
        <v>158</v>
      </c>
      <c r="H2715" s="4" t="s">
        <v>15</v>
      </c>
      <c r="I2715" s="4" t="s">
        <v>551</v>
      </c>
      <c r="J2715" s="4" t="s">
        <v>552</v>
      </c>
      <c r="K2715" s="4" t="s">
        <v>38</v>
      </c>
      <c r="L2715" s="4" t="s">
        <v>3743</v>
      </c>
      <c r="M2715" s="4" t="s">
        <v>3746</v>
      </c>
      <c r="N2715" s="4" t="s">
        <v>3747</v>
      </c>
      <c r="O2715" s="17">
        <f>INDEX('список ID из СУЭ с должностями'!$A:$F,MATCH(E2715,'список ID из СУЭ с должностями'!$B:$B,0),5)</f>
        <v>0</v>
      </c>
    </row>
    <row r="2716" spans="1:15" ht="75">
      <c r="A2716" s="3" t="s">
        <v>10</v>
      </c>
      <c r="B2716" s="3" t="s">
        <v>11</v>
      </c>
      <c r="C2716" s="4">
        <v>2026</v>
      </c>
      <c r="D2716" s="5" t="s">
        <v>12</v>
      </c>
      <c r="E2716" s="4">
        <v>372</v>
      </c>
      <c r="F2716" s="4" t="s">
        <v>247</v>
      </c>
      <c r="G2716" s="4" t="s">
        <v>158</v>
      </c>
      <c r="H2716" s="4" t="s">
        <v>41</v>
      </c>
      <c r="I2716" s="4" t="s">
        <v>554</v>
      </c>
      <c r="J2716" s="4" t="s">
        <v>2879</v>
      </c>
      <c r="K2716" s="4" t="s">
        <v>151</v>
      </c>
      <c r="L2716" s="4" t="s">
        <v>3743</v>
      </c>
      <c r="M2716" s="4" t="s">
        <v>3746</v>
      </c>
      <c r="N2716" s="4" t="s">
        <v>3747</v>
      </c>
      <c r="O2716" s="17">
        <f>INDEX('список ID из СУЭ с должностями'!$A:$F,MATCH(E2716,'список ID из СУЭ с должностями'!$B:$B,0),5)</f>
        <v>0</v>
      </c>
    </row>
    <row r="2717" spans="1:15" ht="135">
      <c r="A2717" s="3" t="s">
        <v>10</v>
      </c>
      <c r="B2717" s="3" t="s">
        <v>11</v>
      </c>
      <c r="C2717" s="4">
        <v>2026</v>
      </c>
      <c r="D2717" s="5" t="s">
        <v>12</v>
      </c>
      <c r="E2717" s="4">
        <v>372</v>
      </c>
      <c r="F2717" s="4" t="s">
        <v>247</v>
      </c>
      <c r="G2717" s="4" t="s">
        <v>158</v>
      </c>
      <c r="H2717" s="4" t="s">
        <v>15</v>
      </c>
      <c r="I2717" s="4" t="s">
        <v>167</v>
      </c>
      <c r="J2717" s="4" t="s">
        <v>214</v>
      </c>
      <c r="K2717" s="4" t="s">
        <v>35</v>
      </c>
      <c r="L2717" s="4" t="s">
        <v>3743</v>
      </c>
      <c r="M2717" s="4" t="s">
        <v>3746</v>
      </c>
      <c r="N2717" s="4" t="s">
        <v>3747</v>
      </c>
      <c r="O2717" s="17">
        <f>INDEX('список ID из СУЭ с должностями'!$A:$F,MATCH(E2717,'список ID из СУЭ с должностями'!$B:$B,0),5)</f>
        <v>0</v>
      </c>
    </row>
    <row r="2718" spans="1:15" ht="45">
      <c r="A2718" s="3" t="s">
        <v>10</v>
      </c>
      <c r="B2718" s="3" t="s">
        <v>11</v>
      </c>
      <c r="C2718" s="4">
        <v>2026</v>
      </c>
      <c r="D2718" s="5" t="s">
        <v>12</v>
      </c>
      <c r="E2718" s="4">
        <v>372</v>
      </c>
      <c r="F2718" s="4" t="s">
        <v>247</v>
      </c>
      <c r="G2718" s="4" t="s">
        <v>158</v>
      </c>
      <c r="H2718" s="4" t="s">
        <v>15</v>
      </c>
      <c r="I2718" s="4" t="s">
        <v>2880</v>
      </c>
      <c r="J2718" s="4" t="s">
        <v>170</v>
      </c>
      <c r="K2718" s="4" t="s">
        <v>66</v>
      </c>
      <c r="L2718" s="4" t="s">
        <v>3743</v>
      </c>
      <c r="M2718" s="4" t="s">
        <v>3746</v>
      </c>
      <c r="N2718" s="4" t="s">
        <v>3747</v>
      </c>
      <c r="O2718" s="17">
        <f>INDEX('список ID из СУЭ с должностями'!$A:$F,MATCH(E2718,'список ID из СУЭ с должностями'!$B:$B,0),5)</f>
        <v>0</v>
      </c>
    </row>
    <row r="2719" spans="1:15" ht="60">
      <c r="A2719" s="3" t="s">
        <v>10</v>
      </c>
      <c r="B2719" s="3" t="s">
        <v>11</v>
      </c>
      <c r="C2719" s="4">
        <v>2026</v>
      </c>
      <c r="D2719" s="5" t="s">
        <v>12</v>
      </c>
      <c r="E2719" s="4">
        <v>373</v>
      </c>
      <c r="F2719" s="4" t="s">
        <v>247</v>
      </c>
      <c r="G2719" s="4" t="s">
        <v>158</v>
      </c>
      <c r="H2719" s="4" t="s">
        <v>15</v>
      </c>
      <c r="I2719" s="4" t="s">
        <v>547</v>
      </c>
      <c r="J2719" s="4" t="s">
        <v>206</v>
      </c>
      <c r="K2719" s="4" t="s">
        <v>151</v>
      </c>
      <c r="L2719" s="4" t="s">
        <v>3742</v>
      </c>
      <c r="M2719" s="4" t="s">
        <v>3746</v>
      </c>
      <c r="N2719" s="4" t="s">
        <v>3747</v>
      </c>
      <c r="O2719" s="17">
        <f>INDEX('список ID из СУЭ с должностями'!$A:$F,MATCH(E2719,'список ID из СУЭ с должностями'!$B:$B,0),5)</f>
        <v>0</v>
      </c>
    </row>
    <row r="2720" spans="1:15" ht="120">
      <c r="A2720" s="3" t="s">
        <v>10</v>
      </c>
      <c r="B2720" s="3" t="s">
        <v>11</v>
      </c>
      <c r="C2720" s="4">
        <v>2026</v>
      </c>
      <c r="D2720" s="5" t="s">
        <v>12</v>
      </c>
      <c r="E2720" s="4">
        <v>373</v>
      </c>
      <c r="F2720" s="4" t="s">
        <v>247</v>
      </c>
      <c r="G2720" s="4" t="s">
        <v>158</v>
      </c>
      <c r="H2720" s="4" t="s">
        <v>15</v>
      </c>
      <c r="I2720" s="4" t="s">
        <v>548</v>
      </c>
      <c r="J2720" s="4" t="s">
        <v>2881</v>
      </c>
      <c r="K2720" s="4" t="s">
        <v>38</v>
      </c>
      <c r="L2720" s="4" t="s">
        <v>3743</v>
      </c>
      <c r="M2720" s="4" t="s">
        <v>3746</v>
      </c>
      <c r="N2720" s="4" t="s">
        <v>3747</v>
      </c>
      <c r="O2720" s="17">
        <f>INDEX('список ID из СУЭ с должностями'!$A:$F,MATCH(E2720,'список ID из СУЭ с должностями'!$B:$B,0),5)</f>
        <v>0</v>
      </c>
    </row>
    <row r="2721" spans="1:15" ht="75">
      <c r="A2721" s="3" t="s">
        <v>10</v>
      </c>
      <c r="B2721" s="3" t="s">
        <v>11</v>
      </c>
      <c r="C2721" s="4">
        <v>2026</v>
      </c>
      <c r="D2721" s="5" t="s">
        <v>12</v>
      </c>
      <c r="E2721" s="4">
        <v>373</v>
      </c>
      <c r="F2721" s="4" t="s">
        <v>247</v>
      </c>
      <c r="G2721" s="4" t="s">
        <v>158</v>
      </c>
      <c r="H2721" s="4" t="s">
        <v>21</v>
      </c>
      <c r="I2721" s="4" t="s">
        <v>543</v>
      </c>
      <c r="J2721" s="4" t="s">
        <v>627</v>
      </c>
      <c r="K2721" s="4" t="s">
        <v>151</v>
      </c>
      <c r="L2721" s="4" t="s">
        <v>3743</v>
      </c>
      <c r="M2721" s="4" t="s">
        <v>3746</v>
      </c>
      <c r="N2721" s="4" t="s">
        <v>3747</v>
      </c>
      <c r="O2721" s="17">
        <f>INDEX('список ID из СУЭ с должностями'!$A:$F,MATCH(E2721,'список ID из СУЭ с должностями'!$B:$B,0),5)</f>
        <v>0</v>
      </c>
    </row>
    <row r="2722" spans="1:15" ht="75">
      <c r="A2722" s="3" t="s">
        <v>10</v>
      </c>
      <c r="B2722" s="3" t="s">
        <v>11</v>
      </c>
      <c r="C2722" s="4">
        <v>2026</v>
      </c>
      <c r="D2722" s="5" t="s">
        <v>12</v>
      </c>
      <c r="E2722" s="4">
        <v>373</v>
      </c>
      <c r="F2722" s="4" t="s">
        <v>247</v>
      </c>
      <c r="G2722" s="4" t="s">
        <v>158</v>
      </c>
      <c r="H2722" s="4" t="s">
        <v>41</v>
      </c>
      <c r="I2722" s="4" t="s">
        <v>556</v>
      </c>
      <c r="J2722" s="4" t="s">
        <v>557</v>
      </c>
      <c r="K2722" s="4" t="s">
        <v>151</v>
      </c>
      <c r="L2722" s="4" t="s">
        <v>3743</v>
      </c>
      <c r="M2722" s="4" t="s">
        <v>3746</v>
      </c>
      <c r="N2722" s="4" t="s">
        <v>3747</v>
      </c>
      <c r="O2722" s="17">
        <f>INDEX('список ID из СУЭ с должностями'!$A:$F,MATCH(E2722,'список ID из СУЭ с должностями'!$B:$B,0),5)</f>
        <v>0</v>
      </c>
    </row>
    <row r="2723" spans="1:15" ht="60">
      <c r="A2723" s="3" t="s">
        <v>10</v>
      </c>
      <c r="B2723" s="3" t="s">
        <v>11</v>
      </c>
      <c r="C2723" s="4">
        <v>2026</v>
      </c>
      <c r="D2723" s="5" t="s">
        <v>12</v>
      </c>
      <c r="E2723" s="4">
        <v>373</v>
      </c>
      <c r="F2723" s="4" t="s">
        <v>247</v>
      </c>
      <c r="G2723" s="4" t="s">
        <v>158</v>
      </c>
      <c r="H2723" s="4" t="s">
        <v>21</v>
      </c>
      <c r="I2723" s="4" t="s">
        <v>541</v>
      </c>
      <c r="J2723" s="4" t="s">
        <v>542</v>
      </c>
      <c r="K2723" s="4" t="s">
        <v>151</v>
      </c>
      <c r="L2723" s="4" t="s">
        <v>3743</v>
      </c>
      <c r="M2723" s="4" t="s">
        <v>3746</v>
      </c>
      <c r="N2723" s="4" t="s">
        <v>3747</v>
      </c>
      <c r="O2723" s="17">
        <f>INDEX('список ID из СУЭ с должностями'!$A:$F,MATCH(E2723,'список ID из СУЭ с должностями'!$B:$B,0),5)</f>
        <v>0</v>
      </c>
    </row>
    <row r="2724" spans="1:15" ht="105">
      <c r="A2724" s="3" t="s">
        <v>10</v>
      </c>
      <c r="B2724" s="3" t="s">
        <v>11</v>
      </c>
      <c r="C2724" s="4">
        <v>2026</v>
      </c>
      <c r="D2724" s="5" t="s">
        <v>12</v>
      </c>
      <c r="E2724" s="4">
        <v>373</v>
      </c>
      <c r="F2724" s="4" t="s">
        <v>247</v>
      </c>
      <c r="G2724" s="4" t="s">
        <v>158</v>
      </c>
      <c r="H2724" s="4" t="s">
        <v>21</v>
      </c>
      <c r="I2724" s="4" t="s">
        <v>545</v>
      </c>
      <c r="J2724" s="4" t="s">
        <v>546</v>
      </c>
      <c r="K2724" s="4" t="s">
        <v>151</v>
      </c>
      <c r="L2724" s="4" t="s">
        <v>3743</v>
      </c>
      <c r="M2724" s="4" t="s">
        <v>3746</v>
      </c>
      <c r="N2724" s="4" t="s">
        <v>3747</v>
      </c>
      <c r="O2724" s="17">
        <f>INDEX('список ID из СУЭ с должностями'!$A:$F,MATCH(E2724,'список ID из СУЭ с должностями'!$B:$B,0),5)</f>
        <v>0</v>
      </c>
    </row>
    <row r="2725" spans="1:15" ht="60">
      <c r="A2725" s="3" t="s">
        <v>10</v>
      </c>
      <c r="B2725" s="3" t="s">
        <v>11</v>
      </c>
      <c r="C2725" s="4">
        <v>2026</v>
      </c>
      <c r="D2725" s="5" t="s">
        <v>12</v>
      </c>
      <c r="E2725" s="4">
        <v>373</v>
      </c>
      <c r="F2725" s="4" t="s">
        <v>247</v>
      </c>
      <c r="G2725" s="4" t="s">
        <v>158</v>
      </c>
      <c r="H2725" s="4" t="s">
        <v>15</v>
      </c>
      <c r="I2725" s="4" t="s">
        <v>551</v>
      </c>
      <c r="J2725" s="4" t="s">
        <v>552</v>
      </c>
      <c r="K2725" s="4" t="s">
        <v>38</v>
      </c>
      <c r="L2725" s="4" t="s">
        <v>3743</v>
      </c>
      <c r="M2725" s="4" t="s">
        <v>3746</v>
      </c>
      <c r="N2725" s="4" t="s">
        <v>3747</v>
      </c>
      <c r="O2725" s="17">
        <f>INDEX('список ID из СУЭ с должностями'!$A:$F,MATCH(E2725,'список ID из СУЭ с должностями'!$B:$B,0),5)</f>
        <v>0</v>
      </c>
    </row>
    <row r="2726" spans="1:15" ht="105">
      <c r="A2726" s="3" t="s">
        <v>10</v>
      </c>
      <c r="B2726" s="3" t="s">
        <v>11</v>
      </c>
      <c r="C2726" s="4">
        <v>2026</v>
      </c>
      <c r="D2726" s="5" t="s">
        <v>12</v>
      </c>
      <c r="E2726" s="4">
        <v>373</v>
      </c>
      <c r="F2726" s="4" t="s">
        <v>247</v>
      </c>
      <c r="G2726" s="4" t="s">
        <v>158</v>
      </c>
      <c r="H2726" s="4" t="s">
        <v>41</v>
      </c>
      <c r="I2726" s="4" t="s">
        <v>554</v>
      </c>
      <c r="J2726" s="4" t="s">
        <v>2882</v>
      </c>
      <c r="K2726" s="4" t="s">
        <v>151</v>
      </c>
      <c r="L2726" s="4" t="s">
        <v>3743</v>
      </c>
      <c r="M2726" s="4" t="s">
        <v>3746</v>
      </c>
      <c r="N2726" s="4" t="s">
        <v>3747</v>
      </c>
      <c r="O2726" s="17">
        <f>INDEX('список ID из СУЭ с должностями'!$A:$F,MATCH(E2726,'список ID из СУЭ с должностями'!$B:$B,0),5)</f>
        <v>0</v>
      </c>
    </row>
    <row r="2727" spans="1:15" ht="135">
      <c r="A2727" s="3" t="s">
        <v>10</v>
      </c>
      <c r="B2727" s="3" t="s">
        <v>11</v>
      </c>
      <c r="C2727" s="4">
        <v>2026</v>
      </c>
      <c r="D2727" s="5" t="s">
        <v>12</v>
      </c>
      <c r="E2727" s="4">
        <v>373</v>
      </c>
      <c r="F2727" s="4" t="s">
        <v>247</v>
      </c>
      <c r="G2727" s="4" t="s">
        <v>158</v>
      </c>
      <c r="H2727" s="4" t="s">
        <v>15</v>
      </c>
      <c r="I2727" s="4" t="s">
        <v>167</v>
      </c>
      <c r="J2727" s="4" t="s">
        <v>630</v>
      </c>
      <c r="K2727" s="4" t="s">
        <v>35</v>
      </c>
      <c r="L2727" s="4" t="s">
        <v>3743</v>
      </c>
      <c r="M2727" s="4" t="s">
        <v>3746</v>
      </c>
      <c r="N2727" s="4" t="s">
        <v>3747</v>
      </c>
      <c r="O2727" s="17">
        <f>INDEX('список ID из СУЭ с должностями'!$A:$F,MATCH(E2727,'список ID из СУЭ с должностями'!$B:$B,0),5)</f>
        <v>0</v>
      </c>
    </row>
    <row r="2728" spans="1:15" ht="60">
      <c r="A2728" s="3" t="s">
        <v>10</v>
      </c>
      <c r="B2728" s="3" t="s">
        <v>11</v>
      </c>
      <c r="C2728" s="4">
        <v>2026</v>
      </c>
      <c r="D2728" s="5" t="s">
        <v>12</v>
      </c>
      <c r="E2728" s="4">
        <v>373</v>
      </c>
      <c r="F2728" s="4" t="s">
        <v>247</v>
      </c>
      <c r="G2728" s="4" t="s">
        <v>158</v>
      </c>
      <c r="H2728" s="4" t="s">
        <v>15</v>
      </c>
      <c r="I2728" s="4" t="s">
        <v>2883</v>
      </c>
      <c r="J2728" s="4" t="s">
        <v>2884</v>
      </c>
      <c r="K2728" s="4" t="s">
        <v>151</v>
      </c>
      <c r="L2728" s="4" t="s">
        <v>3743</v>
      </c>
      <c r="M2728" s="4" t="s">
        <v>3746</v>
      </c>
      <c r="N2728" s="4" t="s">
        <v>3747</v>
      </c>
      <c r="O2728" s="17">
        <f>INDEX('список ID из СУЭ с должностями'!$A:$F,MATCH(E2728,'список ID из СУЭ с должностями'!$B:$B,0),5)</f>
        <v>0</v>
      </c>
    </row>
    <row r="2729" spans="1:15" ht="345">
      <c r="A2729" s="3" t="s">
        <v>10</v>
      </c>
      <c r="B2729" s="3" t="s">
        <v>11</v>
      </c>
      <c r="C2729" s="4">
        <v>2026</v>
      </c>
      <c r="D2729" s="5" t="s">
        <v>12</v>
      </c>
      <c r="E2729" s="4">
        <v>374</v>
      </c>
      <c r="F2729" s="4" t="s">
        <v>67</v>
      </c>
      <c r="G2729" s="4" t="s">
        <v>85</v>
      </c>
      <c r="H2729" s="4" t="s">
        <v>15</v>
      </c>
      <c r="I2729" s="4" t="s">
        <v>2885</v>
      </c>
      <c r="J2729" s="4" t="s">
        <v>2886</v>
      </c>
      <c r="K2729" s="4" t="s">
        <v>30</v>
      </c>
      <c r="L2729" s="4" t="s">
        <v>3743</v>
      </c>
      <c r="M2729" s="4" t="s">
        <v>3746</v>
      </c>
      <c r="N2729" s="4" t="s">
        <v>3747</v>
      </c>
      <c r="O2729" s="17">
        <f>INDEX('список ID из СУЭ с должностями'!$A:$F,MATCH(E2729,'список ID из СУЭ с должностями'!$B:$B,0),5)</f>
        <v>0</v>
      </c>
    </row>
    <row r="2730" spans="1:15" ht="375">
      <c r="A2730" s="3" t="s">
        <v>10</v>
      </c>
      <c r="B2730" s="3" t="s">
        <v>11</v>
      </c>
      <c r="C2730" s="4">
        <v>2026</v>
      </c>
      <c r="D2730" s="5" t="s">
        <v>12</v>
      </c>
      <c r="E2730" s="4">
        <v>374</v>
      </c>
      <c r="F2730" s="4" t="s">
        <v>67</v>
      </c>
      <c r="G2730" s="4" t="s">
        <v>85</v>
      </c>
      <c r="H2730" s="4" t="s">
        <v>15</v>
      </c>
      <c r="I2730" s="4" t="s">
        <v>2887</v>
      </c>
      <c r="J2730" s="4" t="s">
        <v>2888</v>
      </c>
      <c r="K2730" s="4" t="s">
        <v>30</v>
      </c>
      <c r="L2730" s="4" t="s">
        <v>3743</v>
      </c>
      <c r="M2730" s="4" t="s">
        <v>3746</v>
      </c>
      <c r="N2730" s="4" t="s">
        <v>3747</v>
      </c>
      <c r="O2730" s="17">
        <f>INDEX('список ID из СУЭ с должностями'!$A:$F,MATCH(E2730,'список ID из СУЭ с должностями'!$B:$B,0),5)</f>
        <v>0</v>
      </c>
    </row>
    <row r="2731" spans="1:15" ht="75">
      <c r="A2731" s="3" t="s">
        <v>10</v>
      </c>
      <c r="B2731" s="3" t="s">
        <v>11</v>
      </c>
      <c r="C2731" s="4">
        <v>2026</v>
      </c>
      <c r="D2731" s="5" t="s">
        <v>12</v>
      </c>
      <c r="E2731" s="4">
        <v>374</v>
      </c>
      <c r="F2731" s="4" t="s">
        <v>67</v>
      </c>
      <c r="G2731" s="4" t="s">
        <v>85</v>
      </c>
      <c r="H2731" s="4" t="s">
        <v>21</v>
      </c>
      <c r="I2731" s="4" t="s">
        <v>1113</v>
      </c>
      <c r="J2731" s="4" t="s">
        <v>277</v>
      </c>
      <c r="K2731" s="4" t="s">
        <v>20</v>
      </c>
      <c r="L2731" s="4" t="s">
        <v>3743</v>
      </c>
      <c r="M2731" s="4" t="s">
        <v>3746</v>
      </c>
      <c r="N2731" s="4" t="s">
        <v>3747</v>
      </c>
      <c r="O2731" s="17">
        <f>INDEX('список ID из СУЭ с должностями'!$A:$F,MATCH(E2731,'список ID из СУЭ с должностями'!$B:$B,0),5)</f>
        <v>0</v>
      </c>
    </row>
    <row r="2732" spans="1:15" ht="75">
      <c r="A2732" s="3" t="s">
        <v>10</v>
      </c>
      <c r="B2732" s="3" t="s">
        <v>11</v>
      </c>
      <c r="C2732" s="4">
        <v>2026</v>
      </c>
      <c r="D2732" s="5" t="s">
        <v>12</v>
      </c>
      <c r="E2732" s="4">
        <v>374</v>
      </c>
      <c r="F2732" s="4" t="s">
        <v>67</v>
      </c>
      <c r="G2732" s="4" t="s">
        <v>85</v>
      </c>
      <c r="H2732" s="4" t="s">
        <v>41</v>
      </c>
      <c r="I2732" s="4" t="s">
        <v>2889</v>
      </c>
      <c r="J2732" s="4" t="s">
        <v>2890</v>
      </c>
      <c r="K2732" s="4" t="s">
        <v>38</v>
      </c>
      <c r="L2732" s="4" t="s">
        <v>3742</v>
      </c>
      <c r="M2732" s="4" t="s">
        <v>3746</v>
      </c>
      <c r="N2732" s="4" t="s">
        <v>3747</v>
      </c>
      <c r="O2732" s="17">
        <f>INDEX('список ID из СУЭ с должностями'!$A:$F,MATCH(E2732,'список ID из СУЭ с должностями'!$B:$B,0),5)</f>
        <v>0</v>
      </c>
    </row>
    <row r="2733" spans="1:15" ht="120">
      <c r="A2733" s="3" t="s">
        <v>10</v>
      </c>
      <c r="B2733" s="3" t="s">
        <v>11</v>
      </c>
      <c r="C2733" s="4">
        <v>2026</v>
      </c>
      <c r="D2733" s="5" t="s">
        <v>12</v>
      </c>
      <c r="E2733" s="4">
        <v>374</v>
      </c>
      <c r="F2733" s="4" t="s">
        <v>67</v>
      </c>
      <c r="G2733" s="4" t="s">
        <v>85</v>
      </c>
      <c r="H2733" s="4" t="s">
        <v>15</v>
      </c>
      <c r="I2733" s="4" t="s">
        <v>86</v>
      </c>
      <c r="J2733" s="4" t="s">
        <v>267</v>
      </c>
      <c r="K2733" s="4" t="s">
        <v>35</v>
      </c>
      <c r="L2733" s="4" t="s">
        <v>3743</v>
      </c>
      <c r="M2733" s="4" t="s">
        <v>3746</v>
      </c>
      <c r="N2733" s="4" t="s">
        <v>3747</v>
      </c>
      <c r="O2733" s="17">
        <f>INDEX('список ID из СУЭ с должностями'!$A:$F,MATCH(E2733,'список ID из СУЭ с должностями'!$B:$B,0),5)</f>
        <v>0</v>
      </c>
    </row>
    <row r="2734" spans="1:15" ht="75">
      <c r="A2734" s="3" t="s">
        <v>10</v>
      </c>
      <c r="B2734" s="3" t="s">
        <v>11</v>
      </c>
      <c r="C2734" s="4">
        <v>2026</v>
      </c>
      <c r="D2734" s="5" t="s">
        <v>12</v>
      </c>
      <c r="E2734" s="4">
        <v>374</v>
      </c>
      <c r="F2734" s="4" t="s">
        <v>67</v>
      </c>
      <c r="G2734" s="4" t="s">
        <v>85</v>
      </c>
      <c r="H2734" s="4" t="s">
        <v>41</v>
      </c>
      <c r="I2734" s="4" t="s">
        <v>2891</v>
      </c>
      <c r="J2734" s="4" t="s">
        <v>2892</v>
      </c>
      <c r="K2734" s="4" t="s">
        <v>20</v>
      </c>
      <c r="L2734" s="4" t="s">
        <v>3743</v>
      </c>
      <c r="M2734" s="4" t="s">
        <v>3746</v>
      </c>
      <c r="N2734" s="4" t="s">
        <v>3747</v>
      </c>
      <c r="O2734" s="17">
        <f>INDEX('список ID из СУЭ с должностями'!$A:$F,MATCH(E2734,'список ID из СУЭ с должностями'!$B:$B,0),5)</f>
        <v>0</v>
      </c>
    </row>
    <row r="2735" spans="1:15" ht="375">
      <c r="A2735" s="3" t="s">
        <v>10</v>
      </c>
      <c r="B2735" s="3" t="s">
        <v>11</v>
      </c>
      <c r="C2735" s="4">
        <v>2026</v>
      </c>
      <c r="D2735" s="5" t="s">
        <v>12</v>
      </c>
      <c r="E2735" s="4">
        <v>374</v>
      </c>
      <c r="F2735" s="4" t="s">
        <v>67</v>
      </c>
      <c r="G2735" s="4" t="s">
        <v>85</v>
      </c>
      <c r="H2735" s="4" t="s">
        <v>21</v>
      </c>
      <c r="I2735" s="4" t="s">
        <v>2893</v>
      </c>
      <c r="J2735" s="4" t="s">
        <v>2894</v>
      </c>
      <c r="K2735" s="4" t="s">
        <v>52</v>
      </c>
      <c r="L2735" s="4" t="s">
        <v>3743</v>
      </c>
      <c r="M2735" s="4" t="s">
        <v>3746</v>
      </c>
      <c r="N2735" s="4" t="s">
        <v>3747</v>
      </c>
      <c r="O2735" s="17">
        <f>INDEX('список ID из СУЭ с должностями'!$A:$F,MATCH(E2735,'список ID из СУЭ с должностями'!$B:$B,0),5)</f>
        <v>0</v>
      </c>
    </row>
    <row r="2736" spans="1:15" ht="75">
      <c r="A2736" s="3" t="s">
        <v>10</v>
      </c>
      <c r="B2736" s="3" t="s">
        <v>11</v>
      </c>
      <c r="C2736" s="4">
        <v>2026</v>
      </c>
      <c r="D2736" s="5" t="s">
        <v>12</v>
      </c>
      <c r="E2736" s="4">
        <v>374</v>
      </c>
      <c r="F2736" s="4" t="s">
        <v>67</v>
      </c>
      <c r="G2736" s="4" t="s">
        <v>85</v>
      </c>
      <c r="H2736" s="4" t="s">
        <v>15</v>
      </c>
      <c r="I2736" s="4" t="s">
        <v>2895</v>
      </c>
      <c r="J2736" s="4" t="s">
        <v>109</v>
      </c>
      <c r="K2736" s="4" t="s">
        <v>151</v>
      </c>
      <c r="L2736" s="4" t="s">
        <v>3742</v>
      </c>
      <c r="M2736" s="4" t="s">
        <v>3746</v>
      </c>
      <c r="N2736" s="4" t="s">
        <v>3747</v>
      </c>
      <c r="O2736" s="17">
        <f>INDEX('список ID из СУЭ с должностями'!$A:$F,MATCH(E2736,'список ID из СУЭ с должностями'!$B:$B,0),5)</f>
        <v>0</v>
      </c>
    </row>
    <row r="2737" spans="1:15" ht="90">
      <c r="A2737" s="3" t="s">
        <v>10</v>
      </c>
      <c r="B2737" s="3" t="s">
        <v>11</v>
      </c>
      <c r="C2737" s="4">
        <v>2026</v>
      </c>
      <c r="D2737" s="5" t="s">
        <v>12</v>
      </c>
      <c r="E2737" s="4">
        <v>375</v>
      </c>
      <c r="F2737" s="4" t="s">
        <v>724</v>
      </c>
      <c r="G2737" s="4" t="s">
        <v>725</v>
      </c>
      <c r="H2737" s="4" t="s">
        <v>15</v>
      </c>
      <c r="I2737" s="4" t="s">
        <v>2896</v>
      </c>
      <c r="J2737" s="4" t="s">
        <v>182</v>
      </c>
      <c r="K2737" s="4" t="s">
        <v>151</v>
      </c>
      <c r="L2737" s="4" t="s">
        <v>3742</v>
      </c>
      <c r="M2737" s="4" t="s">
        <v>3746</v>
      </c>
      <c r="N2737" s="4" t="s">
        <v>3747</v>
      </c>
      <c r="O2737" s="17">
        <f>INDEX('список ID из СУЭ с должностями'!$A:$F,MATCH(E2737,'список ID из СУЭ с должностями'!$B:$B,0),5)</f>
        <v>0</v>
      </c>
    </row>
    <row r="2738" spans="1:15" ht="90">
      <c r="A2738" s="3" t="s">
        <v>10</v>
      </c>
      <c r="B2738" s="3" t="s">
        <v>11</v>
      </c>
      <c r="C2738" s="4">
        <v>2026</v>
      </c>
      <c r="D2738" s="5" t="s">
        <v>12</v>
      </c>
      <c r="E2738" s="4">
        <v>375</v>
      </c>
      <c r="F2738" s="4" t="s">
        <v>724</v>
      </c>
      <c r="G2738" s="4" t="s">
        <v>725</v>
      </c>
      <c r="H2738" s="4" t="s">
        <v>15</v>
      </c>
      <c r="I2738" s="4" t="s">
        <v>728</v>
      </c>
      <c r="J2738" s="4" t="s">
        <v>729</v>
      </c>
      <c r="K2738" s="4" t="s">
        <v>66</v>
      </c>
      <c r="L2738" s="4" t="s">
        <v>3742</v>
      </c>
      <c r="M2738" s="4" t="s">
        <v>3746</v>
      </c>
      <c r="N2738" s="4" t="s">
        <v>3747</v>
      </c>
      <c r="O2738" s="17">
        <f>INDEX('список ID из СУЭ с должностями'!$A:$F,MATCH(E2738,'список ID из СУЭ с должностями'!$B:$B,0),5)</f>
        <v>0</v>
      </c>
    </row>
    <row r="2739" spans="1:15" ht="90">
      <c r="A2739" s="3" t="s">
        <v>10</v>
      </c>
      <c r="B2739" s="3" t="s">
        <v>11</v>
      </c>
      <c r="C2739" s="4">
        <v>2026</v>
      </c>
      <c r="D2739" s="5" t="s">
        <v>12</v>
      </c>
      <c r="E2739" s="4">
        <v>375</v>
      </c>
      <c r="F2739" s="4" t="s">
        <v>724</v>
      </c>
      <c r="G2739" s="4" t="s">
        <v>725</v>
      </c>
      <c r="H2739" s="4" t="s">
        <v>15</v>
      </c>
      <c r="I2739" s="4" t="s">
        <v>730</v>
      </c>
      <c r="J2739" s="4" t="s">
        <v>731</v>
      </c>
      <c r="K2739" s="4" t="s">
        <v>151</v>
      </c>
      <c r="L2739" s="4" t="s">
        <v>3742</v>
      </c>
      <c r="M2739" s="4" t="s">
        <v>3746</v>
      </c>
      <c r="N2739" s="4" t="s">
        <v>3747</v>
      </c>
      <c r="O2739" s="17">
        <f>INDEX('список ID из СУЭ с должностями'!$A:$F,MATCH(E2739,'список ID из СУЭ с должностями'!$B:$B,0),5)</f>
        <v>0</v>
      </c>
    </row>
    <row r="2740" spans="1:15" ht="90">
      <c r="A2740" s="3" t="s">
        <v>10</v>
      </c>
      <c r="B2740" s="3" t="s">
        <v>11</v>
      </c>
      <c r="C2740" s="4">
        <v>2026</v>
      </c>
      <c r="D2740" s="5" t="s">
        <v>12</v>
      </c>
      <c r="E2740" s="4">
        <v>375</v>
      </c>
      <c r="F2740" s="4" t="s">
        <v>724</v>
      </c>
      <c r="G2740" s="4" t="s">
        <v>725</v>
      </c>
      <c r="H2740" s="4" t="s">
        <v>15</v>
      </c>
      <c r="I2740" s="4" t="s">
        <v>2897</v>
      </c>
      <c r="J2740" s="4" t="s">
        <v>182</v>
      </c>
      <c r="K2740" s="4" t="s">
        <v>151</v>
      </c>
      <c r="L2740" s="4" t="s">
        <v>3742</v>
      </c>
      <c r="M2740" s="4" t="s">
        <v>3746</v>
      </c>
      <c r="N2740" s="4" t="s">
        <v>3747</v>
      </c>
      <c r="O2740" s="17">
        <f>INDEX('список ID из СУЭ с должностями'!$A:$F,MATCH(E2740,'список ID из СУЭ с должностями'!$B:$B,0),5)</f>
        <v>0</v>
      </c>
    </row>
    <row r="2741" spans="1:15" ht="90">
      <c r="A2741" s="3" t="s">
        <v>10</v>
      </c>
      <c r="B2741" s="3" t="s">
        <v>11</v>
      </c>
      <c r="C2741" s="4">
        <v>2026</v>
      </c>
      <c r="D2741" s="5" t="s">
        <v>12</v>
      </c>
      <c r="E2741" s="4">
        <v>375</v>
      </c>
      <c r="F2741" s="4" t="s">
        <v>724</v>
      </c>
      <c r="G2741" s="4" t="s">
        <v>725</v>
      </c>
      <c r="H2741" s="4" t="s">
        <v>15</v>
      </c>
      <c r="I2741" s="4" t="s">
        <v>733</v>
      </c>
      <c r="J2741" s="4" t="s">
        <v>733</v>
      </c>
      <c r="K2741" s="4" t="s">
        <v>52</v>
      </c>
      <c r="L2741" s="4" t="s">
        <v>3743</v>
      </c>
      <c r="M2741" s="4" t="s">
        <v>3746</v>
      </c>
      <c r="N2741" s="4" t="s">
        <v>3747</v>
      </c>
      <c r="O2741" s="17">
        <f>INDEX('список ID из СУЭ с должностями'!$A:$F,MATCH(E2741,'список ID из СУЭ с должностями'!$B:$B,0),5)</f>
        <v>0</v>
      </c>
    </row>
    <row r="2742" spans="1:15" ht="90">
      <c r="A2742" s="3" t="s">
        <v>10</v>
      </c>
      <c r="B2742" s="3" t="s">
        <v>11</v>
      </c>
      <c r="C2742" s="4">
        <v>2026</v>
      </c>
      <c r="D2742" s="5" t="s">
        <v>12</v>
      </c>
      <c r="E2742" s="4">
        <v>375</v>
      </c>
      <c r="F2742" s="4" t="s">
        <v>724</v>
      </c>
      <c r="G2742" s="4" t="s">
        <v>725</v>
      </c>
      <c r="H2742" s="4" t="s">
        <v>15</v>
      </c>
      <c r="I2742" s="4" t="s">
        <v>734</v>
      </c>
      <c r="J2742" s="4" t="s">
        <v>182</v>
      </c>
      <c r="K2742" s="4" t="s">
        <v>23</v>
      </c>
      <c r="L2742" s="4" t="s">
        <v>3742</v>
      </c>
      <c r="M2742" s="4" t="s">
        <v>3748</v>
      </c>
      <c r="N2742" s="4" t="s">
        <v>3752</v>
      </c>
      <c r="O2742" s="17">
        <f>INDEX('список ID из СУЭ с должностями'!$A:$F,MATCH(E2742,'список ID из СУЭ с должностями'!$B:$B,0),5)</f>
        <v>0</v>
      </c>
    </row>
    <row r="2743" spans="1:15" ht="90">
      <c r="A2743" s="3" t="s">
        <v>10</v>
      </c>
      <c r="B2743" s="3" t="s">
        <v>11</v>
      </c>
      <c r="C2743" s="4">
        <v>2026</v>
      </c>
      <c r="D2743" s="5" t="s">
        <v>12</v>
      </c>
      <c r="E2743" s="4">
        <v>375</v>
      </c>
      <c r="F2743" s="4" t="s">
        <v>724</v>
      </c>
      <c r="G2743" s="4" t="s">
        <v>725</v>
      </c>
      <c r="H2743" s="4" t="s">
        <v>15</v>
      </c>
      <c r="I2743" s="4" t="s">
        <v>735</v>
      </c>
      <c r="J2743" s="4" t="s">
        <v>132</v>
      </c>
      <c r="K2743" s="4" t="s">
        <v>52</v>
      </c>
      <c r="L2743" s="4" t="s">
        <v>3742</v>
      </c>
      <c r="M2743" s="4" t="s">
        <v>3746</v>
      </c>
      <c r="N2743" s="4" t="s">
        <v>3747</v>
      </c>
      <c r="O2743" s="17">
        <f>INDEX('список ID из СУЭ с должностями'!$A:$F,MATCH(E2743,'список ID из СУЭ с должностями'!$B:$B,0),5)</f>
        <v>0</v>
      </c>
    </row>
    <row r="2744" spans="1:15" ht="90">
      <c r="A2744" s="3" t="s">
        <v>10</v>
      </c>
      <c r="B2744" s="3" t="s">
        <v>11</v>
      </c>
      <c r="C2744" s="4">
        <v>2026</v>
      </c>
      <c r="D2744" s="5" t="s">
        <v>12</v>
      </c>
      <c r="E2744" s="4">
        <v>375</v>
      </c>
      <c r="F2744" s="4" t="s">
        <v>724</v>
      </c>
      <c r="G2744" s="4" t="s">
        <v>725</v>
      </c>
      <c r="H2744" s="4" t="s">
        <v>15</v>
      </c>
      <c r="I2744" s="4" t="s">
        <v>736</v>
      </c>
      <c r="J2744" s="4" t="s">
        <v>737</v>
      </c>
      <c r="K2744" s="4" t="s">
        <v>52</v>
      </c>
      <c r="L2744" s="4" t="s">
        <v>3743</v>
      </c>
      <c r="M2744" s="4" t="s">
        <v>3746</v>
      </c>
      <c r="N2744" s="4" t="s">
        <v>3747</v>
      </c>
      <c r="O2744" s="17">
        <f>INDEX('список ID из СУЭ с должностями'!$A:$F,MATCH(E2744,'список ID из СУЭ с должностями'!$B:$B,0),5)</f>
        <v>0</v>
      </c>
    </row>
    <row r="2745" spans="1:15" ht="90">
      <c r="A2745" s="3" t="s">
        <v>10</v>
      </c>
      <c r="B2745" s="3" t="s">
        <v>11</v>
      </c>
      <c r="C2745" s="4">
        <v>2026</v>
      </c>
      <c r="D2745" s="5" t="s">
        <v>12</v>
      </c>
      <c r="E2745" s="4">
        <v>375</v>
      </c>
      <c r="F2745" s="4" t="s">
        <v>724</v>
      </c>
      <c r="G2745" s="4" t="s">
        <v>725</v>
      </c>
      <c r="H2745" s="4" t="s">
        <v>15</v>
      </c>
      <c r="I2745" s="4" t="s">
        <v>738</v>
      </c>
      <c r="J2745" s="4" t="s">
        <v>739</v>
      </c>
      <c r="K2745" s="4" t="s">
        <v>25</v>
      </c>
      <c r="L2745" s="4" t="s">
        <v>3742</v>
      </c>
      <c r="M2745" s="4" t="s">
        <v>3746</v>
      </c>
      <c r="N2745" s="4" t="s">
        <v>3747</v>
      </c>
      <c r="O2745" s="17">
        <f>INDEX('список ID из СУЭ с должностями'!$A:$F,MATCH(E2745,'список ID из СУЭ с должностями'!$B:$B,0),5)</f>
        <v>0</v>
      </c>
    </row>
    <row r="2746" spans="1:15" ht="90">
      <c r="A2746" s="3" t="s">
        <v>10</v>
      </c>
      <c r="B2746" s="3" t="s">
        <v>11</v>
      </c>
      <c r="C2746" s="4">
        <v>2026</v>
      </c>
      <c r="D2746" s="5" t="s">
        <v>12</v>
      </c>
      <c r="E2746" s="4">
        <v>375</v>
      </c>
      <c r="F2746" s="4" t="s">
        <v>724</v>
      </c>
      <c r="G2746" s="4" t="s">
        <v>725</v>
      </c>
      <c r="H2746" s="4" t="s">
        <v>15</v>
      </c>
      <c r="I2746" s="4" t="s">
        <v>740</v>
      </c>
      <c r="J2746" s="4" t="s">
        <v>741</v>
      </c>
      <c r="K2746" s="4" t="s">
        <v>35</v>
      </c>
      <c r="L2746" s="4" t="s">
        <v>3743</v>
      </c>
      <c r="M2746" s="4" t="s">
        <v>3746</v>
      </c>
      <c r="N2746" s="4" t="s">
        <v>3747</v>
      </c>
      <c r="O2746" s="17">
        <f>INDEX('список ID из СУЭ с должностями'!$A:$F,MATCH(E2746,'список ID из СУЭ с должностями'!$B:$B,0),5)</f>
        <v>0</v>
      </c>
    </row>
    <row r="2747" spans="1:15" ht="90">
      <c r="A2747" s="3" t="s">
        <v>10</v>
      </c>
      <c r="B2747" s="3" t="s">
        <v>11</v>
      </c>
      <c r="C2747" s="4">
        <v>2026</v>
      </c>
      <c r="D2747" s="5" t="s">
        <v>12</v>
      </c>
      <c r="E2747" s="4">
        <v>376</v>
      </c>
      <c r="F2747" s="4" t="s">
        <v>1268</v>
      </c>
      <c r="G2747" s="4" t="s">
        <v>1269</v>
      </c>
      <c r="H2747" s="4" t="s">
        <v>15</v>
      </c>
      <c r="I2747" s="4" t="s">
        <v>1168</v>
      </c>
      <c r="J2747" s="4" t="s">
        <v>1270</v>
      </c>
      <c r="K2747" s="4" t="s">
        <v>25</v>
      </c>
      <c r="L2747" s="4" t="s">
        <v>3743</v>
      </c>
      <c r="M2747" s="4" t="s">
        <v>3746</v>
      </c>
      <c r="N2747" s="4" t="s">
        <v>3747</v>
      </c>
      <c r="O2747" s="17">
        <f>INDEX('список ID из СУЭ с должностями'!$A:$F,MATCH(E2747,'список ID из СУЭ с должностями'!$B:$B,0),5)</f>
        <v>0</v>
      </c>
    </row>
    <row r="2748" spans="1:15" ht="90">
      <c r="A2748" s="3" t="s">
        <v>10</v>
      </c>
      <c r="B2748" s="3" t="s">
        <v>11</v>
      </c>
      <c r="C2748" s="4">
        <v>2026</v>
      </c>
      <c r="D2748" s="5" t="s">
        <v>12</v>
      </c>
      <c r="E2748" s="4">
        <v>376</v>
      </c>
      <c r="F2748" s="4" t="s">
        <v>1268</v>
      </c>
      <c r="G2748" s="4" t="s">
        <v>1269</v>
      </c>
      <c r="H2748" s="4" t="s">
        <v>41</v>
      </c>
      <c r="I2748" s="4" t="s">
        <v>806</v>
      </c>
      <c r="J2748" s="4" t="s">
        <v>1271</v>
      </c>
      <c r="K2748" s="4" t="s">
        <v>38</v>
      </c>
      <c r="L2748" s="4" t="s">
        <v>3743</v>
      </c>
      <c r="M2748" s="4" t="s">
        <v>3746</v>
      </c>
      <c r="N2748" s="4" t="s">
        <v>3747</v>
      </c>
      <c r="O2748" s="17">
        <f>INDEX('список ID из СУЭ с должностями'!$A:$F,MATCH(E2748,'список ID из СУЭ с должностями'!$B:$B,0),5)</f>
        <v>0</v>
      </c>
    </row>
    <row r="2749" spans="1:15" ht="180">
      <c r="A2749" s="3" t="s">
        <v>10</v>
      </c>
      <c r="B2749" s="3" t="s">
        <v>11</v>
      </c>
      <c r="C2749" s="4">
        <v>2026</v>
      </c>
      <c r="D2749" s="5" t="s">
        <v>12</v>
      </c>
      <c r="E2749" s="4">
        <v>376</v>
      </c>
      <c r="F2749" s="4" t="s">
        <v>1268</v>
      </c>
      <c r="G2749" s="4" t="s">
        <v>1269</v>
      </c>
      <c r="H2749" s="4" t="s">
        <v>15</v>
      </c>
      <c r="I2749" s="4" t="s">
        <v>809</v>
      </c>
      <c r="J2749" s="4" t="s">
        <v>1272</v>
      </c>
      <c r="K2749" s="4" t="s">
        <v>20</v>
      </c>
      <c r="L2749" s="4" t="s">
        <v>3743</v>
      </c>
      <c r="M2749" s="4" t="s">
        <v>3746</v>
      </c>
      <c r="N2749" s="4" t="s">
        <v>3747</v>
      </c>
      <c r="O2749" s="17">
        <f>INDEX('список ID из СУЭ с должностями'!$A:$F,MATCH(E2749,'список ID из СУЭ с должностями'!$B:$B,0),5)</f>
        <v>0</v>
      </c>
    </row>
    <row r="2750" spans="1:15" ht="300">
      <c r="A2750" s="3" t="s">
        <v>10</v>
      </c>
      <c r="B2750" s="3" t="s">
        <v>11</v>
      </c>
      <c r="C2750" s="4">
        <v>2026</v>
      </c>
      <c r="D2750" s="5" t="s">
        <v>12</v>
      </c>
      <c r="E2750" s="4">
        <v>376</v>
      </c>
      <c r="F2750" s="4" t="s">
        <v>1268</v>
      </c>
      <c r="G2750" s="4" t="s">
        <v>1269</v>
      </c>
      <c r="H2750" s="4" t="s">
        <v>15</v>
      </c>
      <c r="I2750" s="4" t="s">
        <v>857</v>
      </c>
      <c r="J2750" s="4" t="s">
        <v>1273</v>
      </c>
      <c r="K2750" s="4" t="s">
        <v>35</v>
      </c>
      <c r="L2750" s="4" t="s">
        <v>3743</v>
      </c>
      <c r="M2750" s="4" t="s">
        <v>3746</v>
      </c>
      <c r="N2750" s="4" t="s">
        <v>3747</v>
      </c>
      <c r="O2750" s="17">
        <f>INDEX('список ID из СУЭ с должностями'!$A:$F,MATCH(E2750,'список ID из СУЭ с должностями'!$B:$B,0),5)</f>
        <v>0</v>
      </c>
    </row>
    <row r="2751" spans="1:15" ht="150">
      <c r="A2751" s="3" t="s">
        <v>10</v>
      </c>
      <c r="B2751" s="3" t="s">
        <v>11</v>
      </c>
      <c r="C2751" s="4">
        <v>2026</v>
      </c>
      <c r="D2751" s="5" t="s">
        <v>12</v>
      </c>
      <c r="E2751" s="4">
        <v>376</v>
      </c>
      <c r="F2751" s="4" t="s">
        <v>1268</v>
      </c>
      <c r="G2751" s="4" t="s">
        <v>1269</v>
      </c>
      <c r="H2751" s="4" t="s">
        <v>15</v>
      </c>
      <c r="I2751" s="4" t="s">
        <v>303</v>
      </c>
      <c r="J2751" s="4" t="s">
        <v>1274</v>
      </c>
      <c r="K2751" s="4" t="s">
        <v>52</v>
      </c>
      <c r="L2751" s="4" t="s">
        <v>3743</v>
      </c>
      <c r="M2751" s="4" t="s">
        <v>3746</v>
      </c>
      <c r="N2751" s="4" t="s">
        <v>3747</v>
      </c>
      <c r="O2751" s="17">
        <f>INDEX('список ID из СУЭ с должностями'!$A:$F,MATCH(E2751,'список ID из СУЭ с должностями'!$B:$B,0),5)</f>
        <v>0</v>
      </c>
    </row>
    <row r="2752" spans="1:15" ht="45">
      <c r="A2752" s="3" t="s">
        <v>10</v>
      </c>
      <c r="B2752" s="3" t="s">
        <v>11</v>
      </c>
      <c r="C2752" s="4">
        <v>2026</v>
      </c>
      <c r="D2752" s="5" t="s">
        <v>12</v>
      </c>
      <c r="E2752" s="4">
        <v>377</v>
      </c>
      <c r="F2752" s="4" t="s">
        <v>280</v>
      </c>
      <c r="G2752" s="4" t="s">
        <v>506</v>
      </c>
      <c r="H2752" s="4" t="s">
        <v>41</v>
      </c>
      <c r="I2752" s="4" t="s">
        <v>1593</v>
      </c>
      <c r="J2752" s="4" t="s">
        <v>2898</v>
      </c>
      <c r="K2752" s="4" t="s">
        <v>52</v>
      </c>
      <c r="L2752" s="4" t="s">
        <v>3742</v>
      </c>
      <c r="M2752" s="4" t="s">
        <v>3746</v>
      </c>
      <c r="N2752" s="4" t="s">
        <v>3747</v>
      </c>
      <c r="O2752" s="17" t="str">
        <f>INDEX('список ID из СУЭ с должностями'!$A:$F,MATCH(E2752,'список ID из СУЭ с должностями'!$B:$B,0),5)</f>
        <v>ВИП</v>
      </c>
    </row>
    <row r="2753" spans="1:15" ht="45">
      <c r="A2753" s="3" t="s">
        <v>10</v>
      </c>
      <c r="B2753" s="3" t="s">
        <v>11</v>
      </c>
      <c r="C2753" s="4">
        <v>2026</v>
      </c>
      <c r="D2753" s="5" t="s">
        <v>12</v>
      </c>
      <c r="E2753" s="4">
        <v>377</v>
      </c>
      <c r="F2753" s="4" t="s">
        <v>280</v>
      </c>
      <c r="G2753" s="4" t="s">
        <v>506</v>
      </c>
      <c r="H2753" s="4" t="s">
        <v>15</v>
      </c>
      <c r="I2753" s="4" t="s">
        <v>48</v>
      </c>
      <c r="J2753" s="4" t="s">
        <v>187</v>
      </c>
      <c r="K2753" s="4" t="s">
        <v>35</v>
      </c>
      <c r="L2753" s="4" t="s">
        <v>3743</v>
      </c>
      <c r="M2753" s="4" t="s">
        <v>3746</v>
      </c>
      <c r="N2753" s="4" t="s">
        <v>3747</v>
      </c>
      <c r="O2753" s="17" t="str">
        <f>INDEX('список ID из СУЭ с должностями'!$A:$F,MATCH(E2753,'список ID из СУЭ с должностями'!$B:$B,0),5)</f>
        <v>ВИП</v>
      </c>
    </row>
    <row r="2754" spans="1:15" ht="45">
      <c r="A2754" s="3" t="s">
        <v>10</v>
      </c>
      <c r="B2754" s="3" t="s">
        <v>11</v>
      </c>
      <c r="C2754" s="4">
        <v>2026</v>
      </c>
      <c r="D2754" s="5" t="s">
        <v>12</v>
      </c>
      <c r="E2754" s="4">
        <v>377</v>
      </c>
      <c r="F2754" s="4" t="s">
        <v>280</v>
      </c>
      <c r="G2754" s="4" t="s">
        <v>506</v>
      </c>
      <c r="H2754" s="4" t="s">
        <v>15</v>
      </c>
      <c r="I2754" s="4" t="s">
        <v>819</v>
      </c>
      <c r="J2754" s="4" t="s">
        <v>200</v>
      </c>
      <c r="K2754" s="4" t="s">
        <v>66</v>
      </c>
      <c r="L2754" s="4" t="s">
        <v>3742</v>
      </c>
      <c r="M2754" s="4" t="s">
        <v>3746</v>
      </c>
      <c r="N2754" s="4" t="s">
        <v>3747</v>
      </c>
      <c r="O2754" s="17" t="str">
        <f>INDEX('список ID из СУЭ с должностями'!$A:$F,MATCH(E2754,'список ID из СУЭ с должностями'!$B:$B,0),5)</f>
        <v>ВИП</v>
      </c>
    </row>
    <row r="2755" spans="1:15" ht="75">
      <c r="A2755" s="3" t="s">
        <v>10</v>
      </c>
      <c r="B2755" s="3" t="s">
        <v>11</v>
      </c>
      <c r="C2755" s="4">
        <v>2026</v>
      </c>
      <c r="D2755" s="5" t="s">
        <v>12</v>
      </c>
      <c r="E2755" s="4">
        <v>377</v>
      </c>
      <c r="F2755" s="4" t="s">
        <v>280</v>
      </c>
      <c r="G2755" s="4" t="s">
        <v>506</v>
      </c>
      <c r="H2755" s="4" t="s">
        <v>15</v>
      </c>
      <c r="I2755" s="4" t="s">
        <v>1591</v>
      </c>
      <c r="J2755" s="4" t="s">
        <v>2899</v>
      </c>
      <c r="K2755" s="4" t="s">
        <v>30</v>
      </c>
      <c r="L2755" s="4" t="s">
        <v>3743</v>
      </c>
      <c r="M2755" s="4" t="s">
        <v>3746</v>
      </c>
      <c r="N2755" s="4" t="s">
        <v>3747</v>
      </c>
      <c r="O2755" s="17" t="str">
        <f>INDEX('список ID из СУЭ с должностями'!$A:$F,MATCH(E2755,'список ID из СУЭ с должностями'!$B:$B,0),5)</f>
        <v>ВИП</v>
      </c>
    </row>
    <row r="2756" spans="1:15" ht="60">
      <c r="A2756" s="3" t="s">
        <v>10</v>
      </c>
      <c r="B2756" s="3" t="s">
        <v>11</v>
      </c>
      <c r="C2756" s="4">
        <v>2026</v>
      </c>
      <c r="D2756" s="5" t="s">
        <v>12</v>
      </c>
      <c r="E2756" s="4">
        <v>377</v>
      </c>
      <c r="F2756" s="4" t="s">
        <v>280</v>
      </c>
      <c r="G2756" s="4" t="s">
        <v>506</v>
      </c>
      <c r="H2756" s="4" t="s">
        <v>15</v>
      </c>
      <c r="I2756" s="4" t="s">
        <v>1250</v>
      </c>
      <c r="J2756" s="4" t="s">
        <v>1251</v>
      </c>
      <c r="K2756" s="4" t="s">
        <v>52</v>
      </c>
      <c r="L2756" s="4" t="s">
        <v>3743</v>
      </c>
      <c r="M2756" s="4" t="s">
        <v>3746</v>
      </c>
      <c r="N2756" s="4" t="s">
        <v>3747</v>
      </c>
      <c r="O2756" s="17" t="str">
        <f>INDEX('список ID из СУЭ с должностями'!$A:$F,MATCH(E2756,'список ID из СУЭ с должностями'!$B:$B,0),5)</f>
        <v>ВИП</v>
      </c>
    </row>
    <row r="2757" spans="1:15" ht="315">
      <c r="A2757" s="3" t="s">
        <v>10</v>
      </c>
      <c r="B2757" s="3" t="s">
        <v>11</v>
      </c>
      <c r="C2757" s="4">
        <v>2026</v>
      </c>
      <c r="D2757" s="5" t="s">
        <v>12</v>
      </c>
      <c r="E2757" s="4">
        <v>377</v>
      </c>
      <c r="F2757" s="4" t="s">
        <v>280</v>
      </c>
      <c r="G2757" s="4" t="s">
        <v>506</v>
      </c>
      <c r="H2757" s="4" t="s">
        <v>15</v>
      </c>
      <c r="I2757" s="4" t="s">
        <v>1595</v>
      </c>
      <c r="J2757" s="4" t="s">
        <v>1596</v>
      </c>
      <c r="K2757" s="4" t="s">
        <v>66</v>
      </c>
      <c r="L2757" s="4" t="s">
        <v>3743</v>
      </c>
      <c r="M2757" s="4" t="s">
        <v>3746</v>
      </c>
      <c r="N2757" s="4" t="s">
        <v>3747</v>
      </c>
      <c r="O2757" s="17" t="str">
        <f>INDEX('список ID из СУЭ с должностями'!$A:$F,MATCH(E2757,'список ID из СУЭ с должностями'!$B:$B,0),5)</f>
        <v>ВИП</v>
      </c>
    </row>
    <row r="2758" spans="1:15" ht="60">
      <c r="A2758" s="3" t="s">
        <v>10</v>
      </c>
      <c r="B2758" s="3" t="s">
        <v>11</v>
      </c>
      <c r="C2758" s="4">
        <v>2026</v>
      </c>
      <c r="D2758" s="5" t="s">
        <v>12</v>
      </c>
      <c r="E2758" s="4">
        <v>377</v>
      </c>
      <c r="F2758" s="4" t="s">
        <v>280</v>
      </c>
      <c r="G2758" s="4" t="s">
        <v>506</v>
      </c>
      <c r="H2758" s="4" t="s">
        <v>15</v>
      </c>
      <c r="I2758" s="4" t="s">
        <v>245</v>
      </c>
      <c r="J2758" s="4" t="s">
        <v>182</v>
      </c>
      <c r="K2758" s="4" t="s">
        <v>151</v>
      </c>
      <c r="L2758" s="4" t="s">
        <v>3742</v>
      </c>
      <c r="M2758" s="4" t="s">
        <v>3746</v>
      </c>
      <c r="N2758" s="4" t="s">
        <v>3747</v>
      </c>
      <c r="O2758" s="17" t="str">
        <f>INDEX('список ID из СУЭ с должностями'!$A:$F,MATCH(E2758,'список ID из СУЭ с должностями'!$B:$B,0),5)</f>
        <v>ВИП</v>
      </c>
    </row>
    <row r="2759" spans="1:15" ht="45">
      <c r="A2759" s="3" t="s">
        <v>10</v>
      </c>
      <c r="B2759" s="3" t="s">
        <v>11</v>
      </c>
      <c r="C2759" s="4">
        <v>2026</v>
      </c>
      <c r="D2759" s="5" t="s">
        <v>12</v>
      </c>
      <c r="E2759" s="4">
        <v>377</v>
      </c>
      <c r="F2759" s="4" t="s">
        <v>280</v>
      </c>
      <c r="G2759" s="4" t="s">
        <v>506</v>
      </c>
      <c r="H2759" s="4" t="s">
        <v>15</v>
      </c>
      <c r="I2759" s="4" t="s">
        <v>62</v>
      </c>
      <c r="J2759" s="4" t="s">
        <v>2900</v>
      </c>
      <c r="K2759" s="4" t="s">
        <v>55</v>
      </c>
      <c r="L2759" s="4" t="s">
        <v>3743</v>
      </c>
      <c r="M2759" s="4" t="s">
        <v>3746</v>
      </c>
      <c r="N2759" s="4" t="s">
        <v>3747</v>
      </c>
      <c r="O2759" s="17" t="str">
        <f>INDEX('список ID из СУЭ с должностями'!$A:$F,MATCH(E2759,'список ID из СУЭ с должностями'!$B:$B,0),5)</f>
        <v>ВИП</v>
      </c>
    </row>
    <row r="2760" spans="1:15" ht="60">
      <c r="A2760" s="3" t="s">
        <v>10</v>
      </c>
      <c r="B2760" s="3" t="s">
        <v>11</v>
      </c>
      <c r="C2760" s="4">
        <v>2026</v>
      </c>
      <c r="D2760" s="5" t="s">
        <v>12</v>
      </c>
      <c r="E2760" s="4">
        <v>377</v>
      </c>
      <c r="F2760" s="4" t="s">
        <v>280</v>
      </c>
      <c r="G2760" s="4" t="s">
        <v>506</v>
      </c>
      <c r="H2760" s="4" t="s">
        <v>15</v>
      </c>
      <c r="I2760" s="4" t="s">
        <v>1588</v>
      </c>
      <c r="J2760" s="4" t="s">
        <v>2901</v>
      </c>
      <c r="K2760" s="4" t="s">
        <v>151</v>
      </c>
      <c r="L2760" s="4" t="s">
        <v>3742</v>
      </c>
      <c r="M2760" s="4" t="s">
        <v>3746</v>
      </c>
      <c r="N2760" s="4" t="s">
        <v>3747</v>
      </c>
      <c r="O2760" s="17" t="str">
        <f>INDEX('список ID из СУЭ с должностями'!$A:$F,MATCH(E2760,'список ID из СУЭ с должностями'!$B:$B,0),5)</f>
        <v>ВИП</v>
      </c>
    </row>
    <row r="2761" spans="1:15" ht="60">
      <c r="A2761" s="3" t="s">
        <v>10</v>
      </c>
      <c r="B2761" s="3" t="s">
        <v>11</v>
      </c>
      <c r="C2761" s="4">
        <v>2026</v>
      </c>
      <c r="D2761" s="5" t="s">
        <v>12</v>
      </c>
      <c r="E2761" s="4">
        <v>377</v>
      </c>
      <c r="F2761" s="4" t="s">
        <v>280</v>
      </c>
      <c r="G2761" s="4" t="s">
        <v>506</v>
      </c>
      <c r="H2761" s="4" t="s">
        <v>21</v>
      </c>
      <c r="I2761" s="4" t="s">
        <v>2902</v>
      </c>
      <c r="J2761" s="4" t="s">
        <v>2903</v>
      </c>
      <c r="K2761" s="4" t="s">
        <v>151</v>
      </c>
      <c r="L2761" s="4" t="s">
        <v>3743</v>
      </c>
      <c r="M2761" s="4" t="s">
        <v>3746</v>
      </c>
      <c r="N2761" s="4" t="s">
        <v>3747</v>
      </c>
      <c r="O2761" s="17" t="str">
        <f>INDEX('список ID из СУЭ с должностями'!$A:$F,MATCH(E2761,'список ID из СУЭ с должностями'!$B:$B,0),5)</f>
        <v>ВИП</v>
      </c>
    </row>
    <row r="2762" spans="1:15" ht="105">
      <c r="A2762" s="3" t="s">
        <v>10</v>
      </c>
      <c r="B2762" s="3" t="s">
        <v>11</v>
      </c>
      <c r="C2762" s="4">
        <v>2026</v>
      </c>
      <c r="D2762" s="5" t="s">
        <v>12</v>
      </c>
      <c r="E2762" s="4">
        <v>378</v>
      </c>
      <c r="F2762" s="4" t="s">
        <v>2904</v>
      </c>
      <c r="G2762" s="4" t="s">
        <v>436</v>
      </c>
      <c r="H2762" s="4" t="s">
        <v>15</v>
      </c>
      <c r="I2762" s="4" t="s">
        <v>2905</v>
      </c>
      <c r="J2762" s="4" t="s">
        <v>2906</v>
      </c>
      <c r="K2762" s="4" t="s">
        <v>52</v>
      </c>
      <c r="L2762" s="4" t="s">
        <v>3743</v>
      </c>
      <c r="M2762" s="4" t="s">
        <v>3746</v>
      </c>
      <c r="N2762" s="4" t="s">
        <v>3747</v>
      </c>
      <c r="O2762" s="17">
        <f>INDEX('список ID из СУЭ с должностями'!$A:$F,MATCH(E2762,'список ID из СУЭ с должностями'!$B:$B,0),5)</f>
        <v>0</v>
      </c>
    </row>
    <row r="2763" spans="1:15" ht="90">
      <c r="A2763" s="3" t="s">
        <v>10</v>
      </c>
      <c r="B2763" s="3" t="s">
        <v>11</v>
      </c>
      <c r="C2763" s="4">
        <v>2026</v>
      </c>
      <c r="D2763" s="5" t="s">
        <v>12</v>
      </c>
      <c r="E2763" s="4">
        <v>378</v>
      </c>
      <c r="F2763" s="4" t="s">
        <v>2904</v>
      </c>
      <c r="G2763" s="4" t="s">
        <v>436</v>
      </c>
      <c r="H2763" s="4" t="s">
        <v>15</v>
      </c>
      <c r="I2763" s="4" t="s">
        <v>2907</v>
      </c>
      <c r="J2763" s="4" t="s">
        <v>2908</v>
      </c>
      <c r="K2763" s="4" t="s">
        <v>52</v>
      </c>
      <c r="L2763" s="4" t="s">
        <v>3743</v>
      </c>
      <c r="M2763" s="4" t="s">
        <v>3746</v>
      </c>
      <c r="N2763" s="4" t="s">
        <v>3747</v>
      </c>
      <c r="O2763" s="17">
        <f>INDEX('список ID из СУЭ с должностями'!$A:$F,MATCH(E2763,'список ID из СУЭ с должностями'!$B:$B,0),5)</f>
        <v>0</v>
      </c>
    </row>
    <row r="2764" spans="1:15" ht="75">
      <c r="A2764" s="3" t="s">
        <v>10</v>
      </c>
      <c r="B2764" s="3" t="s">
        <v>11</v>
      </c>
      <c r="C2764" s="4">
        <v>2026</v>
      </c>
      <c r="D2764" s="5" t="s">
        <v>12</v>
      </c>
      <c r="E2764" s="4">
        <v>378</v>
      </c>
      <c r="F2764" s="4" t="s">
        <v>2904</v>
      </c>
      <c r="G2764" s="4" t="s">
        <v>436</v>
      </c>
      <c r="H2764" s="4" t="s">
        <v>15</v>
      </c>
      <c r="I2764" s="4" t="s">
        <v>303</v>
      </c>
      <c r="J2764" s="4" t="s">
        <v>2909</v>
      </c>
      <c r="K2764" s="4" t="s">
        <v>52</v>
      </c>
      <c r="L2764" s="4" t="s">
        <v>3743</v>
      </c>
      <c r="M2764" s="4" t="s">
        <v>3746</v>
      </c>
      <c r="N2764" s="4" t="s">
        <v>3747</v>
      </c>
      <c r="O2764" s="17">
        <f>INDEX('список ID из СУЭ с должностями'!$A:$F,MATCH(E2764,'список ID из СУЭ с должностями'!$B:$B,0),5)</f>
        <v>0</v>
      </c>
    </row>
    <row r="2765" spans="1:15" ht="135">
      <c r="A2765" s="3" t="s">
        <v>10</v>
      </c>
      <c r="B2765" s="3" t="s">
        <v>11</v>
      </c>
      <c r="C2765" s="4">
        <v>2026</v>
      </c>
      <c r="D2765" s="5" t="s">
        <v>12</v>
      </c>
      <c r="E2765" s="4">
        <v>378</v>
      </c>
      <c r="F2765" s="4" t="s">
        <v>2904</v>
      </c>
      <c r="G2765" s="4" t="s">
        <v>436</v>
      </c>
      <c r="H2765" s="4" t="s">
        <v>15</v>
      </c>
      <c r="I2765" s="4" t="s">
        <v>305</v>
      </c>
      <c r="J2765" s="4" t="s">
        <v>2910</v>
      </c>
      <c r="K2765" s="4" t="s">
        <v>20</v>
      </c>
      <c r="L2765" s="4" t="s">
        <v>3743</v>
      </c>
      <c r="M2765" s="4" t="s">
        <v>3746</v>
      </c>
      <c r="N2765" s="4" t="s">
        <v>3747</v>
      </c>
      <c r="O2765" s="17">
        <f>INDEX('список ID из СУЭ с должностями'!$A:$F,MATCH(E2765,'список ID из СУЭ с должностями'!$B:$B,0),5)</f>
        <v>0</v>
      </c>
    </row>
    <row r="2766" spans="1:15" ht="75">
      <c r="A2766" s="3" t="s">
        <v>10</v>
      </c>
      <c r="B2766" s="3" t="s">
        <v>11</v>
      </c>
      <c r="C2766" s="4">
        <v>2026</v>
      </c>
      <c r="D2766" s="5" t="s">
        <v>12</v>
      </c>
      <c r="E2766" s="4">
        <v>378</v>
      </c>
      <c r="F2766" s="4" t="s">
        <v>2904</v>
      </c>
      <c r="G2766" s="4" t="s">
        <v>436</v>
      </c>
      <c r="H2766" s="4" t="s">
        <v>15</v>
      </c>
      <c r="I2766" s="4" t="s">
        <v>2911</v>
      </c>
      <c r="J2766" s="4" t="s">
        <v>2912</v>
      </c>
      <c r="K2766" s="4" t="s">
        <v>52</v>
      </c>
      <c r="L2766" s="4" t="s">
        <v>3743</v>
      </c>
      <c r="M2766" s="4" t="s">
        <v>3746</v>
      </c>
      <c r="N2766" s="4" t="s">
        <v>3747</v>
      </c>
      <c r="O2766" s="17">
        <f>INDEX('список ID из СУЭ с должностями'!$A:$F,MATCH(E2766,'список ID из СУЭ с должностями'!$B:$B,0),5)</f>
        <v>0</v>
      </c>
    </row>
    <row r="2767" spans="1:15" ht="60">
      <c r="A2767" s="3" t="s">
        <v>10</v>
      </c>
      <c r="B2767" s="3" t="s">
        <v>11</v>
      </c>
      <c r="C2767" s="4">
        <v>2026</v>
      </c>
      <c r="D2767" s="5" t="s">
        <v>12</v>
      </c>
      <c r="E2767" s="4">
        <v>379</v>
      </c>
      <c r="F2767" s="4" t="s">
        <v>247</v>
      </c>
      <c r="G2767" s="4" t="s">
        <v>158</v>
      </c>
      <c r="H2767" s="4" t="s">
        <v>21</v>
      </c>
      <c r="I2767" s="4" t="s">
        <v>2584</v>
      </c>
      <c r="J2767" s="4" t="s">
        <v>2913</v>
      </c>
      <c r="K2767" s="4" t="s">
        <v>151</v>
      </c>
      <c r="L2767" s="4" t="s">
        <v>3743</v>
      </c>
      <c r="M2767" s="4" t="s">
        <v>3746</v>
      </c>
      <c r="N2767" s="4" t="s">
        <v>3747</v>
      </c>
      <c r="O2767" s="17">
        <f>INDEX('список ID из СУЭ с должностями'!$A:$F,MATCH(E2767,'список ID из СУЭ с должностями'!$B:$B,0),5)</f>
        <v>0</v>
      </c>
    </row>
    <row r="2768" spans="1:15" ht="45">
      <c r="A2768" s="3" t="s">
        <v>10</v>
      </c>
      <c r="B2768" s="3" t="s">
        <v>11</v>
      </c>
      <c r="C2768" s="4">
        <v>2026</v>
      </c>
      <c r="D2768" s="5" t="s">
        <v>12</v>
      </c>
      <c r="E2768" s="4">
        <v>379</v>
      </c>
      <c r="F2768" s="4" t="s">
        <v>247</v>
      </c>
      <c r="G2768" s="4" t="s">
        <v>158</v>
      </c>
      <c r="H2768" s="4" t="s">
        <v>21</v>
      </c>
      <c r="I2768" s="4" t="s">
        <v>528</v>
      </c>
      <c r="J2768" s="4" t="s">
        <v>529</v>
      </c>
      <c r="K2768" s="4" t="s">
        <v>52</v>
      </c>
      <c r="L2768" s="4" t="s">
        <v>3743</v>
      </c>
      <c r="M2768" s="4" t="s">
        <v>3746</v>
      </c>
      <c r="N2768" s="4" t="s">
        <v>3747</v>
      </c>
      <c r="O2768" s="17">
        <f>INDEX('список ID из СУЭ с должностями'!$A:$F,MATCH(E2768,'список ID из СУЭ с должностями'!$B:$B,0),5)</f>
        <v>0</v>
      </c>
    </row>
    <row r="2769" spans="1:15" ht="60">
      <c r="A2769" s="3" t="s">
        <v>10</v>
      </c>
      <c r="B2769" s="3" t="s">
        <v>11</v>
      </c>
      <c r="C2769" s="4">
        <v>2026</v>
      </c>
      <c r="D2769" s="5" t="s">
        <v>12</v>
      </c>
      <c r="E2769" s="4">
        <v>379</v>
      </c>
      <c r="F2769" s="4" t="s">
        <v>247</v>
      </c>
      <c r="G2769" s="4" t="s">
        <v>158</v>
      </c>
      <c r="H2769" s="4" t="s">
        <v>21</v>
      </c>
      <c r="I2769" s="4" t="s">
        <v>171</v>
      </c>
      <c r="J2769" s="4" t="s">
        <v>530</v>
      </c>
      <c r="K2769" s="4" t="s">
        <v>25</v>
      </c>
      <c r="L2769" s="4" t="s">
        <v>3743</v>
      </c>
      <c r="M2769" s="4" t="s">
        <v>3746</v>
      </c>
      <c r="N2769" s="4" t="s">
        <v>3747</v>
      </c>
      <c r="O2769" s="17">
        <f>INDEX('список ID из СУЭ с должностями'!$A:$F,MATCH(E2769,'список ID из СУЭ с должностями'!$B:$B,0),5)</f>
        <v>0</v>
      </c>
    </row>
    <row r="2770" spans="1:15" ht="135">
      <c r="A2770" s="3" t="s">
        <v>10</v>
      </c>
      <c r="B2770" s="3" t="s">
        <v>11</v>
      </c>
      <c r="C2770" s="4">
        <v>2026</v>
      </c>
      <c r="D2770" s="5" t="s">
        <v>12</v>
      </c>
      <c r="E2770" s="4">
        <v>379</v>
      </c>
      <c r="F2770" s="4" t="s">
        <v>247</v>
      </c>
      <c r="G2770" s="4" t="s">
        <v>158</v>
      </c>
      <c r="H2770" s="4" t="s">
        <v>15</v>
      </c>
      <c r="I2770" s="4" t="s">
        <v>262</v>
      </c>
      <c r="J2770" s="4" t="s">
        <v>2914</v>
      </c>
      <c r="K2770" s="4" t="s">
        <v>35</v>
      </c>
      <c r="L2770" s="4" t="s">
        <v>3743</v>
      </c>
      <c r="M2770" s="4" t="s">
        <v>3746</v>
      </c>
      <c r="N2770" s="4" t="s">
        <v>3747</v>
      </c>
      <c r="O2770" s="17">
        <f>INDEX('список ID из СУЭ с должностями'!$A:$F,MATCH(E2770,'список ID из СУЭ с должностями'!$B:$B,0),5)</f>
        <v>0</v>
      </c>
    </row>
    <row r="2771" spans="1:15" ht="75">
      <c r="A2771" s="3" t="s">
        <v>10</v>
      </c>
      <c r="B2771" s="3" t="s">
        <v>11</v>
      </c>
      <c r="C2771" s="4">
        <v>2026</v>
      </c>
      <c r="D2771" s="5" t="s">
        <v>12</v>
      </c>
      <c r="E2771" s="4">
        <v>379</v>
      </c>
      <c r="F2771" s="4" t="s">
        <v>247</v>
      </c>
      <c r="G2771" s="4" t="s">
        <v>158</v>
      </c>
      <c r="H2771" s="4" t="s">
        <v>15</v>
      </c>
      <c r="I2771" s="4" t="s">
        <v>532</v>
      </c>
      <c r="J2771" s="4" t="s">
        <v>2915</v>
      </c>
      <c r="K2771" s="4" t="s">
        <v>151</v>
      </c>
      <c r="L2771" s="4" t="s">
        <v>3743</v>
      </c>
      <c r="M2771" s="4" t="s">
        <v>3746</v>
      </c>
      <c r="N2771" s="4" t="s">
        <v>3747</v>
      </c>
      <c r="O2771" s="17">
        <f>INDEX('список ID из СУЭ с должностями'!$A:$F,MATCH(E2771,'список ID из СУЭ с должностями'!$B:$B,0),5)</f>
        <v>0</v>
      </c>
    </row>
    <row r="2772" spans="1:15" ht="60">
      <c r="A2772" s="3" t="s">
        <v>10</v>
      </c>
      <c r="B2772" s="3" t="s">
        <v>11</v>
      </c>
      <c r="C2772" s="4">
        <v>2026</v>
      </c>
      <c r="D2772" s="5" t="s">
        <v>12</v>
      </c>
      <c r="E2772" s="4">
        <v>379</v>
      </c>
      <c r="F2772" s="4" t="s">
        <v>247</v>
      </c>
      <c r="G2772" s="4" t="s">
        <v>158</v>
      </c>
      <c r="H2772" s="4" t="s">
        <v>21</v>
      </c>
      <c r="I2772" s="4" t="s">
        <v>231</v>
      </c>
      <c r="J2772" s="4" t="s">
        <v>2916</v>
      </c>
      <c r="K2772" s="4" t="s">
        <v>38</v>
      </c>
      <c r="L2772" s="4" t="s">
        <v>3743</v>
      </c>
      <c r="M2772" s="4" t="s">
        <v>3746</v>
      </c>
      <c r="N2772" s="4" t="s">
        <v>3747</v>
      </c>
      <c r="O2772" s="17">
        <f>INDEX('список ID из СУЭ с должностями'!$A:$F,MATCH(E2772,'список ID из СУЭ с должностями'!$B:$B,0),5)</f>
        <v>0</v>
      </c>
    </row>
    <row r="2773" spans="1:15" ht="60">
      <c r="A2773" s="3" t="s">
        <v>10</v>
      </c>
      <c r="B2773" s="3" t="s">
        <v>11</v>
      </c>
      <c r="C2773" s="4">
        <v>2026</v>
      </c>
      <c r="D2773" s="5" t="s">
        <v>12</v>
      </c>
      <c r="E2773" s="4">
        <v>379</v>
      </c>
      <c r="F2773" s="4" t="s">
        <v>247</v>
      </c>
      <c r="G2773" s="4" t="s">
        <v>158</v>
      </c>
      <c r="H2773" s="4" t="s">
        <v>21</v>
      </c>
      <c r="I2773" s="4" t="s">
        <v>537</v>
      </c>
      <c r="J2773" s="4" t="s">
        <v>538</v>
      </c>
      <c r="K2773" s="4" t="s">
        <v>151</v>
      </c>
      <c r="L2773" s="4" t="s">
        <v>3743</v>
      </c>
      <c r="M2773" s="4" t="s">
        <v>3746</v>
      </c>
      <c r="N2773" s="4" t="s">
        <v>3747</v>
      </c>
      <c r="O2773" s="17">
        <f>INDEX('список ID из СУЭ с должностями'!$A:$F,MATCH(E2773,'список ID из СУЭ с должностями'!$B:$B,0),5)</f>
        <v>0</v>
      </c>
    </row>
    <row r="2774" spans="1:15" ht="60">
      <c r="A2774" s="3" t="s">
        <v>10</v>
      </c>
      <c r="B2774" s="3" t="s">
        <v>11</v>
      </c>
      <c r="C2774" s="4">
        <v>2026</v>
      </c>
      <c r="D2774" s="5" t="s">
        <v>12</v>
      </c>
      <c r="E2774" s="4">
        <v>379</v>
      </c>
      <c r="F2774" s="4" t="s">
        <v>247</v>
      </c>
      <c r="G2774" s="4" t="s">
        <v>158</v>
      </c>
      <c r="H2774" s="4" t="s">
        <v>15</v>
      </c>
      <c r="I2774" s="4" t="s">
        <v>539</v>
      </c>
      <c r="J2774" s="4" t="s">
        <v>2917</v>
      </c>
      <c r="K2774" s="4" t="s">
        <v>151</v>
      </c>
      <c r="L2774" s="4" t="s">
        <v>3743</v>
      </c>
      <c r="M2774" s="4" t="s">
        <v>3746</v>
      </c>
      <c r="N2774" s="4" t="s">
        <v>3747</v>
      </c>
      <c r="O2774" s="17">
        <f>INDEX('список ID из СУЭ с должностями'!$A:$F,MATCH(E2774,'список ID из СУЭ с должностями'!$B:$B,0),5)</f>
        <v>0</v>
      </c>
    </row>
    <row r="2775" spans="1:15" ht="105">
      <c r="A2775" s="3" t="s">
        <v>10</v>
      </c>
      <c r="B2775" s="3" t="s">
        <v>11</v>
      </c>
      <c r="C2775" s="4">
        <v>2026</v>
      </c>
      <c r="D2775" s="5" t="s">
        <v>12</v>
      </c>
      <c r="E2775" s="4">
        <v>380</v>
      </c>
      <c r="F2775" s="4" t="s">
        <v>2904</v>
      </c>
      <c r="G2775" s="4" t="s">
        <v>436</v>
      </c>
      <c r="H2775" s="4" t="s">
        <v>15</v>
      </c>
      <c r="I2775" s="4" t="s">
        <v>2905</v>
      </c>
      <c r="J2775" s="4" t="s">
        <v>2906</v>
      </c>
      <c r="K2775" s="4" t="s">
        <v>52</v>
      </c>
      <c r="L2775" s="4" t="s">
        <v>3743</v>
      </c>
      <c r="M2775" s="4" t="s">
        <v>3746</v>
      </c>
      <c r="N2775" s="4" t="s">
        <v>3747</v>
      </c>
      <c r="O2775" s="17">
        <f>INDEX('список ID из СУЭ с должностями'!$A:$F,MATCH(E2775,'список ID из СУЭ с должностями'!$B:$B,0),5)</f>
        <v>0</v>
      </c>
    </row>
    <row r="2776" spans="1:15" ht="90">
      <c r="A2776" s="3" t="s">
        <v>10</v>
      </c>
      <c r="B2776" s="3" t="s">
        <v>11</v>
      </c>
      <c r="C2776" s="4">
        <v>2026</v>
      </c>
      <c r="D2776" s="5" t="s">
        <v>12</v>
      </c>
      <c r="E2776" s="4">
        <v>380</v>
      </c>
      <c r="F2776" s="4" t="s">
        <v>2904</v>
      </c>
      <c r="G2776" s="4" t="s">
        <v>436</v>
      </c>
      <c r="H2776" s="4" t="s">
        <v>15</v>
      </c>
      <c r="I2776" s="4" t="s">
        <v>2907</v>
      </c>
      <c r="J2776" s="4" t="s">
        <v>2908</v>
      </c>
      <c r="K2776" s="4" t="s">
        <v>52</v>
      </c>
      <c r="L2776" s="4" t="s">
        <v>3743</v>
      </c>
      <c r="M2776" s="4" t="s">
        <v>3746</v>
      </c>
      <c r="N2776" s="4" t="s">
        <v>3747</v>
      </c>
      <c r="O2776" s="17">
        <f>INDEX('список ID из СУЭ с должностями'!$A:$F,MATCH(E2776,'список ID из СУЭ с должностями'!$B:$B,0),5)</f>
        <v>0</v>
      </c>
    </row>
    <row r="2777" spans="1:15" ht="135">
      <c r="A2777" s="3" t="s">
        <v>10</v>
      </c>
      <c r="B2777" s="3" t="s">
        <v>11</v>
      </c>
      <c r="C2777" s="4">
        <v>2026</v>
      </c>
      <c r="D2777" s="5" t="s">
        <v>12</v>
      </c>
      <c r="E2777" s="4">
        <v>380</v>
      </c>
      <c r="F2777" s="4" t="s">
        <v>2904</v>
      </c>
      <c r="G2777" s="4" t="s">
        <v>436</v>
      </c>
      <c r="H2777" s="4" t="s">
        <v>15</v>
      </c>
      <c r="I2777" s="4" t="s">
        <v>305</v>
      </c>
      <c r="J2777" s="4" t="s">
        <v>2910</v>
      </c>
      <c r="K2777" s="4" t="s">
        <v>20</v>
      </c>
      <c r="L2777" s="4" t="s">
        <v>3743</v>
      </c>
      <c r="M2777" s="4" t="s">
        <v>3746</v>
      </c>
      <c r="N2777" s="4" t="s">
        <v>3747</v>
      </c>
      <c r="O2777" s="17">
        <f>INDEX('список ID из СУЭ с должностями'!$A:$F,MATCH(E2777,'список ID из СУЭ с должностями'!$B:$B,0),5)</f>
        <v>0</v>
      </c>
    </row>
    <row r="2778" spans="1:15" ht="75">
      <c r="A2778" s="3" t="s">
        <v>10</v>
      </c>
      <c r="B2778" s="3" t="s">
        <v>11</v>
      </c>
      <c r="C2778" s="4">
        <v>2026</v>
      </c>
      <c r="D2778" s="5" t="s">
        <v>12</v>
      </c>
      <c r="E2778" s="4">
        <v>380</v>
      </c>
      <c r="F2778" s="4" t="s">
        <v>2904</v>
      </c>
      <c r="G2778" s="4" t="s">
        <v>436</v>
      </c>
      <c r="H2778" s="4" t="s">
        <v>15</v>
      </c>
      <c r="I2778" s="4" t="s">
        <v>303</v>
      </c>
      <c r="J2778" s="4" t="s">
        <v>2909</v>
      </c>
      <c r="K2778" s="4" t="s">
        <v>52</v>
      </c>
      <c r="L2778" s="4" t="s">
        <v>3743</v>
      </c>
      <c r="M2778" s="4" t="s">
        <v>3746</v>
      </c>
      <c r="N2778" s="4" t="s">
        <v>3747</v>
      </c>
      <c r="O2778" s="17">
        <f>INDEX('список ID из СУЭ с должностями'!$A:$F,MATCH(E2778,'список ID из СУЭ с должностями'!$B:$B,0),5)</f>
        <v>0</v>
      </c>
    </row>
    <row r="2779" spans="1:15" ht="105">
      <c r="A2779" s="3" t="s">
        <v>10</v>
      </c>
      <c r="B2779" s="3" t="s">
        <v>11</v>
      </c>
      <c r="C2779" s="4">
        <v>2026</v>
      </c>
      <c r="D2779" s="5" t="s">
        <v>12</v>
      </c>
      <c r="E2779" s="4">
        <v>381</v>
      </c>
      <c r="F2779" s="4" t="s">
        <v>385</v>
      </c>
      <c r="G2779" s="4" t="s">
        <v>2918</v>
      </c>
      <c r="H2779" s="4" t="s">
        <v>21</v>
      </c>
      <c r="I2779" s="4" t="s">
        <v>2919</v>
      </c>
      <c r="J2779" s="4" t="s">
        <v>2920</v>
      </c>
      <c r="K2779" s="4" t="s">
        <v>55</v>
      </c>
      <c r="L2779" s="4" t="s">
        <v>3743</v>
      </c>
      <c r="M2779" s="4" t="s">
        <v>3746</v>
      </c>
      <c r="N2779" s="4" t="s">
        <v>3747</v>
      </c>
      <c r="O2779" s="17">
        <f>INDEX('список ID из СУЭ с должностями'!$A:$F,MATCH(E2779,'список ID из СУЭ с должностями'!$B:$B,0),5)</f>
        <v>0</v>
      </c>
    </row>
    <row r="2780" spans="1:15" ht="225">
      <c r="A2780" s="3" t="s">
        <v>10</v>
      </c>
      <c r="B2780" s="3" t="s">
        <v>11</v>
      </c>
      <c r="C2780" s="4">
        <v>2026</v>
      </c>
      <c r="D2780" s="5" t="s">
        <v>12</v>
      </c>
      <c r="E2780" s="4">
        <v>381</v>
      </c>
      <c r="F2780" s="4" t="s">
        <v>385</v>
      </c>
      <c r="G2780" s="4" t="s">
        <v>2918</v>
      </c>
      <c r="H2780" s="4" t="s">
        <v>15</v>
      </c>
      <c r="I2780" s="4" t="s">
        <v>2921</v>
      </c>
      <c r="J2780" s="4" t="s">
        <v>2922</v>
      </c>
      <c r="K2780" s="4" t="s">
        <v>66</v>
      </c>
      <c r="L2780" s="4" t="s">
        <v>3743</v>
      </c>
      <c r="M2780" s="4" t="s">
        <v>3746</v>
      </c>
      <c r="N2780" s="4" t="s">
        <v>3747</v>
      </c>
      <c r="O2780" s="17">
        <f>INDEX('список ID из СУЭ с должностями'!$A:$F,MATCH(E2780,'список ID из СУЭ с должностями'!$B:$B,0),5)</f>
        <v>0</v>
      </c>
    </row>
    <row r="2781" spans="1:15" ht="210">
      <c r="A2781" s="3" t="s">
        <v>10</v>
      </c>
      <c r="B2781" s="3" t="s">
        <v>11</v>
      </c>
      <c r="C2781" s="4">
        <v>2026</v>
      </c>
      <c r="D2781" s="5" t="s">
        <v>12</v>
      </c>
      <c r="E2781" s="4">
        <v>381</v>
      </c>
      <c r="F2781" s="4" t="s">
        <v>385</v>
      </c>
      <c r="G2781" s="4" t="s">
        <v>2918</v>
      </c>
      <c r="H2781" s="4" t="s">
        <v>41</v>
      </c>
      <c r="I2781" s="4" t="s">
        <v>2923</v>
      </c>
      <c r="J2781" s="4" t="s">
        <v>2924</v>
      </c>
      <c r="K2781" s="4" t="s">
        <v>66</v>
      </c>
      <c r="L2781" s="4" t="s">
        <v>3743</v>
      </c>
      <c r="M2781" s="4" t="s">
        <v>3746</v>
      </c>
      <c r="N2781" s="4" t="s">
        <v>3747</v>
      </c>
      <c r="O2781" s="17">
        <f>INDEX('список ID из СУЭ с должностями'!$A:$F,MATCH(E2781,'список ID из СУЭ с должностями'!$B:$B,0),5)</f>
        <v>0</v>
      </c>
    </row>
    <row r="2782" spans="1:15" ht="60">
      <c r="A2782" s="3" t="s">
        <v>10</v>
      </c>
      <c r="B2782" s="3" t="s">
        <v>11</v>
      </c>
      <c r="C2782" s="4">
        <v>2026</v>
      </c>
      <c r="D2782" s="5" t="s">
        <v>12</v>
      </c>
      <c r="E2782" s="4">
        <v>381</v>
      </c>
      <c r="F2782" s="4" t="s">
        <v>385</v>
      </c>
      <c r="G2782" s="4" t="s">
        <v>2918</v>
      </c>
      <c r="H2782" s="4" t="s">
        <v>21</v>
      </c>
      <c r="I2782" s="4" t="s">
        <v>2925</v>
      </c>
      <c r="J2782" s="4" t="s">
        <v>2926</v>
      </c>
      <c r="K2782" s="4" t="s">
        <v>151</v>
      </c>
      <c r="L2782" s="4" t="s">
        <v>3743</v>
      </c>
      <c r="M2782" s="4" t="s">
        <v>3746</v>
      </c>
      <c r="N2782" s="4" t="s">
        <v>3747</v>
      </c>
      <c r="O2782" s="17">
        <f>INDEX('список ID из СУЭ с должностями'!$A:$F,MATCH(E2782,'список ID из СУЭ с должностями'!$B:$B,0),5)</f>
        <v>0</v>
      </c>
    </row>
    <row r="2783" spans="1:15" ht="150">
      <c r="A2783" s="3" t="s">
        <v>10</v>
      </c>
      <c r="B2783" s="3" t="s">
        <v>11</v>
      </c>
      <c r="C2783" s="4">
        <v>2026</v>
      </c>
      <c r="D2783" s="5" t="s">
        <v>12</v>
      </c>
      <c r="E2783" s="4">
        <v>381</v>
      </c>
      <c r="F2783" s="4" t="s">
        <v>385</v>
      </c>
      <c r="G2783" s="4" t="s">
        <v>2918</v>
      </c>
      <c r="H2783" s="4" t="s">
        <v>41</v>
      </c>
      <c r="I2783" s="4" t="s">
        <v>2927</v>
      </c>
      <c r="J2783" s="4" t="s">
        <v>2928</v>
      </c>
      <c r="K2783" s="4" t="s">
        <v>23</v>
      </c>
      <c r="L2783" s="4" t="s">
        <v>3743</v>
      </c>
      <c r="M2783" s="4" t="s">
        <v>3748</v>
      </c>
      <c r="N2783" s="4" t="s">
        <v>3752</v>
      </c>
      <c r="O2783" s="17">
        <f>INDEX('список ID из СУЭ с должностями'!$A:$F,MATCH(E2783,'список ID из СУЭ с должностями'!$B:$B,0),5)</f>
        <v>0</v>
      </c>
    </row>
    <row r="2784" spans="1:15" ht="60">
      <c r="A2784" s="3" t="s">
        <v>10</v>
      </c>
      <c r="B2784" s="3" t="s">
        <v>11</v>
      </c>
      <c r="C2784" s="4">
        <v>2026</v>
      </c>
      <c r="D2784" s="5" t="s">
        <v>12</v>
      </c>
      <c r="E2784" s="4">
        <v>381</v>
      </c>
      <c r="F2784" s="4" t="s">
        <v>385</v>
      </c>
      <c r="G2784" s="4" t="s">
        <v>2918</v>
      </c>
      <c r="H2784" s="4" t="s">
        <v>21</v>
      </c>
      <c r="I2784" s="4" t="s">
        <v>2929</v>
      </c>
      <c r="J2784" s="4" t="s">
        <v>2930</v>
      </c>
      <c r="K2784" s="4" t="s">
        <v>52</v>
      </c>
      <c r="L2784" s="4" t="s">
        <v>3742</v>
      </c>
      <c r="M2784" s="4" t="s">
        <v>3746</v>
      </c>
      <c r="N2784" s="4" t="s">
        <v>3747</v>
      </c>
      <c r="O2784" s="17">
        <f>INDEX('список ID из СУЭ с должностями'!$A:$F,MATCH(E2784,'список ID из СУЭ с должностями'!$B:$B,0),5)</f>
        <v>0</v>
      </c>
    </row>
    <row r="2785" spans="1:15" ht="409.5">
      <c r="A2785" s="3" t="s">
        <v>10</v>
      </c>
      <c r="B2785" s="3" t="s">
        <v>11</v>
      </c>
      <c r="C2785" s="4">
        <v>2026</v>
      </c>
      <c r="D2785" s="5" t="s">
        <v>12</v>
      </c>
      <c r="E2785" s="4">
        <v>381</v>
      </c>
      <c r="F2785" s="4" t="s">
        <v>385</v>
      </c>
      <c r="G2785" s="4" t="s">
        <v>2918</v>
      </c>
      <c r="H2785" s="4" t="s">
        <v>21</v>
      </c>
      <c r="I2785" s="4" t="s">
        <v>2931</v>
      </c>
      <c r="J2785" s="4" t="s">
        <v>2932</v>
      </c>
      <c r="K2785" s="4" t="s">
        <v>30</v>
      </c>
      <c r="L2785" s="4" t="s">
        <v>3743</v>
      </c>
      <c r="M2785" s="4" t="s">
        <v>3746</v>
      </c>
      <c r="N2785" s="4" t="s">
        <v>3747</v>
      </c>
      <c r="O2785" s="17">
        <f>INDEX('список ID из СУЭ с должностями'!$A:$F,MATCH(E2785,'список ID из СУЭ с должностями'!$B:$B,0),5)</f>
        <v>0</v>
      </c>
    </row>
    <row r="2786" spans="1:15" ht="60">
      <c r="A2786" s="3" t="s">
        <v>10</v>
      </c>
      <c r="B2786" s="3" t="s">
        <v>11</v>
      </c>
      <c r="C2786" s="4">
        <v>2026</v>
      </c>
      <c r="D2786" s="5" t="s">
        <v>12</v>
      </c>
      <c r="E2786" s="4">
        <v>381</v>
      </c>
      <c r="F2786" s="4" t="s">
        <v>385</v>
      </c>
      <c r="G2786" s="4" t="s">
        <v>2918</v>
      </c>
      <c r="H2786" s="4" t="s">
        <v>15</v>
      </c>
      <c r="I2786" s="4" t="s">
        <v>2933</v>
      </c>
      <c r="J2786" s="4" t="s">
        <v>115</v>
      </c>
      <c r="K2786" s="4" t="s">
        <v>151</v>
      </c>
      <c r="L2786" s="4" t="s">
        <v>3742</v>
      </c>
      <c r="M2786" s="4" t="s">
        <v>3746</v>
      </c>
      <c r="N2786" s="4" t="s">
        <v>3747</v>
      </c>
      <c r="O2786" s="17">
        <f>INDEX('список ID из СУЭ с должностями'!$A:$F,MATCH(E2786,'список ID из СУЭ с должностями'!$B:$B,0),5)</f>
        <v>0</v>
      </c>
    </row>
    <row r="2787" spans="1:15" ht="45">
      <c r="A2787" s="3" t="s">
        <v>10</v>
      </c>
      <c r="B2787" s="3" t="s">
        <v>11</v>
      </c>
      <c r="C2787" s="4">
        <v>2026</v>
      </c>
      <c r="D2787" s="5" t="s">
        <v>12</v>
      </c>
      <c r="E2787" s="4">
        <v>382</v>
      </c>
      <c r="F2787" s="4" t="s">
        <v>403</v>
      </c>
      <c r="G2787" s="4" t="s">
        <v>404</v>
      </c>
      <c r="H2787" s="4" t="s">
        <v>21</v>
      </c>
      <c r="I2787" s="4" t="s">
        <v>410</v>
      </c>
      <c r="J2787" s="4" t="s">
        <v>2934</v>
      </c>
      <c r="K2787" s="4" t="s">
        <v>52</v>
      </c>
      <c r="L2787" s="4" t="s">
        <v>3743</v>
      </c>
      <c r="M2787" s="4" t="s">
        <v>3746</v>
      </c>
      <c r="N2787" s="4" t="s">
        <v>3747</v>
      </c>
      <c r="O2787" s="17">
        <f>INDEX('список ID из СУЭ с должностями'!$A:$F,MATCH(E2787,'список ID из СУЭ с должностями'!$B:$B,0),5)</f>
        <v>0</v>
      </c>
    </row>
    <row r="2788" spans="1:15" ht="75">
      <c r="A2788" s="3" t="s">
        <v>10</v>
      </c>
      <c r="B2788" s="3" t="s">
        <v>11</v>
      </c>
      <c r="C2788" s="4">
        <v>2026</v>
      </c>
      <c r="D2788" s="5" t="s">
        <v>12</v>
      </c>
      <c r="E2788" s="4">
        <v>382</v>
      </c>
      <c r="F2788" s="4" t="s">
        <v>403</v>
      </c>
      <c r="G2788" s="4" t="s">
        <v>404</v>
      </c>
      <c r="H2788" s="4" t="s">
        <v>21</v>
      </c>
      <c r="I2788" s="4" t="s">
        <v>405</v>
      </c>
      <c r="J2788" s="4" t="s">
        <v>2935</v>
      </c>
      <c r="K2788" s="4" t="s">
        <v>20</v>
      </c>
      <c r="L2788" s="4" t="s">
        <v>3743</v>
      </c>
      <c r="M2788" s="4" t="s">
        <v>3746</v>
      </c>
      <c r="N2788" s="4" t="s">
        <v>3747</v>
      </c>
      <c r="O2788" s="17">
        <f>INDEX('список ID из СУЭ с должностями'!$A:$F,MATCH(E2788,'список ID из СУЭ с должностями'!$B:$B,0),5)</f>
        <v>0</v>
      </c>
    </row>
    <row r="2789" spans="1:15" ht="135">
      <c r="A2789" s="3" t="s">
        <v>10</v>
      </c>
      <c r="B2789" s="3" t="s">
        <v>11</v>
      </c>
      <c r="C2789" s="4">
        <v>2026</v>
      </c>
      <c r="D2789" s="5" t="s">
        <v>12</v>
      </c>
      <c r="E2789" s="4">
        <v>382</v>
      </c>
      <c r="F2789" s="4" t="s">
        <v>403</v>
      </c>
      <c r="G2789" s="4" t="s">
        <v>404</v>
      </c>
      <c r="H2789" s="4" t="s">
        <v>15</v>
      </c>
      <c r="I2789" s="4" t="s">
        <v>2936</v>
      </c>
      <c r="J2789" s="4" t="s">
        <v>2937</v>
      </c>
      <c r="K2789" s="4" t="s">
        <v>55</v>
      </c>
      <c r="L2789" s="4" t="s">
        <v>3743</v>
      </c>
      <c r="M2789" s="4" t="s">
        <v>3746</v>
      </c>
      <c r="N2789" s="4" t="s">
        <v>3747</v>
      </c>
      <c r="O2789" s="17">
        <f>INDEX('список ID из СУЭ с должностями'!$A:$F,MATCH(E2789,'список ID из СУЭ с должностями'!$B:$B,0),5)</f>
        <v>0</v>
      </c>
    </row>
    <row r="2790" spans="1:15" ht="45">
      <c r="A2790" s="3" t="s">
        <v>10</v>
      </c>
      <c r="B2790" s="3" t="s">
        <v>11</v>
      </c>
      <c r="C2790" s="4">
        <v>2026</v>
      </c>
      <c r="D2790" s="5" t="s">
        <v>12</v>
      </c>
      <c r="E2790" s="4">
        <v>382</v>
      </c>
      <c r="F2790" s="4" t="s">
        <v>403</v>
      </c>
      <c r="G2790" s="4" t="s">
        <v>404</v>
      </c>
      <c r="H2790" s="4" t="s">
        <v>15</v>
      </c>
      <c r="I2790" s="4" t="s">
        <v>2938</v>
      </c>
      <c r="J2790" s="4" t="s">
        <v>2939</v>
      </c>
      <c r="K2790" s="4" t="s">
        <v>55</v>
      </c>
      <c r="L2790" s="4" t="s">
        <v>3742</v>
      </c>
      <c r="M2790" s="4" t="s">
        <v>3746</v>
      </c>
      <c r="N2790" s="4" t="s">
        <v>3747</v>
      </c>
      <c r="O2790" s="17">
        <f>INDEX('список ID из СУЭ с должностями'!$A:$F,MATCH(E2790,'список ID из СУЭ с должностями'!$B:$B,0),5)</f>
        <v>0</v>
      </c>
    </row>
    <row r="2791" spans="1:15" ht="45">
      <c r="A2791" s="3" t="s">
        <v>10</v>
      </c>
      <c r="B2791" s="3" t="s">
        <v>11</v>
      </c>
      <c r="C2791" s="4">
        <v>2026</v>
      </c>
      <c r="D2791" s="5" t="s">
        <v>12</v>
      </c>
      <c r="E2791" s="4">
        <v>382</v>
      </c>
      <c r="F2791" s="4" t="s">
        <v>403</v>
      </c>
      <c r="G2791" s="4" t="s">
        <v>404</v>
      </c>
      <c r="H2791" s="4" t="s">
        <v>21</v>
      </c>
      <c r="I2791" s="4" t="s">
        <v>2940</v>
      </c>
      <c r="J2791" s="4" t="s">
        <v>2941</v>
      </c>
      <c r="K2791" s="4" t="s">
        <v>52</v>
      </c>
      <c r="L2791" s="4" t="s">
        <v>3742</v>
      </c>
      <c r="M2791" s="4" t="s">
        <v>3746</v>
      </c>
      <c r="N2791" s="4" t="s">
        <v>3747</v>
      </c>
      <c r="O2791" s="17">
        <f>INDEX('список ID из СУЭ с должностями'!$A:$F,MATCH(E2791,'список ID из СУЭ с должностями'!$B:$B,0),5)</f>
        <v>0</v>
      </c>
    </row>
    <row r="2792" spans="1:15" ht="45">
      <c r="A2792" s="3" t="s">
        <v>10</v>
      </c>
      <c r="B2792" s="3" t="s">
        <v>11</v>
      </c>
      <c r="C2792" s="4">
        <v>2026</v>
      </c>
      <c r="D2792" s="5" t="s">
        <v>12</v>
      </c>
      <c r="E2792" s="4">
        <v>382</v>
      </c>
      <c r="F2792" s="4" t="s">
        <v>403</v>
      </c>
      <c r="G2792" s="4" t="s">
        <v>404</v>
      </c>
      <c r="H2792" s="4" t="s">
        <v>21</v>
      </c>
      <c r="I2792" s="4" t="s">
        <v>2942</v>
      </c>
      <c r="J2792" s="4" t="s">
        <v>2943</v>
      </c>
      <c r="K2792" s="4" t="s">
        <v>52</v>
      </c>
      <c r="L2792" s="4" t="s">
        <v>3743</v>
      </c>
      <c r="M2792" s="4" t="s">
        <v>3746</v>
      </c>
      <c r="N2792" s="4" t="s">
        <v>3747</v>
      </c>
      <c r="O2792" s="17">
        <f>INDEX('список ID из СУЭ с должностями'!$A:$F,MATCH(E2792,'список ID из СУЭ с должностями'!$B:$B,0),5)</f>
        <v>0</v>
      </c>
    </row>
    <row r="2793" spans="1:15" ht="45">
      <c r="A2793" s="3" t="s">
        <v>10</v>
      </c>
      <c r="B2793" s="3" t="s">
        <v>11</v>
      </c>
      <c r="C2793" s="4">
        <v>2026</v>
      </c>
      <c r="D2793" s="5" t="s">
        <v>12</v>
      </c>
      <c r="E2793" s="4">
        <v>382</v>
      </c>
      <c r="F2793" s="4" t="s">
        <v>403</v>
      </c>
      <c r="G2793" s="4" t="s">
        <v>404</v>
      </c>
      <c r="H2793" s="4" t="s">
        <v>41</v>
      </c>
      <c r="I2793" s="4" t="s">
        <v>2944</v>
      </c>
      <c r="J2793" s="4" t="s">
        <v>2945</v>
      </c>
      <c r="K2793" s="4" t="s">
        <v>52</v>
      </c>
      <c r="L2793" s="4" t="s">
        <v>3743</v>
      </c>
      <c r="M2793" s="4" t="s">
        <v>3746</v>
      </c>
      <c r="N2793" s="4" t="s">
        <v>3747</v>
      </c>
      <c r="O2793" s="17">
        <f>INDEX('список ID из СУЭ с должностями'!$A:$F,MATCH(E2793,'список ID из СУЭ с должностями'!$B:$B,0),5)</f>
        <v>0</v>
      </c>
    </row>
    <row r="2794" spans="1:15" ht="45">
      <c r="A2794" s="3" t="s">
        <v>10</v>
      </c>
      <c r="B2794" s="3" t="s">
        <v>11</v>
      </c>
      <c r="C2794" s="4">
        <v>2026</v>
      </c>
      <c r="D2794" s="5" t="s">
        <v>12</v>
      </c>
      <c r="E2794" s="4">
        <v>382</v>
      </c>
      <c r="F2794" s="4" t="s">
        <v>403</v>
      </c>
      <c r="G2794" s="4" t="s">
        <v>404</v>
      </c>
      <c r="H2794" s="4" t="s">
        <v>21</v>
      </c>
      <c r="I2794" s="4" t="s">
        <v>2946</v>
      </c>
      <c r="J2794" s="4" t="s">
        <v>2947</v>
      </c>
      <c r="K2794" s="4" t="s">
        <v>52</v>
      </c>
      <c r="L2794" s="4" t="s">
        <v>3742</v>
      </c>
      <c r="M2794" s="4" t="s">
        <v>3746</v>
      </c>
      <c r="N2794" s="4" t="s">
        <v>3747</v>
      </c>
      <c r="O2794" s="17">
        <f>INDEX('список ID из СУЭ с должностями'!$A:$F,MATCH(E2794,'список ID из СУЭ с должностями'!$B:$B,0),5)</f>
        <v>0</v>
      </c>
    </row>
    <row r="2795" spans="1:15" ht="90">
      <c r="A2795" s="3" t="s">
        <v>10</v>
      </c>
      <c r="B2795" s="3" t="s">
        <v>11</v>
      </c>
      <c r="C2795" s="4">
        <v>2026</v>
      </c>
      <c r="D2795" s="5" t="s">
        <v>12</v>
      </c>
      <c r="E2795" s="4">
        <v>383</v>
      </c>
      <c r="F2795" s="4" t="s">
        <v>307</v>
      </c>
      <c r="G2795" s="4" t="s">
        <v>869</v>
      </c>
      <c r="H2795" s="4" t="s">
        <v>15</v>
      </c>
      <c r="I2795" s="4" t="s">
        <v>2451</v>
      </c>
      <c r="J2795" s="4" t="s">
        <v>2452</v>
      </c>
      <c r="K2795" s="4" t="s">
        <v>30</v>
      </c>
      <c r="L2795" s="4" t="s">
        <v>3743</v>
      </c>
      <c r="M2795" s="4" t="s">
        <v>3746</v>
      </c>
      <c r="N2795" s="4" t="s">
        <v>3747</v>
      </c>
      <c r="O2795" s="17">
        <f>INDEX('список ID из СУЭ с должностями'!$A:$F,MATCH(E2795,'список ID из СУЭ с должностями'!$B:$B,0),5)</f>
        <v>0</v>
      </c>
    </row>
    <row r="2796" spans="1:15" ht="90">
      <c r="A2796" s="3" t="s">
        <v>10</v>
      </c>
      <c r="B2796" s="3" t="s">
        <v>11</v>
      </c>
      <c r="C2796" s="4">
        <v>2026</v>
      </c>
      <c r="D2796" s="5" t="s">
        <v>12</v>
      </c>
      <c r="E2796" s="4">
        <v>383</v>
      </c>
      <c r="F2796" s="4" t="s">
        <v>307</v>
      </c>
      <c r="G2796" s="4" t="s">
        <v>869</v>
      </c>
      <c r="H2796" s="4" t="s">
        <v>15</v>
      </c>
      <c r="I2796" s="4" t="s">
        <v>2449</v>
      </c>
      <c r="J2796" s="4" t="s">
        <v>2450</v>
      </c>
      <c r="K2796" s="4" t="s">
        <v>30</v>
      </c>
      <c r="L2796" s="4" t="s">
        <v>3743</v>
      </c>
      <c r="M2796" s="4" t="s">
        <v>3746</v>
      </c>
      <c r="N2796" s="4" t="s">
        <v>3747</v>
      </c>
      <c r="O2796" s="17">
        <f>INDEX('список ID из СУЭ с должностями'!$A:$F,MATCH(E2796,'список ID из СУЭ с должностями'!$B:$B,0),5)</f>
        <v>0</v>
      </c>
    </row>
    <row r="2797" spans="1:15" ht="90">
      <c r="A2797" s="3" t="s">
        <v>10</v>
      </c>
      <c r="B2797" s="3" t="s">
        <v>11</v>
      </c>
      <c r="C2797" s="4">
        <v>2026</v>
      </c>
      <c r="D2797" s="5" t="s">
        <v>12</v>
      </c>
      <c r="E2797" s="4">
        <v>383</v>
      </c>
      <c r="F2797" s="4" t="s">
        <v>307</v>
      </c>
      <c r="G2797" s="4" t="s">
        <v>869</v>
      </c>
      <c r="H2797" s="4" t="s">
        <v>15</v>
      </c>
      <c r="I2797" s="4" t="s">
        <v>876</v>
      </c>
      <c r="J2797" s="4" t="s">
        <v>877</v>
      </c>
      <c r="K2797" s="4" t="s">
        <v>30</v>
      </c>
      <c r="L2797" s="4" t="s">
        <v>3743</v>
      </c>
      <c r="M2797" s="4" t="s">
        <v>3746</v>
      </c>
      <c r="N2797" s="4" t="s">
        <v>3747</v>
      </c>
      <c r="O2797" s="17">
        <f>INDEX('список ID из СУЭ с должностями'!$A:$F,MATCH(E2797,'список ID из СУЭ с должностями'!$B:$B,0),5)</f>
        <v>0</v>
      </c>
    </row>
    <row r="2798" spans="1:15" ht="75">
      <c r="A2798" s="3" t="s">
        <v>10</v>
      </c>
      <c r="B2798" s="3" t="s">
        <v>11</v>
      </c>
      <c r="C2798" s="4">
        <v>2026</v>
      </c>
      <c r="D2798" s="5" t="s">
        <v>12</v>
      </c>
      <c r="E2798" s="4">
        <v>383</v>
      </c>
      <c r="F2798" s="4" t="s">
        <v>307</v>
      </c>
      <c r="G2798" s="4" t="s">
        <v>869</v>
      </c>
      <c r="H2798" s="4" t="s">
        <v>21</v>
      </c>
      <c r="I2798" s="4" t="s">
        <v>25</v>
      </c>
      <c r="J2798" s="4" t="s">
        <v>2775</v>
      </c>
      <c r="K2798" s="4" t="s">
        <v>25</v>
      </c>
      <c r="L2798" s="4" t="s">
        <v>3743</v>
      </c>
      <c r="M2798" s="4" t="s">
        <v>3746</v>
      </c>
      <c r="N2798" s="4" t="s">
        <v>3747</v>
      </c>
      <c r="O2798" s="17">
        <f>INDEX('список ID из СУЭ с должностями'!$A:$F,MATCH(E2798,'список ID из СУЭ с должностями'!$B:$B,0),5)</f>
        <v>0</v>
      </c>
    </row>
    <row r="2799" spans="1:15" ht="45">
      <c r="A2799" s="3" t="s">
        <v>10</v>
      </c>
      <c r="B2799" s="3" t="s">
        <v>11</v>
      </c>
      <c r="C2799" s="4">
        <v>2026</v>
      </c>
      <c r="D2799" s="5" t="s">
        <v>12</v>
      </c>
      <c r="E2799" s="4">
        <v>383</v>
      </c>
      <c r="F2799" s="4" t="s">
        <v>307</v>
      </c>
      <c r="G2799" s="4" t="s">
        <v>869</v>
      </c>
      <c r="H2799" s="4" t="s">
        <v>21</v>
      </c>
      <c r="I2799" s="4" t="s">
        <v>878</v>
      </c>
      <c r="J2799" s="4" t="s">
        <v>879</v>
      </c>
      <c r="K2799" s="4" t="s">
        <v>52</v>
      </c>
      <c r="L2799" s="4" t="s">
        <v>3742</v>
      </c>
      <c r="M2799" s="4" t="s">
        <v>3746</v>
      </c>
      <c r="N2799" s="4" t="s">
        <v>3747</v>
      </c>
      <c r="O2799" s="17">
        <f>INDEX('список ID из СУЭ с должностями'!$A:$F,MATCH(E2799,'список ID из СУЭ с должностями'!$B:$B,0),5)</f>
        <v>0</v>
      </c>
    </row>
    <row r="2800" spans="1:15" ht="45">
      <c r="A2800" s="3" t="s">
        <v>10</v>
      </c>
      <c r="B2800" s="3" t="s">
        <v>11</v>
      </c>
      <c r="C2800" s="4">
        <v>2026</v>
      </c>
      <c r="D2800" s="5" t="s">
        <v>12</v>
      </c>
      <c r="E2800" s="4">
        <v>383</v>
      </c>
      <c r="F2800" s="4" t="s">
        <v>307</v>
      </c>
      <c r="G2800" s="4" t="s">
        <v>869</v>
      </c>
      <c r="H2800" s="4" t="s">
        <v>21</v>
      </c>
      <c r="I2800" s="4" t="s">
        <v>880</v>
      </c>
      <c r="J2800" s="4" t="s">
        <v>881</v>
      </c>
      <c r="K2800" s="4" t="s">
        <v>52</v>
      </c>
      <c r="L2800" s="4" t="s">
        <v>3742</v>
      </c>
      <c r="M2800" s="4" t="s">
        <v>3746</v>
      </c>
      <c r="N2800" s="4" t="s">
        <v>3747</v>
      </c>
      <c r="O2800" s="17">
        <f>INDEX('список ID из СУЭ с должностями'!$A:$F,MATCH(E2800,'список ID из СУЭ с должностями'!$B:$B,0),5)</f>
        <v>0</v>
      </c>
    </row>
    <row r="2801" spans="1:15" ht="45">
      <c r="A2801" s="3" t="s">
        <v>10</v>
      </c>
      <c r="B2801" s="3" t="s">
        <v>11</v>
      </c>
      <c r="C2801" s="4">
        <v>2026</v>
      </c>
      <c r="D2801" s="5" t="s">
        <v>12</v>
      </c>
      <c r="E2801" s="4">
        <v>383</v>
      </c>
      <c r="F2801" s="4" t="s">
        <v>307</v>
      </c>
      <c r="G2801" s="4" t="s">
        <v>869</v>
      </c>
      <c r="H2801" s="4" t="s">
        <v>21</v>
      </c>
      <c r="I2801" s="4" t="s">
        <v>882</v>
      </c>
      <c r="J2801" s="4" t="s">
        <v>883</v>
      </c>
      <c r="K2801" s="4" t="s">
        <v>52</v>
      </c>
      <c r="L2801" s="4" t="s">
        <v>3742</v>
      </c>
      <c r="M2801" s="4" t="s">
        <v>3746</v>
      </c>
      <c r="N2801" s="4" t="s">
        <v>3747</v>
      </c>
      <c r="O2801" s="17">
        <f>INDEX('список ID из СУЭ с должностями'!$A:$F,MATCH(E2801,'список ID из СУЭ с должностями'!$B:$B,0),5)</f>
        <v>0</v>
      </c>
    </row>
    <row r="2802" spans="1:15" ht="45">
      <c r="A2802" s="3" t="s">
        <v>10</v>
      </c>
      <c r="B2802" s="3" t="s">
        <v>11</v>
      </c>
      <c r="C2802" s="4">
        <v>2026</v>
      </c>
      <c r="D2802" s="5" t="s">
        <v>12</v>
      </c>
      <c r="E2802" s="4">
        <v>383</v>
      </c>
      <c r="F2802" s="4" t="s">
        <v>307</v>
      </c>
      <c r="G2802" s="4" t="s">
        <v>869</v>
      </c>
      <c r="H2802" s="4" t="s">
        <v>15</v>
      </c>
      <c r="I2802" s="4" t="s">
        <v>870</v>
      </c>
      <c r="J2802" s="4" t="s">
        <v>2454</v>
      </c>
      <c r="K2802" s="4" t="s">
        <v>35</v>
      </c>
      <c r="L2802" s="4" t="s">
        <v>3742</v>
      </c>
      <c r="M2802" s="4" t="s">
        <v>3746</v>
      </c>
      <c r="N2802" s="4" t="s">
        <v>3747</v>
      </c>
      <c r="O2802" s="17">
        <f>INDEX('список ID из СУЭ с должностями'!$A:$F,MATCH(E2802,'список ID из СУЭ с должностями'!$B:$B,0),5)</f>
        <v>0</v>
      </c>
    </row>
    <row r="2803" spans="1:15" ht="75">
      <c r="A2803" s="3" t="s">
        <v>10</v>
      </c>
      <c r="B2803" s="3" t="s">
        <v>11</v>
      </c>
      <c r="C2803" s="4">
        <v>2026</v>
      </c>
      <c r="D2803" s="5" t="s">
        <v>12</v>
      </c>
      <c r="E2803" s="4">
        <v>383</v>
      </c>
      <c r="F2803" s="4" t="s">
        <v>307</v>
      </c>
      <c r="G2803" s="4" t="s">
        <v>869</v>
      </c>
      <c r="H2803" s="4" t="s">
        <v>15</v>
      </c>
      <c r="I2803" s="4" t="s">
        <v>2948</v>
      </c>
      <c r="J2803" s="4" t="s">
        <v>2949</v>
      </c>
      <c r="K2803" s="4" t="s">
        <v>30</v>
      </c>
      <c r="L2803" s="4" t="s">
        <v>3743</v>
      </c>
      <c r="M2803" s="4" t="s">
        <v>3746</v>
      </c>
      <c r="N2803" s="4" t="s">
        <v>3747</v>
      </c>
      <c r="O2803" s="17">
        <f>INDEX('список ID из СУЭ с должностями'!$A:$F,MATCH(E2803,'список ID из СУЭ с должностями'!$B:$B,0),5)</f>
        <v>0</v>
      </c>
    </row>
    <row r="2804" spans="1:15" ht="75">
      <c r="A2804" s="3" t="s">
        <v>10</v>
      </c>
      <c r="B2804" s="3" t="s">
        <v>11</v>
      </c>
      <c r="C2804" s="4">
        <v>2026</v>
      </c>
      <c r="D2804" s="5" t="s">
        <v>12</v>
      </c>
      <c r="E2804" s="4">
        <v>383</v>
      </c>
      <c r="F2804" s="4" t="s">
        <v>307</v>
      </c>
      <c r="G2804" s="4" t="s">
        <v>869</v>
      </c>
      <c r="H2804" s="4" t="s">
        <v>15</v>
      </c>
      <c r="I2804" s="4" t="s">
        <v>2950</v>
      </c>
      <c r="J2804" s="4" t="s">
        <v>277</v>
      </c>
      <c r="K2804" s="4" t="s">
        <v>30</v>
      </c>
      <c r="L2804" s="4" t="s">
        <v>3743</v>
      </c>
      <c r="M2804" s="4" t="s">
        <v>3746</v>
      </c>
      <c r="N2804" s="4" t="s">
        <v>3747</v>
      </c>
      <c r="O2804" s="17">
        <f>INDEX('список ID из СУЭ с должностями'!$A:$F,MATCH(E2804,'список ID из СУЭ с должностями'!$B:$B,0),5)</f>
        <v>0</v>
      </c>
    </row>
    <row r="2805" spans="1:15" ht="75">
      <c r="A2805" s="3" t="s">
        <v>10</v>
      </c>
      <c r="B2805" s="3" t="s">
        <v>11</v>
      </c>
      <c r="C2805" s="4">
        <v>2026</v>
      </c>
      <c r="D2805" s="5" t="s">
        <v>12</v>
      </c>
      <c r="E2805" s="4">
        <v>384</v>
      </c>
      <c r="F2805" s="4" t="s">
        <v>67</v>
      </c>
      <c r="G2805" s="4" t="s">
        <v>1347</v>
      </c>
      <c r="H2805" s="4" t="s">
        <v>41</v>
      </c>
      <c r="I2805" s="4" t="s">
        <v>1348</v>
      </c>
      <c r="J2805" s="4" t="s">
        <v>2951</v>
      </c>
      <c r="K2805" s="4" t="s">
        <v>2952</v>
      </c>
      <c r="L2805" s="4" t="s">
        <v>3743</v>
      </c>
      <c r="M2805" s="4" t="s">
        <v>3750</v>
      </c>
      <c r="N2805" s="4" t="s">
        <v>3779</v>
      </c>
      <c r="O2805" s="17">
        <f>INDEX('список ID из СУЭ с должностями'!$A:$F,MATCH(E2805,'список ID из СУЭ с должностями'!$B:$B,0),5)</f>
        <v>0</v>
      </c>
    </row>
    <row r="2806" spans="1:15" ht="105">
      <c r="A2806" s="3" t="s">
        <v>10</v>
      </c>
      <c r="B2806" s="3" t="s">
        <v>11</v>
      </c>
      <c r="C2806" s="4">
        <v>2026</v>
      </c>
      <c r="D2806" s="5" t="s">
        <v>12</v>
      </c>
      <c r="E2806" s="4">
        <v>384</v>
      </c>
      <c r="F2806" s="4" t="s">
        <v>67</v>
      </c>
      <c r="G2806" s="4" t="s">
        <v>1347</v>
      </c>
      <c r="H2806" s="4" t="s">
        <v>21</v>
      </c>
      <c r="I2806" s="4" t="s">
        <v>2785</v>
      </c>
      <c r="J2806" s="4" t="s">
        <v>2953</v>
      </c>
      <c r="K2806" s="4" t="s">
        <v>2954</v>
      </c>
      <c r="L2806" s="4" t="s">
        <v>3743</v>
      </c>
      <c r="M2806" s="4" t="s">
        <v>3750</v>
      </c>
      <c r="N2806" s="4" t="s">
        <v>3779</v>
      </c>
      <c r="O2806" s="17">
        <f>INDEX('список ID из СУЭ с должностями'!$A:$F,MATCH(E2806,'список ID из СУЭ с должностями'!$B:$B,0),5)</f>
        <v>0</v>
      </c>
    </row>
    <row r="2807" spans="1:15" ht="240">
      <c r="A2807" s="3" t="s">
        <v>10</v>
      </c>
      <c r="B2807" s="3" t="s">
        <v>11</v>
      </c>
      <c r="C2807" s="4">
        <v>2026</v>
      </c>
      <c r="D2807" s="5" t="s">
        <v>12</v>
      </c>
      <c r="E2807" s="4">
        <v>384</v>
      </c>
      <c r="F2807" s="4" t="s">
        <v>67</v>
      </c>
      <c r="G2807" s="4" t="s">
        <v>1347</v>
      </c>
      <c r="H2807" s="4" t="s">
        <v>15</v>
      </c>
      <c r="I2807" s="4" t="s">
        <v>2955</v>
      </c>
      <c r="J2807" s="4" t="s">
        <v>2956</v>
      </c>
      <c r="K2807" s="4" t="s">
        <v>35</v>
      </c>
      <c r="L2807" s="4" t="s">
        <v>3743</v>
      </c>
      <c r="M2807" s="4" t="s">
        <v>3746</v>
      </c>
      <c r="N2807" s="4" t="s">
        <v>3747</v>
      </c>
      <c r="O2807" s="17">
        <f>INDEX('список ID из СУЭ с должностями'!$A:$F,MATCH(E2807,'список ID из СУЭ с должностями'!$B:$B,0),5)</f>
        <v>0</v>
      </c>
    </row>
    <row r="2808" spans="1:15" ht="345">
      <c r="A2808" s="3" t="s">
        <v>10</v>
      </c>
      <c r="B2808" s="3" t="s">
        <v>11</v>
      </c>
      <c r="C2808" s="4">
        <v>2026</v>
      </c>
      <c r="D2808" s="5" t="s">
        <v>12</v>
      </c>
      <c r="E2808" s="4">
        <v>384</v>
      </c>
      <c r="F2808" s="4" t="s">
        <v>67</v>
      </c>
      <c r="G2808" s="4" t="s">
        <v>1347</v>
      </c>
      <c r="H2808" s="4" t="s">
        <v>15</v>
      </c>
      <c r="I2808" s="4" t="s">
        <v>1368</v>
      </c>
      <c r="J2808" s="4" t="s">
        <v>2957</v>
      </c>
      <c r="K2808" s="4" t="s">
        <v>35</v>
      </c>
      <c r="L2808" s="4" t="s">
        <v>3743</v>
      </c>
      <c r="M2808" s="4" t="s">
        <v>3746</v>
      </c>
      <c r="N2808" s="4" t="s">
        <v>3747</v>
      </c>
      <c r="O2808" s="17">
        <f>INDEX('список ID из СУЭ с должностями'!$A:$F,MATCH(E2808,'список ID из СУЭ с должностями'!$B:$B,0),5)</f>
        <v>0</v>
      </c>
    </row>
    <row r="2809" spans="1:15" ht="75">
      <c r="A2809" s="3" t="s">
        <v>10</v>
      </c>
      <c r="B2809" s="3" t="s">
        <v>11</v>
      </c>
      <c r="C2809" s="4">
        <v>2026</v>
      </c>
      <c r="D2809" s="5" t="s">
        <v>12</v>
      </c>
      <c r="E2809" s="4">
        <v>384</v>
      </c>
      <c r="F2809" s="4" t="s">
        <v>67</v>
      </c>
      <c r="G2809" s="4" t="s">
        <v>1347</v>
      </c>
      <c r="H2809" s="4" t="s">
        <v>15</v>
      </c>
      <c r="I2809" s="4" t="s">
        <v>2958</v>
      </c>
      <c r="J2809" s="4" t="s">
        <v>378</v>
      </c>
      <c r="K2809" s="4" t="s">
        <v>30</v>
      </c>
      <c r="L2809" s="4" t="s">
        <v>3742</v>
      </c>
      <c r="M2809" s="4" t="s">
        <v>3746</v>
      </c>
      <c r="N2809" s="4" t="s">
        <v>3747</v>
      </c>
      <c r="O2809" s="17">
        <f>INDEX('список ID из СУЭ с должностями'!$A:$F,MATCH(E2809,'список ID из СУЭ с должностями'!$B:$B,0),5)</f>
        <v>0</v>
      </c>
    </row>
    <row r="2810" spans="1:15" ht="75">
      <c r="A2810" s="3" t="s">
        <v>10</v>
      </c>
      <c r="B2810" s="3" t="s">
        <v>11</v>
      </c>
      <c r="C2810" s="4">
        <v>2026</v>
      </c>
      <c r="D2810" s="5" t="s">
        <v>12</v>
      </c>
      <c r="E2810" s="4">
        <v>384</v>
      </c>
      <c r="F2810" s="4" t="s">
        <v>67</v>
      </c>
      <c r="G2810" s="4" t="s">
        <v>1347</v>
      </c>
      <c r="H2810" s="4" t="s">
        <v>15</v>
      </c>
      <c r="I2810" s="4" t="s">
        <v>2783</v>
      </c>
      <c r="J2810" s="4" t="s">
        <v>182</v>
      </c>
      <c r="K2810" s="4" t="s">
        <v>52</v>
      </c>
      <c r="L2810" s="4" t="s">
        <v>3742</v>
      </c>
      <c r="M2810" s="4" t="s">
        <v>3746</v>
      </c>
      <c r="N2810" s="4" t="s">
        <v>3747</v>
      </c>
      <c r="O2810" s="17">
        <f>INDEX('список ID из СУЭ с должностями'!$A:$F,MATCH(E2810,'список ID из СУЭ с должностями'!$B:$B,0),5)</f>
        <v>0</v>
      </c>
    </row>
    <row r="2811" spans="1:15" ht="135">
      <c r="A2811" s="3" t="s">
        <v>10</v>
      </c>
      <c r="B2811" s="3" t="s">
        <v>11</v>
      </c>
      <c r="C2811" s="4">
        <v>2026</v>
      </c>
      <c r="D2811" s="5" t="s">
        <v>12</v>
      </c>
      <c r="E2811" s="4">
        <v>384</v>
      </c>
      <c r="F2811" s="4" t="s">
        <v>67</v>
      </c>
      <c r="G2811" s="4" t="s">
        <v>1347</v>
      </c>
      <c r="H2811" s="4" t="s">
        <v>15</v>
      </c>
      <c r="I2811" s="4" t="s">
        <v>2952</v>
      </c>
      <c r="J2811" s="4" t="s">
        <v>2959</v>
      </c>
      <c r="K2811" s="4" t="s">
        <v>30</v>
      </c>
      <c r="L2811" s="4" t="s">
        <v>3743</v>
      </c>
      <c r="M2811" s="4" t="s">
        <v>3746</v>
      </c>
      <c r="N2811" s="4" t="s">
        <v>3747</v>
      </c>
      <c r="O2811" s="17">
        <f>INDEX('список ID из СУЭ с должностями'!$A:$F,MATCH(E2811,'список ID из СУЭ с должностями'!$B:$B,0),5)</f>
        <v>0</v>
      </c>
    </row>
    <row r="2812" spans="1:15" ht="45">
      <c r="A2812" s="3" t="s">
        <v>10</v>
      </c>
      <c r="B2812" s="3" t="s">
        <v>11</v>
      </c>
      <c r="C2812" s="4">
        <v>2026</v>
      </c>
      <c r="D2812" s="5" t="s">
        <v>12</v>
      </c>
      <c r="E2812" s="4">
        <v>385</v>
      </c>
      <c r="F2812" s="4" t="s">
        <v>39</v>
      </c>
      <c r="G2812" s="4" t="s">
        <v>598</v>
      </c>
      <c r="H2812" s="4" t="s">
        <v>15</v>
      </c>
      <c r="I2812" s="4" t="s">
        <v>48</v>
      </c>
      <c r="J2812" s="4" t="s">
        <v>187</v>
      </c>
      <c r="K2812" s="4" t="s">
        <v>35</v>
      </c>
      <c r="L2812" s="4" t="s">
        <v>3743</v>
      </c>
      <c r="M2812" s="4" t="s">
        <v>3746</v>
      </c>
      <c r="N2812" s="4" t="s">
        <v>3747</v>
      </c>
      <c r="O2812" s="17" t="str">
        <f>INDEX('список ID из СУЭ с должностями'!$A:$F,MATCH(E2812,'список ID из СУЭ с должностями'!$B:$B,0),5)</f>
        <v>НС</v>
      </c>
    </row>
    <row r="2813" spans="1:15" ht="165">
      <c r="A2813" s="3" t="s">
        <v>10</v>
      </c>
      <c r="B2813" s="3" t="s">
        <v>11</v>
      </c>
      <c r="C2813" s="4">
        <v>2026</v>
      </c>
      <c r="D2813" s="5" t="s">
        <v>12</v>
      </c>
      <c r="E2813" s="4">
        <v>385</v>
      </c>
      <c r="F2813" s="4" t="s">
        <v>39</v>
      </c>
      <c r="G2813" s="4" t="s">
        <v>598</v>
      </c>
      <c r="H2813" s="4" t="s">
        <v>15</v>
      </c>
      <c r="I2813" s="4" t="s">
        <v>189</v>
      </c>
      <c r="J2813" s="4" t="s">
        <v>2960</v>
      </c>
      <c r="K2813" s="4" t="s">
        <v>151</v>
      </c>
      <c r="L2813" s="4" t="s">
        <v>3743</v>
      </c>
      <c r="M2813" s="4" t="s">
        <v>3746</v>
      </c>
      <c r="N2813" s="4" t="s">
        <v>3747</v>
      </c>
      <c r="O2813" s="17" t="str">
        <f>INDEX('список ID из СУЭ с должностями'!$A:$F,MATCH(E2813,'список ID из СУЭ с должностями'!$B:$B,0),5)</f>
        <v>НС</v>
      </c>
    </row>
    <row r="2814" spans="1:15" ht="45">
      <c r="A2814" s="3" t="s">
        <v>10</v>
      </c>
      <c r="B2814" s="3" t="s">
        <v>11</v>
      </c>
      <c r="C2814" s="4">
        <v>2026</v>
      </c>
      <c r="D2814" s="5" t="s">
        <v>12</v>
      </c>
      <c r="E2814" s="4">
        <v>385</v>
      </c>
      <c r="F2814" s="4" t="s">
        <v>39</v>
      </c>
      <c r="G2814" s="4" t="s">
        <v>598</v>
      </c>
      <c r="H2814" s="4" t="s">
        <v>15</v>
      </c>
      <c r="I2814" s="4" t="s">
        <v>1280</v>
      </c>
      <c r="J2814" s="4" t="s">
        <v>200</v>
      </c>
      <c r="K2814" s="4" t="s">
        <v>66</v>
      </c>
      <c r="L2814" s="4" t="s">
        <v>3742</v>
      </c>
      <c r="M2814" s="4" t="s">
        <v>3746</v>
      </c>
      <c r="N2814" s="4" t="s">
        <v>3747</v>
      </c>
      <c r="O2814" s="17" t="str">
        <f>INDEX('список ID из СУЭ с должностями'!$A:$F,MATCH(E2814,'список ID из СУЭ с должностями'!$B:$B,0),5)</f>
        <v>НС</v>
      </c>
    </row>
    <row r="2815" spans="1:15" ht="60">
      <c r="A2815" s="3" t="s">
        <v>10</v>
      </c>
      <c r="B2815" s="3" t="s">
        <v>11</v>
      </c>
      <c r="C2815" s="4">
        <v>2026</v>
      </c>
      <c r="D2815" s="5" t="s">
        <v>12</v>
      </c>
      <c r="E2815" s="4">
        <v>385</v>
      </c>
      <c r="F2815" s="4" t="s">
        <v>39</v>
      </c>
      <c r="G2815" s="4" t="s">
        <v>598</v>
      </c>
      <c r="H2815" s="4" t="s">
        <v>15</v>
      </c>
      <c r="I2815" s="4" t="s">
        <v>62</v>
      </c>
      <c r="J2815" s="4" t="s">
        <v>2961</v>
      </c>
      <c r="K2815" s="4" t="s">
        <v>151</v>
      </c>
      <c r="L2815" s="4" t="s">
        <v>3743</v>
      </c>
      <c r="M2815" s="4" t="s">
        <v>3746</v>
      </c>
      <c r="N2815" s="4" t="s">
        <v>3747</v>
      </c>
      <c r="O2815" s="17" t="str">
        <f>INDEX('список ID из СУЭ с должностями'!$A:$F,MATCH(E2815,'список ID из СУЭ с должностями'!$B:$B,0),5)</f>
        <v>НС</v>
      </c>
    </row>
    <row r="2816" spans="1:15" ht="60">
      <c r="A2816" s="3" t="s">
        <v>10</v>
      </c>
      <c r="B2816" s="3" t="s">
        <v>11</v>
      </c>
      <c r="C2816" s="4">
        <v>2026</v>
      </c>
      <c r="D2816" s="5" t="s">
        <v>12</v>
      </c>
      <c r="E2816" s="4">
        <v>385</v>
      </c>
      <c r="F2816" s="4" t="s">
        <v>39</v>
      </c>
      <c r="G2816" s="4" t="s">
        <v>598</v>
      </c>
      <c r="H2816" s="4" t="s">
        <v>15</v>
      </c>
      <c r="I2816" s="4" t="s">
        <v>1612</v>
      </c>
      <c r="J2816" s="4" t="s">
        <v>604</v>
      </c>
      <c r="K2816" s="4" t="s">
        <v>151</v>
      </c>
      <c r="L2816" s="4" t="s">
        <v>3742</v>
      </c>
      <c r="M2816" s="4" t="s">
        <v>3746</v>
      </c>
      <c r="N2816" s="4" t="s">
        <v>3747</v>
      </c>
      <c r="O2816" s="17" t="str">
        <f>INDEX('список ID из СУЭ с должностями'!$A:$F,MATCH(E2816,'список ID из СУЭ с должностями'!$B:$B,0),5)</f>
        <v>НС</v>
      </c>
    </row>
    <row r="2817" spans="1:15" ht="60">
      <c r="A2817" s="3" t="s">
        <v>10</v>
      </c>
      <c r="B2817" s="3" t="s">
        <v>11</v>
      </c>
      <c r="C2817" s="4">
        <v>2026</v>
      </c>
      <c r="D2817" s="5" t="s">
        <v>12</v>
      </c>
      <c r="E2817" s="4">
        <v>385</v>
      </c>
      <c r="F2817" s="4" t="s">
        <v>39</v>
      </c>
      <c r="G2817" s="4" t="s">
        <v>598</v>
      </c>
      <c r="H2817" s="4" t="s">
        <v>15</v>
      </c>
      <c r="I2817" s="4" t="s">
        <v>56</v>
      </c>
      <c r="J2817" s="4" t="s">
        <v>2962</v>
      </c>
      <c r="K2817" s="4" t="s">
        <v>151</v>
      </c>
      <c r="L2817" s="4" t="s">
        <v>3743</v>
      </c>
      <c r="M2817" s="4" t="s">
        <v>3746</v>
      </c>
      <c r="N2817" s="4" t="s">
        <v>3747</v>
      </c>
      <c r="O2817" s="17" t="str">
        <f>INDEX('список ID из СУЭ с должностями'!$A:$F,MATCH(E2817,'список ID из СУЭ с должностями'!$B:$B,0),5)</f>
        <v>НС</v>
      </c>
    </row>
    <row r="2818" spans="1:15" ht="150">
      <c r="A2818" s="3" t="s">
        <v>10</v>
      </c>
      <c r="B2818" s="3" t="s">
        <v>11</v>
      </c>
      <c r="C2818" s="4">
        <v>2026</v>
      </c>
      <c r="D2818" s="5" t="s">
        <v>12</v>
      </c>
      <c r="E2818" s="4">
        <v>385</v>
      </c>
      <c r="F2818" s="4" t="s">
        <v>39</v>
      </c>
      <c r="G2818" s="4" t="s">
        <v>598</v>
      </c>
      <c r="H2818" s="4" t="s">
        <v>15</v>
      </c>
      <c r="I2818" s="4" t="s">
        <v>198</v>
      </c>
      <c r="J2818" s="4" t="s">
        <v>2963</v>
      </c>
      <c r="K2818" s="4" t="s">
        <v>20</v>
      </c>
      <c r="L2818" s="4" t="s">
        <v>3743</v>
      </c>
      <c r="M2818" s="4" t="s">
        <v>3746</v>
      </c>
      <c r="N2818" s="4" t="s">
        <v>3747</v>
      </c>
      <c r="O2818" s="17" t="str">
        <f>INDEX('список ID из СУЭ с должностями'!$A:$F,MATCH(E2818,'список ID из СУЭ с должностями'!$B:$B,0),5)</f>
        <v>НС</v>
      </c>
    </row>
    <row r="2819" spans="1:15" ht="45">
      <c r="A2819" s="3" t="s">
        <v>10</v>
      </c>
      <c r="B2819" s="3" t="s">
        <v>11</v>
      </c>
      <c r="C2819" s="4">
        <v>2026</v>
      </c>
      <c r="D2819" s="5" t="s">
        <v>12</v>
      </c>
      <c r="E2819" s="4">
        <v>385</v>
      </c>
      <c r="F2819" s="4" t="s">
        <v>39</v>
      </c>
      <c r="G2819" s="4" t="s">
        <v>598</v>
      </c>
      <c r="H2819" s="4" t="s">
        <v>15</v>
      </c>
      <c r="I2819" s="4" t="s">
        <v>596</v>
      </c>
      <c r="J2819" s="4" t="s">
        <v>1616</v>
      </c>
      <c r="K2819" s="4" t="s">
        <v>66</v>
      </c>
      <c r="L2819" s="4" t="s">
        <v>3742</v>
      </c>
      <c r="M2819" s="4" t="s">
        <v>3746</v>
      </c>
      <c r="N2819" s="4" t="s">
        <v>3747</v>
      </c>
      <c r="O2819" s="17" t="str">
        <f>INDEX('список ID из СУЭ с должностями'!$A:$F,MATCH(E2819,'список ID из СУЭ с должностями'!$B:$B,0),5)</f>
        <v>НС</v>
      </c>
    </row>
    <row r="2820" spans="1:15" ht="60">
      <c r="A2820" s="3" t="s">
        <v>10</v>
      </c>
      <c r="B2820" s="3" t="s">
        <v>11</v>
      </c>
      <c r="C2820" s="4">
        <v>2026</v>
      </c>
      <c r="D2820" s="5" t="s">
        <v>12</v>
      </c>
      <c r="E2820" s="4">
        <v>385</v>
      </c>
      <c r="F2820" s="4" t="s">
        <v>39</v>
      </c>
      <c r="G2820" s="4" t="s">
        <v>598</v>
      </c>
      <c r="H2820" s="4" t="s">
        <v>15</v>
      </c>
      <c r="I2820" s="4" t="s">
        <v>1588</v>
      </c>
      <c r="J2820" s="4" t="s">
        <v>2964</v>
      </c>
      <c r="K2820" s="4" t="s">
        <v>151</v>
      </c>
      <c r="L2820" s="4" t="s">
        <v>3742</v>
      </c>
      <c r="M2820" s="4" t="s">
        <v>3746</v>
      </c>
      <c r="N2820" s="4" t="s">
        <v>3747</v>
      </c>
      <c r="O2820" s="17" t="str">
        <f>INDEX('список ID из СУЭ с должностями'!$A:$F,MATCH(E2820,'список ID из СУЭ с должностями'!$B:$B,0),5)</f>
        <v>НС</v>
      </c>
    </row>
    <row r="2821" spans="1:15" ht="150">
      <c r="A2821" s="3" t="s">
        <v>10</v>
      </c>
      <c r="B2821" s="3" t="s">
        <v>11</v>
      </c>
      <c r="C2821" s="4">
        <v>2026</v>
      </c>
      <c r="D2821" s="5" t="s">
        <v>12</v>
      </c>
      <c r="E2821" s="4">
        <v>386</v>
      </c>
      <c r="F2821" s="4" t="s">
        <v>193</v>
      </c>
      <c r="G2821" s="4" t="s">
        <v>1620</v>
      </c>
      <c r="H2821" s="4" t="s">
        <v>41</v>
      </c>
      <c r="I2821" s="4" t="s">
        <v>42</v>
      </c>
      <c r="J2821" s="4" t="s">
        <v>43</v>
      </c>
      <c r="K2821" s="4" t="s">
        <v>25</v>
      </c>
      <c r="L2821" s="4" t="s">
        <v>3743</v>
      </c>
      <c r="M2821" s="4" t="s">
        <v>3746</v>
      </c>
      <c r="N2821" s="4" t="s">
        <v>3747</v>
      </c>
      <c r="O2821" s="17" t="str">
        <f>INDEX('список ID из СУЭ с должностями'!$A:$F,MATCH(E2821,'список ID из СУЭ с должностями'!$B:$B,0),5)</f>
        <v>Инж смены</v>
      </c>
    </row>
    <row r="2822" spans="1:15" ht="45">
      <c r="A2822" s="3" t="s">
        <v>10</v>
      </c>
      <c r="B2822" s="3" t="s">
        <v>11</v>
      </c>
      <c r="C2822" s="4">
        <v>2026</v>
      </c>
      <c r="D2822" s="5" t="s">
        <v>12</v>
      </c>
      <c r="E2822" s="4">
        <v>386</v>
      </c>
      <c r="F2822" s="4" t="s">
        <v>193</v>
      </c>
      <c r="G2822" s="4" t="s">
        <v>1620</v>
      </c>
      <c r="H2822" s="4" t="s">
        <v>21</v>
      </c>
      <c r="I2822" s="4" t="s">
        <v>62</v>
      </c>
      <c r="J2822" s="4" t="s">
        <v>833</v>
      </c>
      <c r="K2822" s="4" t="s">
        <v>52</v>
      </c>
      <c r="L2822" s="4" t="s">
        <v>3743</v>
      </c>
      <c r="M2822" s="4" t="s">
        <v>3746</v>
      </c>
      <c r="N2822" s="4" t="s">
        <v>3747</v>
      </c>
      <c r="O2822" s="17" t="str">
        <f>INDEX('список ID из СУЭ с должностями'!$A:$F,MATCH(E2822,'список ID из СУЭ с должностями'!$B:$B,0),5)</f>
        <v>Инж смены</v>
      </c>
    </row>
    <row r="2823" spans="1:15" ht="90">
      <c r="A2823" s="3" t="s">
        <v>10</v>
      </c>
      <c r="B2823" s="3" t="s">
        <v>11</v>
      </c>
      <c r="C2823" s="4">
        <v>2026</v>
      </c>
      <c r="D2823" s="5" t="s">
        <v>12</v>
      </c>
      <c r="E2823" s="4">
        <v>386</v>
      </c>
      <c r="F2823" s="4" t="s">
        <v>193</v>
      </c>
      <c r="G2823" s="4" t="s">
        <v>1620</v>
      </c>
      <c r="H2823" s="4" t="s">
        <v>21</v>
      </c>
      <c r="I2823" s="4" t="s">
        <v>982</v>
      </c>
      <c r="J2823" s="4" t="s">
        <v>2965</v>
      </c>
      <c r="K2823" s="4" t="s">
        <v>52</v>
      </c>
      <c r="L2823" s="4" t="s">
        <v>3743</v>
      </c>
      <c r="M2823" s="4" t="s">
        <v>3746</v>
      </c>
      <c r="N2823" s="4" t="s">
        <v>3747</v>
      </c>
      <c r="O2823" s="17" t="str">
        <f>INDEX('список ID из СУЭ с должностями'!$A:$F,MATCH(E2823,'список ID из СУЭ с должностями'!$B:$B,0),5)</f>
        <v>Инж смены</v>
      </c>
    </row>
    <row r="2824" spans="1:15" ht="45">
      <c r="A2824" s="3" t="s">
        <v>10</v>
      </c>
      <c r="B2824" s="3" t="s">
        <v>11</v>
      </c>
      <c r="C2824" s="4">
        <v>2026</v>
      </c>
      <c r="D2824" s="5" t="s">
        <v>12</v>
      </c>
      <c r="E2824" s="4">
        <v>386</v>
      </c>
      <c r="F2824" s="4" t="s">
        <v>193</v>
      </c>
      <c r="G2824" s="4" t="s">
        <v>1620</v>
      </c>
      <c r="H2824" s="4" t="s">
        <v>15</v>
      </c>
      <c r="I2824" s="4" t="s">
        <v>48</v>
      </c>
      <c r="J2824" s="4" t="s">
        <v>187</v>
      </c>
      <c r="K2824" s="4" t="s">
        <v>35</v>
      </c>
      <c r="L2824" s="4" t="s">
        <v>3743</v>
      </c>
      <c r="M2824" s="4" t="s">
        <v>3746</v>
      </c>
      <c r="N2824" s="4" t="s">
        <v>3747</v>
      </c>
      <c r="O2824" s="17" t="str">
        <f>INDEX('список ID из СУЭ с должностями'!$A:$F,MATCH(E2824,'список ID из СУЭ с должностями'!$B:$B,0),5)</f>
        <v>Инж смены</v>
      </c>
    </row>
    <row r="2825" spans="1:15" ht="45">
      <c r="A2825" s="3" t="s">
        <v>10</v>
      </c>
      <c r="B2825" s="3" t="s">
        <v>11</v>
      </c>
      <c r="C2825" s="4">
        <v>2026</v>
      </c>
      <c r="D2825" s="5" t="s">
        <v>12</v>
      </c>
      <c r="E2825" s="4">
        <v>386</v>
      </c>
      <c r="F2825" s="4" t="s">
        <v>193</v>
      </c>
      <c r="G2825" s="4" t="s">
        <v>1620</v>
      </c>
      <c r="H2825" s="4" t="s">
        <v>21</v>
      </c>
      <c r="I2825" s="4" t="s">
        <v>984</v>
      </c>
      <c r="J2825" s="4" t="s">
        <v>2966</v>
      </c>
      <c r="K2825" s="4" t="s">
        <v>66</v>
      </c>
      <c r="L2825" s="4" t="s">
        <v>3743</v>
      </c>
      <c r="M2825" s="4" t="s">
        <v>3746</v>
      </c>
      <c r="N2825" s="4" t="s">
        <v>3747</v>
      </c>
      <c r="O2825" s="17" t="str">
        <f>INDEX('список ID из СУЭ с должностями'!$A:$F,MATCH(E2825,'список ID из СУЭ с должностями'!$B:$B,0),5)</f>
        <v>Инж смены</v>
      </c>
    </row>
    <row r="2826" spans="1:15" ht="60">
      <c r="A2826" s="3" t="s">
        <v>10</v>
      </c>
      <c r="B2826" s="3" t="s">
        <v>11</v>
      </c>
      <c r="C2826" s="4">
        <v>2026</v>
      </c>
      <c r="D2826" s="5" t="s">
        <v>12</v>
      </c>
      <c r="E2826" s="4">
        <v>386</v>
      </c>
      <c r="F2826" s="4" t="s">
        <v>193</v>
      </c>
      <c r="G2826" s="4" t="s">
        <v>1620</v>
      </c>
      <c r="H2826" s="4" t="s">
        <v>15</v>
      </c>
      <c r="I2826" s="4" t="s">
        <v>987</v>
      </c>
      <c r="J2826" s="4" t="s">
        <v>2967</v>
      </c>
      <c r="K2826" s="4" t="s">
        <v>188</v>
      </c>
      <c r="L2826" s="4" t="s">
        <v>3743</v>
      </c>
      <c r="M2826" s="4" t="s">
        <v>3746</v>
      </c>
      <c r="N2826" s="4" t="s">
        <v>3747</v>
      </c>
      <c r="O2826" s="17" t="str">
        <f>INDEX('список ID из СУЭ с должностями'!$A:$F,MATCH(E2826,'список ID из СУЭ с должностями'!$B:$B,0),5)</f>
        <v>Инж смены</v>
      </c>
    </row>
    <row r="2827" spans="1:15" ht="60">
      <c r="A2827" s="3" t="s">
        <v>10</v>
      </c>
      <c r="B2827" s="3" t="s">
        <v>11</v>
      </c>
      <c r="C2827" s="4">
        <v>2026</v>
      </c>
      <c r="D2827" s="5" t="s">
        <v>12</v>
      </c>
      <c r="E2827" s="4">
        <v>387</v>
      </c>
      <c r="F2827" s="4" t="s">
        <v>239</v>
      </c>
      <c r="G2827" s="4" t="s">
        <v>1587</v>
      </c>
      <c r="H2827" s="4" t="s">
        <v>15</v>
      </c>
      <c r="I2827" s="4" t="s">
        <v>816</v>
      </c>
      <c r="J2827" s="4" t="s">
        <v>182</v>
      </c>
      <c r="K2827" s="4" t="s">
        <v>38</v>
      </c>
      <c r="L2827" s="4" t="s">
        <v>3742</v>
      </c>
      <c r="M2827" s="4" t="s">
        <v>3746</v>
      </c>
      <c r="N2827" s="4" t="s">
        <v>3747</v>
      </c>
      <c r="O2827" s="17" t="str">
        <f>INDEX('список ID из СУЭ с должностями'!$A:$F,MATCH(E2827,'список ID из СУЭ с должностями'!$B:$B,0),5)</f>
        <v>ИПП</v>
      </c>
    </row>
    <row r="2828" spans="1:15" ht="60">
      <c r="A2828" s="3" t="s">
        <v>10</v>
      </c>
      <c r="B2828" s="3" t="s">
        <v>11</v>
      </c>
      <c r="C2828" s="4">
        <v>2026</v>
      </c>
      <c r="D2828" s="5" t="s">
        <v>12</v>
      </c>
      <c r="E2828" s="4">
        <v>387</v>
      </c>
      <c r="F2828" s="4" t="s">
        <v>239</v>
      </c>
      <c r="G2828" s="4" t="s">
        <v>1587</v>
      </c>
      <c r="H2828" s="4" t="s">
        <v>15</v>
      </c>
      <c r="I2828" s="4" t="s">
        <v>817</v>
      </c>
      <c r="J2828" s="4" t="s">
        <v>196</v>
      </c>
      <c r="K2828" s="4" t="s">
        <v>38</v>
      </c>
      <c r="L2828" s="4" t="s">
        <v>3742</v>
      </c>
      <c r="M2828" s="4" t="s">
        <v>3746</v>
      </c>
      <c r="N2828" s="4" t="s">
        <v>3747</v>
      </c>
      <c r="O2828" s="17" t="str">
        <f>INDEX('список ID из СУЭ с должностями'!$A:$F,MATCH(E2828,'список ID из СУЭ с должностями'!$B:$B,0),5)</f>
        <v>ИПП</v>
      </c>
    </row>
    <row r="2829" spans="1:15" ht="60">
      <c r="A2829" s="3" t="s">
        <v>10</v>
      </c>
      <c r="B2829" s="3" t="s">
        <v>11</v>
      </c>
      <c r="C2829" s="4">
        <v>2026</v>
      </c>
      <c r="D2829" s="5" t="s">
        <v>12</v>
      </c>
      <c r="E2829" s="4">
        <v>387</v>
      </c>
      <c r="F2829" s="4" t="s">
        <v>239</v>
      </c>
      <c r="G2829" s="4" t="s">
        <v>1587</v>
      </c>
      <c r="H2829" s="4" t="s">
        <v>15</v>
      </c>
      <c r="I2829" s="4" t="s">
        <v>243</v>
      </c>
      <c r="J2829" s="4" t="s">
        <v>132</v>
      </c>
      <c r="K2829" s="4" t="s">
        <v>38</v>
      </c>
      <c r="L2829" s="4" t="s">
        <v>3742</v>
      </c>
      <c r="M2829" s="4" t="s">
        <v>3746</v>
      </c>
      <c r="N2829" s="4" t="s">
        <v>3747</v>
      </c>
      <c r="O2829" s="17" t="str">
        <f>INDEX('список ID из СУЭ с должностями'!$A:$F,MATCH(E2829,'список ID из СУЭ с должностями'!$B:$B,0),5)</f>
        <v>ИПП</v>
      </c>
    </row>
    <row r="2830" spans="1:15" ht="90">
      <c r="A2830" s="3" t="s">
        <v>10</v>
      </c>
      <c r="B2830" s="3" t="s">
        <v>11</v>
      </c>
      <c r="C2830" s="4">
        <v>2026</v>
      </c>
      <c r="D2830" s="5" t="s">
        <v>12</v>
      </c>
      <c r="E2830" s="4">
        <v>387</v>
      </c>
      <c r="F2830" s="4" t="s">
        <v>239</v>
      </c>
      <c r="G2830" s="4" t="s">
        <v>1587</v>
      </c>
      <c r="H2830" s="4" t="s">
        <v>15</v>
      </c>
      <c r="I2830" s="4" t="s">
        <v>198</v>
      </c>
      <c r="J2830" s="4" t="s">
        <v>818</v>
      </c>
      <c r="K2830" s="4" t="s">
        <v>20</v>
      </c>
      <c r="L2830" s="4" t="s">
        <v>3743</v>
      </c>
      <c r="M2830" s="4" t="s">
        <v>3746</v>
      </c>
      <c r="N2830" s="4" t="s">
        <v>3747</v>
      </c>
      <c r="O2830" s="17" t="str">
        <f>INDEX('список ID из СУЭ с должностями'!$A:$F,MATCH(E2830,'список ID из СУЭ с должностями'!$B:$B,0),5)</f>
        <v>ИПП</v>
      </c>
    </row>
    <row r="2831" spans="1:15" ht="60">
      <c r="A2831" s="3" t="s">
        <v>10</v>
      </c>
      <c r="B2831" s="3" t="s">
        <v>11</v>
      </c>
      <c r="C2831" s="4">
        <v>2026</v>
      </c>
      <c r="D2831" s="5" t="s">
        <v>12</v>
      </c>
      <c r="E2831" s="4">
        <v>387</v>
      </c>
      <c r="F2831" s="4" t="s">
        <v>239</v>
      </c>
      <c r="G2831" s="4" t="s">
        <v>1587</v>
      </c>
      <c r="H2831" s="4" t="s">
        <v>15</v>
      </c>
      <c r="I2831" s="4" t="s">
        <v>819</v>
      </c>
      <c r="J2831" s="4" t="s">
        <v>200</v>
      </c>
      <c r="K2831" s="4" t="s">
        <v>66</v>
      </c>
      <c r="L2831" s="4" t="s">
        <v>3742</v>
      </c>
      <c r="M2831" s="4" t="s">
        <v>3746</v>
      </c>
      <c r="N2831" s="4" t="s">
        <v>3747</v>
      </c>
      <c r="O2831" s="17" t="str">
        <f>INDEX('список ID из СУЭ с должностями'!$A:$F,MATCH(E2831,'список ID из СУЭ с должностями'!$B:$B,0),5)</f>
        <v>ИПП</v>
      </c>
    </row>
    <row r="2832" spans="1:15" ht="60">
      <c r="A2832" s="3" t="s">
        <v>10</v>
      </c>
      <c r="B2832" s="3" t="s">
        <v>11</v>
      </c>
      <c r="C2832" s="4">
        <v>2026</v>
      </c>
      <c r="D2832" s="5" t="s">
        <v>12</v>
      </c>
      <c r="E2832" s="4">
        <v>387</v>
      </c>
      <c r="F2832" s="4" t="s">
        <v>239</v>
      </c>
      <c r="G2832" s="4" t="s">
        <v>1587</v>
      </c>
      <c r="H2832" s="4" t="s">
        <v>15</v>
      </c>
      <c r="I2832" s="4" t="s">
        <v>48</v>
      </c>
      <c r="J2832" s="4" t="s">
        <v>187</v>
      </c>
      <c r="K2832" s="4" t="s">
        <v>35</v>
      </c>
      <c r="L2832" s="4" t="s">
        <v>3743</v>
      </c>
      <c r="M2832" s="4" t="s">
        <v>3746</v>
      </c>
      <c r="N2832" s="4" t="s">
        <v>3747</v>
      </c>
      <c r="O2832" s="17" t="str">
        <f>INDEX('список ID из СУЭ с должностями'!$A:$F,MATCH(E2832,'список ID из СУЭ с должностями'!$B:$B,0),5)</f>
        <v>ИПП</v>
      </c>
    </row>
    <row r="2833" spans="1:15" ht="60">
      <c r="A2833" s="3" t="s">
        <v>10</v>
      </c>
      <c r="B2833" s="3" t="s">
        <v>11</v>
      </c>
      <c r="C2833" s="4">
        <v>2026</v>
      </c>
      <c r="D2833" s="5" t="s">
        <v>12</v>
      </c>
      <c r="E2833" s="4">
        <v>388</v>
      </c>
      <c r="F2833" s="4" t="s">
        <v>39</v>
      </c>
      <c r="G2833" s="4" t="s">
        <v>2007</v>
      </c>
      <c r="H2833" s="4" t="s">
        <v>15</v>
      </c>
      <c r="I2833" s="4" t="s">
        <v>1284</v>
      </c>
      <c r="J2833" s="4" t="s">
        <v>957</v>
      </c>
      <c r="K2833" s="4" t="s">
        <v>188</v>
      </c>
      <c r="L2833" s="4" t="s">
        <v>3742</v>
      </c>
      <c r="M2833" s="4" t="s">
        <v>3746</v>
      </c>
      <c r="N2833" s="4" t="s">
        <v>3747</v>
      </c>
      <c r="O2833" s="17" t="str">
        <f>INDEX('список ID из СУЭ с должностями'!$A:$F,MATCH(E2833,'список ID из СУЭ с должностями'!$B:$B,0),5)</f>
        <v>НС</v>
      </c>
    </row>
    <row r="2834" spans="1:15" ht="45">
      <c r="A2834" s="3" t="s">
        <v>10</v>
      </c>
      <c r="B2834" s="3" t="s">
        <v>11</v>
      </c>
      <c r="C2834" s="4">
        <v>2026</v>
      </c>
      <c r="D2834" s="5" t="s">
        <v>12</v>
      </c>
      <c r="E2834" s="4">
        <v>388</v>
      </c>
      <c r="F2834" s="4" t="s">
        <v>39</v>
      </c>
      <c r="G2834" s="4" t="s">
        <v>2007</v>
      </c>
      <c r="H2834" s="4" t="s">
        <v>15</v>
      </c>
      <c r="I2834" s="4" t="s">
        <v>203</v>
      </c>
      <c r="J2834" s="4" t="s">
        <v>957</v>
      </c>
      <c r="K2834" s="4" t="s">
        <v>35</v>
      </c>
      <c r="L2834" s="4" t="s">
        <v>3742</v>
      </c>
      <c r="M2834" s="4" t="s">
        <v>3746</v>
      </c>
      <c r="N2834" s="4" t="s">
        <v>3747</v>
      </c>
      <c r="O2834" s="17" t="str">
        <f>INDEX('список ID из СУЭ с должностями'!$A:$F,MATCH(E2834,'список ID из СУЭ с должностями'!$B:$B,0),5)</f>
        <v>НС</v>
      </c>
    </row>
    <row r="2835" spans="1:15" ht="360">
      <c r="A2835" s="3" t="s">
        <v>10</v>
      </c>
      <c r="B2835" s="3" t="s">
        <v>11</v>
      </c>
      <c r="C2835" s="4">
        <v>2026</v>
      </c>
      <c r="D2835" s="5" t="s">
        <v>12</v>
      </c>
      <c r="E2835" s="4">
        <v>388</v>
      </c>
      <c r="F2835" s="4" t="s">
        <v>39</v>
      </c>
      <c r="G2835" s="4" t="s">
        <v>2007</v>
      </c>
      <c r="H2835" s="4" t="s">
        <v>15</v>
      </c>
      <c r="I2835" s="4" t="s">
        <v>189</v>
      </c>
      <c r="J2835" s="4" t="s">
        <v>1286</v>
      </c>
      <c r="K2835" s="4" t="s">
        <v>30</v>
      </c>
      <c r="L2835" s="4" t="s">
        <v>3743</v>
      </c>
      <c r="M2835" s="4" t="s">
        <v>3746</v>
      </c>
      <c r="N2835" s="4" t="s">
        <v>3747</v>
      </c>
      <c r="O2835" s="17" t="str">
        <f>INDEX('список ID из СУЭ с должностями'!$A:$F,MATCH(E2835,'список ID из СУЭ с должностями'!$B:$B,0),5)</f>
        <v>НС</v>
      </c>
    </row>
    <row r="2836" spans="1:15" ht="60">
      <c r="A2836" s="3" t="s">
        <v>10</v>
      </c>
      <c r="B2836" s="3" t="s">
        <v>11</v>
      </c>
      <c r="C2836" s="4">
        <v>2026</v>
      </c>
      <c r="D2836" s="5" t="s">
        <v>12</v>
      </c>
      <c r="E2836" s="4">
        <v>388</v>
      </c>
      <c r="F2836" s="4" t="s">
        <v>39</v>
      </c>
      <c r="G2836" s="4" t="s">
        <v>2007</v>
      </c>
      <c r="H2836" s="4" t="s">
        <v>15</v>
      </c>
      <c r="I2836" s="4" t="s">
        <v>288</v>
      </c>
      <c r="J2836" s="4" t="s">
        <v>1276</v>
      </c>
      <c r="K2836" s="4" t="s">
        <v>188</v>
      </c>
      <c r="L2836" s="4" t="s">
        <v>3742</v>
      </c>
      <c r="M2836" s="4" t="s">
        <v>3746</v>
      </c>
      <c r="N2836" s="4" t="s">
        <v>3747</v>
      </c>
      <c r="O2836" s="17" t="str">
        <f>INDEX('список ID из СУЭ с должностями'!$A:$F,MATCH(E2836,'список ID из СУЭ с должностями'!$B:$B,0),5)</f>
        <v>НС</v>
      </c>
    </row>
    <row r="2837" spans="1:15" ht="60">
      <c r="A2837" s="3" t="s">
        <v>10</v>
      </c>
      <c r="B2837" s="3" t="s">
        <v>11</v>
      </c>
      <c r="C2837" s="4">
        <v>2026</v>
      </c>
      <c r="D2837" s="5" t="s">
        <v>12</v>
      </c>
      <c r="E2837" s="4">
        <v>388</v>
      </c>
      <c r="F2837" s="4" t="s">
        <v>39</v>
      </c>
      <c r="G2837" s="4" t="s">
        <v>2007</v>
      </c>
      <c r="H2837" s="4" t="s">
        <v>15</v>
      </c>
      <c r="I2837" s="4" t="s">
        <v>290</v>
      </c>
      <c r="J2837" s="4" t="s">
        <v>1277</v>
      </c>
      <c r="K2837" s="4" t="s">
        <v>151</v>
      </c>
      <c r="L2837" s="4" t="s">
        <v>3742</v>
      </c>
      <c r="M2837" s="4" t="s">
        <v>3746</v>
      </c>
      <c r="N2837" s="4" t="s">
        <v>3747</v>
      </c>
      <c r="O2837" s="17" t="str">
        <f>INDEX('список ID из СУЭ с должностями'!$A:$F,MATCH(E2837,'список ID из СУЭ с должностями'!$B:$B,0),5)</f>
        <v>НС</v>
      </c>
    </row>
    <row r="2838" spans="1:15" ht="135">
      <c r="A2838" s="3" t="s">
        <v>10</v>
      </c>
      <c r="B2838" s="3" t="s">
        <v>11</v>
      </c>
      <c r="C2838" s="4">
        <v>2026</v>
      </c>
      <c r="D2838" s="5" t="s">
        <v>12</v>
      </c>
      <c r="E2838" s="4">
        <v>388</v>
      </c>
      <c r="F2838" s="4" t="s">
        <v>39</v>
      </c>
      <c r="G2838" s="4" t="s">
        <v>2007</v>
      </c>
      <c r="H2838" s="4" t="s">
        <v>15</v>
      </c>
      <c r="I2838" s="4" t="s">
        <v>1282</v>
      </c>
      <c r="J2838" s="4" t="s">
        <v>2179</v>
      </c>
      <c r="K2838" s="4" t="s">
        <v>20</v>
      </c>
      <c r="L2838" s="4" t="s">
        <v>3743</v>
      </c>
      <c r="M2838" s="4" t="s">
        <v>3746</v>
      </c>
      <c r="N2838" s="4" t="s">
        <v>3747</v>
      </c>
      <c r="O2838" s="17" t="str">
        <f>INDEX('список ID из СУЭ с должностями'!$A:$F,MATCH(E2838,'список ID из СУЭ с должностями'!$B:$B,0),5)</f>
        <v>НС</v>
      </c>
    </row>
    <row r="2839" spans="1:15" ht="60">
      <c r="A2839" s="3" t="s">
        <v>10</v>
      </c>
      <c r="B2839" s="3" t="s">
        <v>11</v>
      </c>
      <c r="C2839" s="4">
        <v>2026</v>
      </c>
      <c r="D2839" s="5" t="s">
        <v>12</v>
      </c>
      <c r="E2839" s="4">
        <v>388</v>
      </c>
      <c r="F2839" s="4" t="s">
        <v>39</v>
      </c>
      <c r="G2839" s="4" t="s">
        <v>2007</v>
      </c>
      <c r="H2839" s="4" t="s">
        <v>15</v>
      </c>
      <c r="I2839" s="4" t="s">
        <v>292</v>
      </c>
      <c r="J2839" s="4" t="s">
        <v>2177</v>
      </c>
      <c r="K2839" s="4" t="s">
        <v>30</v>
      </c>
      <c r="L2839" s="4" t="s">
        <v>3742</v>
      </c>
      <c r="M2839" s="4" t="s">
        <v>3746</v>
      </c>
      <c r="N2839" s="4" t="s">
        <v>3747</v>
      </c>
      <c r="O2839" s="17" t="str">
        <f>INDEX('список ID из СУЭ с должностями'!$A:$F,MATCH(E2839,'список ID из СУЭ с должностями'!$B:$B,0),5)</f>
        <v>НС</v>
      </c>
    </row>
    <row r="2840" spans="1:15" ht="45">
      <c r="A2840" s="3" t="s">
        <v>10</v>
      </c>
      <c r="B2840" s="3" t="s">
        <v>11</v>
      </c>
      <c r="C2840" s="4">
        <v>2026</v>
      </c>
      <c r="D2840" s="5" t="s">
        <v>12</v>
      </c>
      <c r="E2840" s="4">
        <v>388</v>
      </c>
      <c r="F2840" s="4" t="s">
        <v>39</v>
      </c>
      <c r="G2840" s="4" t="s">
        <v>2007</v>
      </c>
      <c r="H2840" s="4" t="s">
        <v>15</v>
      </c>
      <c r="I2840" s="4" t="s">
        <v>1280</v>
      </c>
      <c r="J2840" s="4" t="s">
        <v>1281</v>
      </c>
      <c r="K2840" s="4" t="s">
        <v>66</v>
      </c>
      <c r="L2840" s="4" t="s">
        <v>3742</v>
      </c>
      <c r="M2840" s="4" t="s">
        <v>3746</v>
      </c>
      <c r="N2840" s="4" t="s">
        <v>3747</v>
      </c>
      <c r="O2840" s="17" t="str">
        <f>INDEX('список ID из СУЭ с должностями'!$A:$F,MATCH(E2840,'список ID из СУЭ с должностями'!$B:$B,0),5)</f>
        <v>НС</v>
      </c>
    </row>
    <row r="2841" spans="1:15" ht="45">
      <c r="A2841" s="3" t="s">
        <v>10</v>
      </c>
      <c r="B2841" s="3" t="s">
        <v>11</v>
      </c>
      <c r="C2841" s="4">
        <v>2026</v>
      </c>
      <c r="D2841" s="5" t="s">
        <v>12</v>
      </c>
      <c r="E2841" s="4">
        <v>388</v>
      </c>
      <c r="F2841" s="4" t="s">
        <v>39</v>
      </c>
      <c r="G2841" s="4" t="s">
        <v>2007</v>
      </c>
      <c r="H2841" s="4" t="s">
        <v>15</v>
      </c>
      <c r="I2841" s="4" t="s">
        <v>1278</v>
      </c>
      <c r="J2841" s="4" t="s">
        <v>2178</v>
      </c>
      <c r="K2841" s="4" t="s">
        <v>55</v>
      </c>
      <c r="L2841" s="4" t="s">
        <v>3742</v>
      </c>
      <c r="M2841" s="4" t="s">
        <v>3746</v>
      </c>
      <c r="N2841" s="4" t="s">
        <v>3747</v>
      </c>
      <c r="O2841" s="17" t="str">
        <f>INDEX('список ID из СУЭ с должностями'!$A:$F,MATCH(E2841,'список ID из СУЭ с должностями'!$B:$B,0),5)</f>
        <v>НС</v>
      </c>
    </row>
    <row r="2842" spans="1:15" ht="285">
      <c r="A2842" s="3" t="s">
        <v>10</v>
      </c>
      <c r="B2842" s="3" t="s">
        <v>11</v>
      </c>
      <c r="C2842" s="4">
        <v>2026</v>
      </c>
      <c r="D2842" s="5" t="s">
        <v>12</v>
      </c>
      <c r="E2842" s="4">
        <v>389</v>
      </c>
      <c r="F2842" s="4" t="s">
        <v>39</v>
      </c>
      <c r="G2842" s="4" t="s">
        <v>1625</v>
      </c>
      <c r="H2842" s="4" t="s">
        <v>15</v>
      </c>
      <c r="I2842" s="4" t="s">
        <v>984</v>
      </c>
      <c r="J2842" s="4" t="s">
        <v>2033</v>
      </c>
      <c r="K2842" s="4" t="s">
        <v>66</v>
      </c>
      <c r="L2842" s="4" t="s">
        <v>3743</v>
      </c>
      <c r="M2842" s="4" t="s">
        <v>3746</v>
      </c>
      <c r="N2842" s="4" t="s">
        <v>3747</v>
      </c>
      <c r="O2842" s="17" t="str">
        <f>INDEX('список ID из СУЭ с должностями'!$A:$F,MATCH(E2842,'список ID из СУЭ с должностями'!$B:$B,0),5)</f>
        <v>НС</v>
      </c>
    </row>
    <row r="2843" spans="1:15" ht="225">
      <c r="A2843" s="3" t="s">
        <v>10</v>
      </c>
      <c r="B2843" s="3" t="s">
        <v>11</v>
      </c>
      <c r="C2843" s="4">
        <v>2026</v>
      </c>
      <c r="D2843" s="5" t="s">
        <v>12</v>
      </c>
      <c r="E2843" s="4">
        <v>389</v>
      </c>
      <c r="F2843" s="4" t="s">
        <v>39</v>
      </c>
      <c r="G2843" s="4" t="s">
        <v>1625</v>
      </c>
      <c r="H2843" s="4" t="s">
        <v>15</v>
      </c>
      <c r="I2843" s="4" t="s">
        <v>189</v>
      </c>
      <c r="J2843" s="4" t="s">
        <v>2034</v>
      </c>
      <c r="K2843" s="4" t="s">
        <v>66</v>
      </c>
      <c r="L2843" s="4" t="s">
        <v>3743</v>
      </c>
      <c r="M2843" s="4" t="s">
        <v>3746</v>
      </c>
      <c r="N2843" s="4" t="s">
        <v>3747</v>
      </c>
      <c r="O2843" s="17" t="str">
        <f>INDEX('список ID из СУЭ с должностями'!$A:$F,MATCH(E2843,'список ID из СУЭ с должностями'!$B:$B,0),5)</f>
        <v>НС</v>
      </c>
    </row>
    <row r="2844" spans="1:15" ht="120">
      <c r="A2844" s="3" t="s">
        <v>10</v>
      </c>
      <c r="B2844" s="3" t="s">
        <v>11</v>
      </c>
      <c r="C2844" s="4">
        <v>2026</v>
      </c>
      <c r="D2844" s="5" t="s">
        <v>12</v>
      </c>
      <c r="E2844" s="4">
        <v>389</v>
      </c>
      <c r="F2844" s="4" t="s">
        <v>39</v>
      </c>
      <c r="G2844" s="4" t="s">
        <v>1625</v>
      </c>
      <c r="H2844" s="4" t="s">
        <v>15</v>
      </c>
      <c r="I2844" s="4" t="s">
        <v>198</v>
      </c>
      <c r="J2844" s="4" t="s">
        <v>2035</v>
      </c>
      <c r="K2844" s="4" t="s">
        <v>20</v>
      </c>
      <c r="L2844" s="4" t="s">
        <v>3743</v>
      </c>
      <c r="M2844" s="4" t="s">
        <v>3746</v>
      </c>
      <c r="N2844" s="4" t="s">
        <v>3747</v>
      </c>
      <c r="O2844" s="17" t="str">
        <f>INDEX('список ID из СУЭ с должностями'!$A:$F,MATCH(E2844,'список ID из СУЭ с должностями'!$B:$B,0),5)</f>
        <v>НС</v>
      </c>
    </row>
    <row r="2845" spans="1:15" ht="60">
      <c r="A2845" s="3" t="s">
        <v>10</v>
      </c>
      <c r="B2845" s="3" t="s">
        <v>11</v>
      </c>
      <c r="C2845" s="4">
        <v>2026</v>
      </c>
      <c r="D2845" s="5" t="s">
        <v>12</v>
      </c>
      <c r="E2845" s="4">
        <v>389</v>
      </c>
      <c r="F2845" s="4" t="s">
        <v>39</v>
      </c>
      <c r="G2845" s="4" t="s">
        <v>1625</v>
      </c>
      <c r="H2845" s="4" t="s">
        <v>21</v>
      </c>
      <c r="I2845" s="4" t="s">
        <v>2036</v>
      </c>
      <c r="J2845" s="4" t="s">
        <v>2037</v>
      </c>
      <c r="K2845" s="4" t="s">
        <v>66</v>
      </c>
      <c r="L2845" s="4" t="s">
        <v>3743</v>
      </c>
      <c r="M2845" s="4" t="s">
        <v>3746</v>
      </c>
      <c r="N2845" s="4" t="s">
        <v>3747</v>
      </c>
      <c r="O2845" s="17" t="str">
        <f>INDEX('список ID из СУЭ с должностями'!$A:$F,MATCH(E2845,'список ID из СУЭ с должностями'!$B:$B,0),5)</f>
        <v>НС</v>
      </c>
    </row>
    <row r="2846" spans="1:15" ht="195">
      <c r="A2846" s="3" t="s">
        <v>10</v>
      </c>
      <c r="B2846" s="3" t="s">
        <v>11</v>
      </c>
      <c r="C2846" s="4">
        <v>2026</v>
      </c>
      <c r="D2846" s="5" t="s">
        <v>12</v>
      </c>
      <c r="E2846" s="4">
        <v>389</v>
      </c>
      <c r="F2846" s="4" t="s">
        <v>39</v>
      </c>
      <c r="G2846" s="4" t="s">
        <v>1625</v>
      </c>
      <c r="H2846" s="4" t="s">
        <v>15</v>
      </c>
      <c r="I2846" s="4" t="s">
        <v>2027</v>
      </c>
      <c r="J2846" s="4" t="s">
        <v>2028</v>
      </c>
      <c r="K2846" s="4" t="s">
        <v>66</v>
      </c>
      <c r="L2846" s="4" t="s">
        <v>3743</v>
      </c>
      <c r="M2846" s="4" t="s">
        <v>3746</v>
      </c>
      <c r="N2846" s="4" t="s">
        <v>3747</v>
      </c>
      <c r="O2846" s="17" t="str">
        <f>INDEX('список ID из СУЭ с должностями'!$A:$F,MATCH(E2846,'список ID из СУЭ с должностями'!$B:$B,0),5)</f>
        <v>НС</v>
      </c>
    </row>
    <row r="2847" spans="1:15" ht="240">
      <c r="A2847" s="3" t="s">
        <v>10</v>
      </c>
      <c r="B2847" s="3" t="s">
        <v>11</v>
      </c>
      <c r="C2847" s="4">
        <v>2026</v>
      </c>
      <c r="D2847" s="5" t="s">
        <v>12</v>
      </c>
      <c r="E2847" s="4">
        <v>389</v>
      </c>
      <c r="F2847" s="4" t="s">
        <v>39</v>
      </c>
      <c r="G2847" s="4" t="s">
        <v>1625</v>
      </c>
      <c r="H2847" s="4" t="s">
        <v>15</v>
      </c>
      <c r="I2847" s="4" t="s">
        <v>2031</v>
      </c>
      <c r="J2847" s="4" t="s">
        <v>2032</v>
      </c>
      <c r="K2847" s="4" t="s">
        <v>38</v>
      </c>
      <c r="L2847" s="4" t="s">
        <v>3743</v>
      </c>
      <c r="M2847" s="4" t="s">
        <v>3746</v>
      </c>
      <c r="N2847" s="4" t="s">
        <v>3747</v>
      </c>
      <c r="O2847" s="17" t="str">
        <f>INDEX('список ID из СУЭ с должностями'!$A:$F,MATCH(E2847,'список ID из СУЭ с должностями'!$B:$B,0),5)</f>
        <v>НС</v>
      </c>
    </row>
    <row r="2848" spans="1:15" ht="345">
      <c r="A2848" s="3" t="s">
        <v>10</v>
      </c>
      <c r="B2848" s="3" t="s">
        <v>11</v>
      </c>
      <c r="C2848" s="4">
        <v>2026</v>
      </c>
      <c r="D2848" s="5" t="s">
        <v>12</v>
      </c>
      <c r="E2848" s="4">
        <v>389</v>
      </c>
      <c r="F2848" s="4" t="s">
        <v>39</v>
      </c>
      <c r="G2848" s="4" t="s">
        <v>1625</v>
      </c>
      <c r="H2848" s="4" t="s">
        <v>15</v>
      </c>
      <c r="I2848" s="4" t="s">
        <v>2029</v>
      </c>
      <c r="J2848" s="4" t="s">
        <v>2030</v>
      </c>
      <c r="K2848" s="4" t="s">
        <v>55</v>
      </c>
      <c r="L2848" s="4" t="s">
        <v>3743</v>
      </c>
      <c r="M2848" s="4" t="s">
        <v>3746</v>
      </c>
      <c r="N2848" s="4" t="s">
        <v>3747</v>
      </c>
      <c r="O2848" s="17" t="str">
        <f>INDEX('список ID из СУЭ с должностями'!$A:$F,MATCH(E2848,'список ID из СУЭ с должностями'!$B:$B,0),5)</f>
        <v>НС</v>
      </c>
    </row>
    <row r="2849" spans="1:15" ht="285">
      <c r="A2849" s="3" t="s">
        <v>10</v>
      </c>
      <c r="B2849" s="3" t="s">
        <v>11</v>
      </c>
      <c r="C2849" s="4">
        <v>2026</v>
      </c>
      <c r="D2849" s="5" t="s">
        <v>12</v>
      </c>
      <c r="E2849" s="4">
        <v>389</v>
      </c>
      <c r="F2849" s="4" t="s">
        <v>39</v>
      </c>
      <c r="G2849" s="4" t="s">
        <v>1625</v>
      </c>
      <c r="H2849" s="4" t="s">
        <v>15</v>
      </c>
      <c r="I2849" s="4" t="s">
        <v>2025</v>
      </c>
      <c r="J2849" s="4" t="s">
        <v>2026</v>
      </c>
      <c r="K2849" s="4" t="s">
        <v>25</v>
      </c>
      <c r="L2849" s="4" t="s">
        <v>3743</v>
      </c>
      <c r="M2849" s="4" t="s">
        <v>3746</v>
      </c>
      <c r="N2849" s="4" t="s">
        <v>3747</v>
      </c>
      <c r="O2849" s="17" t="str">
        <f>INDEX('список ID из СУЭ с должностями'!$A:$F,MATCH(E2849,'список ID из СУЭ с должностями'!$B:$B,0),5)</f>
        <v>НС</v>
      </c>
    </row>
    <row r="2850" spans="1:15" ht="409.5">
      <c r="A2850" s="3" t="s">
        <v>10</v>
      </c>
      <c r="B2850" s="3" t="s">
        <v>11</v>
      </c>
      <c r="C2850" s="4">
        <v>2026</v>
      </c>
      <c r="D2850" s="5" t="s">
        <v>12</v>
      </c>
      <c r="E2850" s="4">
        <v>389</v>
      </c>
      <c r="F2850" s="4" t="s">
        <v>39</v>
      </c>
      <c r="G2850" s="4" t="s">
        <v>1625</v>
      </c>
      <c r="H2850" s="4" t="s">
        <v>15</v>
      </c>
      <c r="I2850" s="4" t="s">
        <v>2023</v>
      </c>
      <c r="J2850" s="4" t="s">
        <v>2024</v>
      </c>
      <c r="K2850" s="4" t="s">
        <v>35</v>
      </c>
      <c r="L2850" s="4" t="s">
        <v>3743</v>
      </c>
      <c r="M2850" s="4" t="s">
        <v>3746</v>
      </c>
      <c r="N2850" s="4" t="s">
        <v>3747</v>
      </c>
      <c r="O2850" s="17" t="str">
        <f>INDEX('список ID из СУЭ с должностями'!$A:$F,MATCH(E2850,'список ID из СУЭ с должностями'!$B:$B,0),5)</f>
        <v>НС</v>
      </c>
    </row>
    <row r="2851" spans="1:15" ht="75">
      <c r="A2851" s="3" t="s">
        <v>10</v>
      </c>
      <c r="B2851" s="3" t="s">
        <v>11</v>
      </c>
      <c r="C2851" s="4">
        <v>2026</v>
      </c>
      <c r="D2851" s="5" t="s">
        <v>12</v>
      </c>
      <c r="E2851" s="4">
        <v>390</v>
      </c>
      <c r="F2851" s="4" t="s">
        <v>2811</v>
      </c>
      <c r="G2851" s="4" t="s">
        <v>436</v>
      </c>
      <c r="H2851" s="4" t="s">
        <v>15</v>
      </c>
      <c r="I2851" s="4" t="s">
        <v>437</v>
      </c>
      <c r="J2851" s="4" t="s">
        <v>930</v>
      </c>
      <c r="K2851" s="4" t="s">
        <v>55</v>
      </c>
      <c r="L2851" s="4" t="s">
        <v>3743</v>
      </c>
      <c r="M2851" s="4" t="s">
        <v>3746</v>
      </c>
      <c r="N2851" s="4" t="s">
        <v>3747</v>
      </c>
      <c r="O2851" s="17">
        <f>INDEX('список ID из СУЭ с должностями'!$A:$F,MATCH(E2851,'список ID из СУЭ с должностями'!$B:$B,0),5)</f>
        <v>0</v>
      </c>
    </row>
    <row r="2852" spans="1:15" ht="75">
      <c r="A2852" s="3" t="s">
        <v>10</v>
      </c>
      <c r="B2852" s="3" t="s">
        <v>11</v>
      </c>
      <c r="C2852" s="4">
        <v>2026</v>
      </c>
      <c r="D2852" s="5" t="s">
        <v>12</v>
      </c>
      <c r="E2852" s="4">
        <v>390</v>
      </c>
      <c r="F2852" s="4" t="s">
        <v>2811</v>
      </c>
      <c r="G2852" s="4" t="s">
        <v>436</v>
      </c>
      <c r="H2852" s="4" t="s">
        <v>15</v>
      </c>
      <c r="I2852" s="4" t="s">
        <v>888</v>
      </c>
      <c r="J2852" s="4" t="s">
        <v>889</v>
      </c>
      <c r="K2852" s="4" t="s">
        <v>35</v>
      </c>
      <c r="L2852" s="4" t="s">
        <v>3743</v>
      </c>
      <c r="M2852" s="4" t="s">
        <v>3746</v>
      </c>
      <c r="N2852" s="4" t="s">
        <v>3747</v>
      </c>
      <c r="O2852" s="17">
        <f>INDEX('список ID из СУЭ с должностями'!$A:$F,MATCH(E2852,'список ID из СУЭ с должностями'!$B:$B,0),5)</f>
        <v>0</v>
      </c>
    </row>
    <row r="2853" spans="1:15" ht="405">
      <c r="A2853" s="3" t="s">
        <v>10</v>
      </c>
      <c r="B2853" s="3" t="s">
        <v>11</v>
      </c>
      <c r="C2853" s="4">
        <v>2026</v>
      </c>
      <c r="D2853" s="5" t="s">
        <v>12</v>
      </c>
      <c r="E2853" s="4">
        <v>390</v>
      </c>
      <c r="F2853" s="4" t="s">
        <v>2811</v>
      </c>
      <c r="G2853" s="4" t="s">
        <v>436</v>
      </c>
      <c r="H2853" s="4" t="s">
        <v>15</v>
      </c>
      <c r="I2853" s="4" t="s">
        <v>439</v>
      </c>
      <c r="J2853" s="4" t="s">
        <v>2812</v>
      </c>
      <c r="K2853" s="4" t="s">
        <v>55</v>
      </c>
      <c r="L2853" s="4" t="s">
        <v>3743</v>
      </c>
      <c r="M2853" s="4" t="s">
        <v>3746</v>
      </c>
      <c r="N2853" s="4" t="s">
        <v>3747</v>
      </c>
      <c r="O2853" s="17">
        <f>INDEX('список ID из СУЭ с должностями'!$A:$F,MATCH(E2853,'список ID из СУЭ с должностями'!$B:$B,0),5)</f>
        <v>0</v>
      </c>
    </row>
    <row r="2854" spans="1:15" ht="45">
      <c r="A2854" s="3" t="s">
        <v>10</v>
      </c>
      <c r="B2854" s="3" t="s">
        <v>11</v>
      </c>
      <c r="C2854" s="4">
        <v>2026</v>
      </c>
      <c r="D2854" s="5" t="s">
        <v>12</v>
      </c>
      <c r="E2854" s="4">
        <v>391</v>
      </c>
      <c r="F2854" s="4" t="s">
        <v>307</v>
      </c>
      <c r="G2854" s="4" t="s">
        <v>1362</v>
      </c>
      <c r="H2854" s="4" t="s">
        <v>15</v>
      </c>
      <c r="I2854" s="4" t="s">
        <v>2968</v>
      </c>
      <c r="J2854" s="4" t="s">
        <v>2969</v>
      </c>
      <c r="K2854" s="4" t="s">
        <v>23</v>
      </c>
      <c r="L2854" s="4" t="s">
        <v>3743</v>
      </c>
      <c r="M2854" s="4" t="s">
        <v>3748</v>
      </c>
      <c r="N2854" s="4" t="s">
        <v>3752</v>
      </c>
      <c r="O2854" s="17">
        <f>INDEX('список ID из СУЭ с должностями'!$A:$F,MATCH(E2854,'список ID из СУЭ с должностями'!$B:$B,0),5)</f>
        <v>0</v>
      </c>
    </row>
    <row r="2855" spans="1:15" ht="60">
      <c r="A2855" s="3" t="s">
        <v>10</v>
      </c>
      <c r="B2855" s="3" t="s">
        <v>11</v>
      </c>
      <c r="C2855" s="4">
        <v>2026</v>
      </c>
      <c r="D2855" s="5" t="s">
        <v>12</v>
      </c>
      <c r="E2855" s="4">
        <v>391</v>
      </c>
      <c r="F2855" s="4" t="s">
        <v>307</v>
      </c>
      <c r="G2855" s="4" t="s">
        <v>1362</v>
      </c>
      <c r="H2855" s="4" t="s">
        <v>21</v>
      </c>
      <c r="I2855" s="4" t="s">
        <v>2970</v>
      </c>
      <c r="J2855" s="4" t="s">
        <v>2971</v>
      </c>
      <c r="K2855" s="4" t="s">
        <v>30</v>
      </c>
      <c r="L2855" s="4" t="s">
        <v>3742</v>
      </c>
      <c r="M2855" s="4" t="s">
        <v>3746</v>
      </c>
      <c r="N2855" s="4" t="s">
        <v>3747</v>
      </c>
      <c r="O2855" s="17">
        <f>INDEX('список ID из СУЭ с должностями'!$A:$F,MATCH(E2855,'список ID из СУЭ с должностями'!$B:$B,0),5)</f>
        <v>0</v>
      </c>
    </row>
    <row r="2856" spans="1:15" ht="60">
      <c r="A2856" s="3" t="s">
        <v>10</v>
      </c>
      <c r="B2856" s="3" t="s">
        <v>11</v>
      </c>
      <c r="C2856" s="4">
        <v>2026</v>
      </c>
      <c r="D2856" s="5" t="s">
        <v>12</v>
      </c>
      <c r="E2856" s="4">
        <v>391</v>
      </c>
      <c r="F2856" s="4" t="s">
        <v>307</v>
      </c>
      <c r="G2856" s="4" t="s">
        <v>1362</v>
      </c>
      <c r="H2856" s="4" t="s">
        <v>15</v>
      </c>
      <c r="I2856" s="4" t="s">
        <v>2972</v>
      </c>
      <c r="J2856" s="4" t="s">
        <v>2973</v>
      </c>
      <c r="K2856" s="4" t="s">
        <v>1508</v>
      </c>
      <c r="L2856" s="4" t="s">
        <v>3743</v>
      </c>
      <c r="M2856" s="4" t="s">
        <v>3750</v>
      </c>
      <c r="N2856" s="4" t="s">
        <v>3765</v>
      </c>
      <c r="O2856" s="17">
        <f>INDEX('список ID из СУЭ с должностями'!$A:$F,MATCH(E2856,'список ID из СУЭ с должностями'!$B:$B,0),5)</f>
        <v>0</v>
      </c>
    </row>
    <row r="2857" spans="1:15" ht="45">
      <c r="A2857" s="3" t="s">
        <v>10</v>
      </c>
      <c r="B2857" s="3" t="s">
        <v>11</v>
      </c>
      <c r="C2857" s="4">
        <v>2026</v>
      </c>
      <c r="D2857" s="5" t="s">
        <v>12</v>
      </c>
      <c r="E2857" s="4">
        <v>391</v>
      </c>
      <c r="F2857" s="4" t="s">
        <v>307</v>
      </c>
      <c r="G2857" s="4" t="s">
        <v>1362</v>
      </c>
      <c r="H2857" s="4" t="s">
        <v>15</v>
      </c>
      <c r="I2857" s="4" t="s">
        <v>2974</v>
      </c>
      <c r="J2857" s="4" t="s">
        <v>2975</v>
      </c>
      <c r="K2857" s="4" t="s">
        <v>1508</v>
      </c>
      <c r="L2857" s="4" t="s">
        <v>3743</v>
      </c>
      <c r="M2857" s="4" t="s">
        <v>3750</v>
      </c>
      <c r="N2857" s="4" t="s">
        <v>3765</v>
      </c>
      <c r="O2857" s="17">
        <f>INDEX('список ID из СУЭ с должностями'!$A:$F,MATCH(E2857,'список ID из СУЭ с должностями'!$B:$B,0),5)</f>
        <v>0</v>
      </c>
    </row>
    <row r="2858" spans="1:15" ht="345">
      <c r="A2858" s="3" t="s">
        <v>10</v>
      </c>
      <c r="B2858" s="3" t="s">
        <v>11</v>
      </c>
      <c r="C2858" s="4">
        <v>2026</v>
      </c>
      <c r="D2858" s="5" t="s">
        <v>12</v>
      </c>
      <c r="E2858" s="4">
        <v>391</v>
      </c>
      <c r="F2858" s="4" t="s">
        <v>307</v>
      </c>
      <c r="G2858" s="4" t="s">
        <v>1362</v>
      </c>
      <c r="H2858" s="4" t="s">
        <v>15</v>
      </c>
      <c r="I2858" s="4" t="s">
        <v>1368</v>
      </c>
      <c r="J2858" s="4" t="s">
        <v>1369</v>
      </c>
      <c r="K2858" s="4" t="s">
        <v>35</v>
      </c>
      <c r="L2858" s="4" t="s">
        <v>3743</v>
      </c>
      <c r="M2858" s="4" t="s">
        <v>3746</v>
      </c>
      <c r="N2858" s="4" t="s">
        <v>3747</v>
      </c>
      <c r="O2858" s="17">
        <f>INDEX('список ID из СУЭ с должностями'!$A:$F,MATCH(E2858,'список ID из СУЭ с должностями'!$B:$B,0),5)</f>
        <v>0</v>
      </c>
    </row>
    <row r="2859" spans="1:15" ht="210">
      <c r="A2859" s="3" t="s">
        <v>10</v>
      </c>
      <c r="B2859" s="3" t="s">
        <v>11</v>
      </c>
      <c r="C2859" s="4">
        <v>2026</v>
      </c>
      <c r="D2859" s="5" t="s">
        <v>12</v>
      </c>
      <c r="E2859" s="4">
        <v>391</v>
      </c>
      <c r="F2859" s="4" t="s">
        <v>307</v>
      </c>
      <c r="G2859" s="4" t="s">
        <v>1362</v>
      </c>
      <c r="H2859" s="4" t="s">
        <v>21</v>
      </c>
      <c r="I2859" s="4" t="s">
        <v>1508</v>
      </c>
      <c r="J2859" s="4" t="s">
        <v>2976</v>
      </c>
      <c r="K2859" s="4" t="s">
        <v>38</v>
      </c>
      <c r="L2859" s="4" t="s">
        <v>3743</v>
      </c>
      <c r="M2859" s="4" t="s">
        <v>3746</v>
      </c>
      <c r="N2859" s="4" t="s">
        <v>3747</v>
      </c>
      <c r="O2859" s="17">
        <f>INDEX('список ID из СУЭ с должностями'!$A:$F,MATCH(E2859,'список ID из СУЭ с должностями'!$B:$B,0),5)</f>
        <v>0</v>
      </c>
    </row>
    <row r="2860" spans="1:15" ht="405">
      <c r="A2860" s="3" t="s">
        <v>10</v>
      </c>
      <c r="B2860" s="3" t="s">
        <v>11</v>
      </c>
      <c r="C2860" s="4">
        <v>2026</v>
      </c>
      <c r="D2860" s="5" t="s">
        <v>12</v>
      </c>
      <c r="E2860" s="4">
        <v>392</v>
      </c>
      <c r="F2860" s="4" t="s">
        <v>1670</v>
      </c>
      <c r="G2860" s="4" t="s">
        <v>506</v>
      </c>
      <c r="H2860" s="4" t="s">
        <v>15</v>
      </c>
      <c r="I2860" s="4" t="s">
        <v>189</v>
      </c>
      <c r="J2860" s="4" t="s">
        <v>2977</v>
      </c>
      <c r="K2860" s="4" t="s">
        <v>151</v>
      </c>
      <c r="L2860" s="4" t="s">
        <v>3743</v>
      </c>
      <c r="M2860" s="4" t="s">
        <v>3746</v>
      </c>
      <c r="N2860" s="4" t="s">
        <v>3747</v>
      </c>
      <c r="O2860" s="17" t="str">
        <f>INDEX('список ID из СУЭ с должностями'!$A:$F,MATCH(E2860,'список ID из СУЭ с должностями'!$B:$B,0),5)</f>
        <v>СМП</v>
      </c>
    </row>
    <row r="2861" spans="1:15" ht="60">
      <c r="A2861" s="3" t="s">
        <v>10</v>
      </c>
      <c r="B2861" s="3" t="s">
        <v>11</v>
      </c>
      <c r="C2861" s="4">
        <v>2026</v>
      </c>
      <c r="D2861" s="5" t="s">
        <v>12</v>
      </c>
      <c r="E2861" s="4">
        <v>392</v>
      </c>
      <c r="F2861" s="4" t="s">
        <v>1670</v>
      </c>
      <c r="G2861" s="4" t="s">
        <v>506</v>
      </c>
      <c r="H2861" s="4" t="s">
        <v>15</v>
      </c>
      <c r="I2861" s="4" t="s">
        <v>2978</v>
      </c>
      <c r="J2861" s="4" t="s">
        <v>2979</v>
      </c>
      <c r="K2861" s="4" t="s">
        <v>151</v>
      </c>
      <c r="L2861" s="4" t="s">
        <v>3743</v>
      </c>
      <c r="M2861" s="4" t="s">
        <v>3746</v>
      </c>
      <c r="N2861" s="4" t="s">
        <v>3747</v>
      </c>
      <c r="O2861" s="17" t="str">
        <f>INDEX('список ID из СУЭ с должностями'!$A:$F,MATCH(E2861,'список ID из СУЭ с должностями'!$B:$B,0),5)</f>
        <v>СМП</v>
      </c>
    </row>
    <row r="2862" spans="1:15" ht="60">
      <c r="A2862" s="3" t="s">
        <v>10</v>
      </c>
      <c r="B2862" s="3" t="s">
        <v>11</v>
      </c>
      <c r="C2862" s="4">
        <v>2026</v>
      </c>
      <c r="D2862" s="5" t="s">
        <v>12</v>
      </c>
      <c r="E2862" s="4">
        <v>392</v>
      </c>
      <c r="F2862" s="4" t="s">
        <v>1670</v>
      </c>
      <c r="G2862" s="4" t="s">
        <v>506</v>
      </c>
      <c r="H2862" s="4" t="s">
        <v>15</v>
      </c>
      <c r="I2862" s="4" t="s">
        <v>2052</v>
      </c>
      <c r="J2862" s="4" t="s">
        <v>79</v>
      </c>
      <c r="K2862" s="4" t="s">
        <v>38</v>
      </c>
      <c r="L2862" s="4" t="s">
        <v>3742</v>
      </c>
      <c r="M2862" s="4" t="s">
        <v>3746</v>
      </c>
      <c r="N2862" s="4" t="s">
        <v>3747</v>
      </c>
      <c r="O2862" s="17" t="str">
        <f>INDEX('список ID из СУЭ с должностями'!$A:$F,MATCH(E2862,'список ID из СУЭ с должностями'!$B:$B,0),5)</f>
        <v>СМП</v>
      </c>
    </row>
    <row r="2863" spans="1:15" ht="225">
      <c r="A2863" s="3" t="s">
        <v>10</v>
      </c>
      <c r="B2863" s="3" t="s">
        <v>11</v>
      </c>
      <c r="C2863" s="4">
        <v>2026</v>
      </c>
      <c r="D2863" s="5" t="s">
        <v>12</v>
      </c>
      <c r="E2863" s="4">
        <v>392</v>
      </c>
      <c r="F2863" s="4" t="s">
        <v>1670</v>
      </c>
      <c r="G2863" s="4" t="s">
        <v>506</v>
      </c>
      <c r="H2863" s="4" t="s">
        <v>15</v>
      </c>
      <c r="I2863" s="4" t="s">
        <v>2050</v>
      </c>
      <c r="J2863" s="4" t="s">
        <v>2051</v>
      </c>
      <c r="K2863" s="4" t="s">
        <v>20</v>
      </c>
      <c r="L2863" s="4" t="s">
        <v>3743</v>
      </c>
      <c r="M2863" s="4" t="s">
        <v>3746</v>
      </c>
      <c r="N2863" s="4" t="s">
        <v>3747</v>
      </c>
      <c r="O2863" s="17" t="str">
        <f>INDEX('список ID из СУЭ с должностями'!$A:$F,MATCH(E2863,'список ID из СУЭ с должностями'!$B:$B,0),5)</f>
        <v>СМП</v>
      </c>
    </row>
    <row r="2864" spans="1:15" ht="60">
      <c r="A2864" s="3" t="s">
        <v>10</v>
      </c>
      <c r="B2864" s="3" t="s">
        <v>11</v>
      </c>
      <c r="C2864" s="4">
        <v>2026</v>
      </c>
      <c r="D2864" s="5" t="s">
        <v>12</v>
      </c>
      <c r="E2864" s="4">
        <v>392</v>
      </c>
      <c r="F2864" s="4" t="s">
        <v>1670</v>
      </c>
      <c r="G2864" s="4" t="s">
        <v>506</v>
      </c>
      <c r="H2864" s="4" t="s">
        <v>15</v>
      </c>
      <c r="I2864" s="4" t="s">
        <v>700</v>
      </c>
      <c r="J2864" s="4" t="s">
        <v>200</v>
      </c>
      <c r="K2864" s="4" t="s">
        <v>30</v>
      </c>
      <c r="L2864" s="4" t="s">
        <v>3742</v>
      </c>
      <c r="M2864" s="4" t="s">
        <v>3746</v>
      </c>
      <c r="N2864" s="4" t="s">
        <v>3747</v>
      </c>
      <c r="O2864" s="17" t="str">
        <f>INDEX('список ID из СУЭ с должностями'!$A:$F,MATCH(E2864,'список ID из СУЭ с должностями'!$B:$B,0),5)</f>
        <v>СМП</v>
      </c>
    </row>
    <row r="2865" spans="1:15" ht="105">
      <c r="A2865" s="3" t="s">
        <v>10</v>
      </c>
      <c r="B2865" s="3" t="s">
        <v>11</v>
      </c>
      <c r="C2865" s="4">
        <v>2026</v>
      </c>
      <c r="D2865" s="5" t="s">
        <v>12</v>
      </c>
      <c r="E2865" s="4">
        <v>392</v>
      </c>
      <c r="F2865" s="4" t="s">
        <v>1670</v>
      </c>
      <c r="G2865" s="4" t="s">
        <v>506</v>
      </c>
      <c r="H2865" s="4" t="s">
        <v>15</v>
      </c>
      <c r="I2865" s="4" t="s">
        <v>1763</v>
      </c>
      <c r="J2865" s="4" t="s">
        <v>1764</v>
      </c>
      <c r="K2865" s="4" t="s">
        <v>25</v>
      </c>
      <c r="L2865" s="4" t="s">
        <v>3743</v>
      </c>
      <c r="M2865" s="4" t="s">
        <v>3746</v>
      </c>
      <c r="N2865" s="4" t="s">
        <v>3747</v>
      </c>
      <c r="O2865" s="17" t="str">
        <f>INDEX('список ID из СУЭ с должностями'!$A:$F,MATCH(E2865,'список ID из СУЭ с должностями'!$B:$B,0),5)</f>
        <v>СМП</v>
      </c>
    </row>
    <row r="2866" spans="1:15" ht="45">
      <c r="A2866" s="3" t="s">
        <v>10</v>
      </c>
      <c r="B2866" s="3" t="s">
        <v>11</v>
      </c>
      <c r="C2866" s="4">
        <v>2026</v>
      </c>
      <c r="D2866" s="5" t="s">
        <v>12</v>
      </c>
      <c r="E2866" s="4">
        <v>392</v>
      </c>
      <c r="F2866" s="4" t="s">
        <v>1670</v>
      </c>
      <c r="G2866" s="4" t="s">
        <v>506</v>
      </c>
      <c r="H2866" s="4" t="s">
        <v>15</v>
      </c>
      <c r="I2866" s="4" t="s">
        <v>2053</v>
      </c>
      <c r="J2866" s="4" t="s">
        <v>187</v>
      </c>
      <c r="K2866" s="4" t="s">
        <v>35</v>
      </c>
      <c r="L2866" s="4" t="s">
        <v>3743</v>
      </c>
      <c r="M2866" s="4" t="s">
        <v>3746</v>
      </c>
      <c r="N2866" s="4" t="s">
        <v>3747</v>
      </c>
      <c r="O2866" s="17" t="str">
        <f>INDEX('список ID из СУЭ с должностями'!$A:$F,MATCH(E2866,'список ID из СУЭ с должностями'!$B:$B,0),5)</f>
        <v>СМП</v>
      </c>
    </row>
    <row r="2867" spans="1:15" ht="285">
      <c r="A2867" s="3" t="s">
        <v>10</v>
      </c>
      <c r="B2867" s="3" t="s">
        <v>11</v>
      </c>
      <c r="C2867" s="4">
        <v>2026</v>
      </c>
      <c r="D2867" s="5" t="s">
        <v>12</v>
      </c>
      <c r="E2867" s="4">
        <v>392</v>
      </c>
      <c r="F2867" s="4" t="s">
        <v>1670</v>
      </c>
      <c r="G2867" s="4" t="s">
        <v>506</v>
      </c>
      <c r="H2867" s="4" t="s">
        <v>15</v>
      </c>
      <c r="I2867" s="4" t="s">
        <v>2980</v>
      </c>
      <c r="J2867" s="4" t="s">
        <v>2981</v>
      </c>
      <c r="K2867" s="4" t="s">
        <v>66</v>
      </c>
      <c r="L2867" s="4" t="s">
        <v>3743</v>
      </c>
      <c r="M2867" s="4" t="s">
        <v>3746</v>
      </c>
      <c r="N2867" s="4" t="s">
        <v>3747</v>
      </c>
      <c r="O2867" s="17" t="str">
        <f>INDEX('список ID из СУЭ с должностями'!$A:$F,MATCH(E2867,'список ID из СУЭ с должностями'!$B:$B,0),5)</f>
        <v>СМП</v>
      </c>
    </row>
    <row r="2868" spans="1:15" ht="105">
      <c r="A2868" s="3" t="s">
        <v>10</v>
      </c>
      <c r="B2868" s="3" t="s">
        <v>11</v>
      </c>
      <c r="C2868" s="4">
        <v>2026</v>
      </c>
      <c r="D2868" s="5" t="s">
        <v>12</v>
      </c>
      <c r="E2868" s="4">
        <v>393</v>
      </c>
      <c r="F2868" s="4" t="s">
        <v>2982</v>
      </c>
      <c r="G2868" s="4" t="s">
        <v>1488</v>
      </c>
      <c r="H2868" s="4" t="s">
        <v>15</v>
      </c>
      <c r="I2868" s="4" t="s">
        <v>1489</v>
      </c>
      <c r="J2868" s="4" t="s">
        <v>1490</v>
      </c>
      <c r="K2868" s="4" t="s">
        <v>35</v>
      </c>
      <c r="L2868" s="4" t="s">
        <v>3743</v>
      </c>
      <c r="M2868" s="4" t="s">
        <v>3746</v>
      </c>
      <c r="N2868" s="4" t="s">
        <v>3747</v>
      </c>
      <c r="O2868" s="17">
        <f>INDEX('список ID из СУЭ с должностями'!$A:$F,MATCH(E2868,'список ID из СУЭ с должностями'!$B:$B,0),5)</f>
        <v>0</v>
      </c>
    </row>
    <row r="2869" spans="1:15" ht="285">
      <c r="A2869" s="3" t="s">
        <v>10</v>
      </c>
      <c r="B2869" s="3" t="s">
        <v>11</v>
      </c>
      <c r="C2869" s="4">
        <v>2026</v>
      </c>
      <c r="D2869" s="5" t="s">
        <v>12</v>
      </c>
      <c r="E2869" s="4">
        <v>393</v>
      </c>
      <c r="F2869" s="4" t="s">
        <v>2982</v>
      </c>
      <c r="G2869" s="4" t="s">
        <v>1488</v>
      </c>
      <c r="H2869" s="4" t="s">
        <v>15</v>
      </c>
      <c r="I2869" s="4" t="s">
        <v>1499</v>
      </c>
      <c r="J2869" s="4" t="s">
        <v>2983</v>
      </c>
      <c r="K2869" s="4" t="s">
        <v>35</v>
      </c>
      <c r="L2869" s="4" t="s">
        <v>3743</v>
      </c>
      <c r="M2869" s="4" t="s">
        <v>3746</v>
      </c>
      <c r="N2869" s="4" t="s">
        <v>3747</v>
      </c>
      <c r="O2869" s="17">
        <f>INDEX('список ID из СУЭ с должностями'!$A:$F,MATCH(E2869,'список ID из СУЭ с должностями'!$B:$B,0),5)</f>
        <v>0</v>
      </c>
    </row>
    <row r="2870" spans="1:15" ht="105">
      <c r="A2870" s="3" t="s">
        <v>10</v>
      </c>
      <c r="B2870" s="3" t="s">
        <v>11</v>
      </c>
      <c r="C2870" s="4">
        <v>2026</v>
      </c>
      <c r="D2870" s="5" t="s">
        <v>12</v>
      </c>
      <c r="E2870" s="4">
        <v>393</v>
      </c>
      <c r="F2870" s="4" t="s">
        <v>2982</v>
      </c>
      <c r="G2870" s="4" t="s">
        <v>1488</v>
      </c>
      <c r="H2870" s="4" t="s">
        <v>15</v>
      </c>
      <c r="I2870" s="4" t="s">
        <v>2749</v>
      </c>
      <c r="J2870" s="4" t="s">
        <v>1492</v>
      </c>
      <c r="K2870" s="4" t="s">
        <v>188</v>
      </c>
      <c r="L2870" s="4" t="s">
        <v>3743</v>
      </c>
      <c r="M2870" s="4" t="s">
        <v>3746</v>
      </c>
      <c r="N2870" s="4" t="s">
        <v>3747</v>
      </c>
      <c r="O2870" s="17">
        <f>INDEX('список ID из СУЭ с должностями'!$A:$F,MATCH(E2870,'список ID из СУЭ с должностями'!$B:$B,0),5)</f>
        <v>0</v>
      </c>
    </row>
    <row r="2871" spans="1:15" ht="195">
      <c r="A2871" s="3" t="s">
        <v>10</v>
      </c>
      <c r="B2871" s="3" t="s">
        <v>11</v>
      </c>
      <c r="C2871" s="4">
        <v>2026</v>
      </c>
      <c r="D2871" s="5" t="s">
        <v>12</v>
      </c>
      <c r="E2871" s="4">
        <v>393</v>
      </c>
      <c r="F2871" s="4" t="s">
        <v>2982</v>
      </c>
      <c r="G2871" s="4" t="s">
        <v>1488</v>
      </c>
      <c r="H2871" s="4" t="s">
        <v>15</v>
      </c>
      <c r="I2871" s="4" t="s">
        <v>2737</v>
      </c>
      <c r="J2871" s="4" t="s">
        <v>2984</v>
      </c>
      <c r="K2871" s="4" t="s">
        <v>2741</v>
      </c>
      <c r="L2871" s="4" t="s">
        <v>3743</v>
      </c>
      <c r="M2871" s="4" t="s">
        <v>3746</v>
      </c>
      <c r="N2871" s="4" t="s">
        <v>3778</v>
      </c>
      <c r="O2871" s="17">
        <f>INDEX('список ID из СУЭ с должностями'!$A:$F,MATCH(E2871,'список ID из СУЭ с должностями'!$B:$B,0),5)</f>
        <v>0</v>
      </c>
    </row>
    <row r="2872" spans="1:15" ht="105">
      <c r="A2872" s="3" t="s">
        <v>10</v>
      </c>
      <c r="B2872" s="3" t="s">
        <v>11</v>
      </c>
      <c r="C2872" s="4">
        <v>2026</v>
      </c>
      <c r="D2872" s="5" t="s">
        <v>12</v>
      </c>
      <c r="E2872" s="4">
        <v>393</v>
      </c>
      <c r="F2872" s="4" t="s">
        <v>2982</v>
      </c>
      <c r="G2872" s="4" t="s">
        <v>1488</v>
      </c>
      <c r="H2872" s="4" t="s">
        <v>21</v>
      </c>
      <c r="I2872" s="4" t="s">
        <v>1497</v>
      </c>
      <c r="J2872" s="4" t="s">
        <v>1498</v>
      </c>
      <c r="K2872" s="4" t="s">
        <v>1497</v>
      </c>
      <c r="L2872" s="4" t="s">
        <v>3743</v>
      </c>
      <c r="M2872" s="4" t="s">
        <v>3746</v>
      </c>
      <c r="N2872" s="4" t="s">
        <v>3778</v>
      </c>
      <c r="O2872" s="17">
        <f>INDEX('список ID из СУЭ с должностями'!$A:$F,MATCH(E2872,'список ID из СУЭ с должностями'!$B:$B,0),5)</f>
        <v>0</v>
      </c>
    </row>
    <row r="2873" spans="1:15" ht="180">
      <c r="A2873" s="3" t="s">
        <v>10</v>
      </c>
      <c r="B2873" s="3" t="s">
        <v>11</v>
      </c>
      <c r="C2873" s="4">
        <v>2026</v>
      </c>
      <c r="D2873" s="5" t="s">
        <v>12</v>
      </c>
      <c r="E2873" s="4">
        <v>393</v>
      </c>
      <c r="F2873" s="4" t="s">
        <v>2982</v>
      </c>
      <c r="G2873" s="4" t="s">
        <v>1488</v>
      </c>
      <c r="H2873" s="4" t="s">
        <v>15</v>
      </c>
      <c r="I2873" s="4" t="s">
        <v>1495</v>
      </c>
      <c r="J2873" s="4" t="s">
        <v>1496</v>
      </c>
      <c r="K2873" s="4" t="s">
        <v>33</v>
      </c>
      <c r="L2873" s="4" t="s">
        <v>3743</v>
      </c>
      <c r="M2873" s="4" t="s">
        <v>3746</v>
      </c>
      <c r="N2873" s="4" t="s">
        <v>3778</v>
      </c>
      <c r="O2873" s="17">
        <f>INDEX('список ID из СУЭ с должностями'!$A:$F,MATCH(E2873,'список ID из СУЭ с должностями'!$B:$B,0),5)</f>
        <v>0</v>
      </c>
    </row>
    <row r="2874" spans="1:15" ht="105">
      <c r="A2874" s="3" t="s">
        <v>10</v>
      </c>
      <c r="B2874" s="3" t="s">
        <v>11</v>
      </c>
      <c r="C2874" s="4">
        <v>2026</v>
      </c>
      <c r="D2874" s="5" t="s">
        <v>12</v>
      </c>
      <c r="E2874" s="4">
        <v>393</v>
      </c>
      <c r="F2874" s="4" t="s">
        <v>2982</v>
      </c>
      <c r="G2874" s="4" t="s">
        <v>1488</v>
      </c>
      <c r="H2874" s="4" t="s">
        <v>21</v>
      </c>
      <c r="I2874" s="4" t="s">
        <v>2985</v>
      </c>
      <c r="J2874" s="4" t="s">
        <v>2986</v>
      </c>
      <c r="K2874" s="4" t="s">
        <v>188</v>
      </c>
      <c r="L2874" s="4" t="s">
        <v>3743</v>
      </c>
      <c r="M2874" s="4" t="s">
        <v>3746</v>
      </c>
      <c r="N2874" s="4" t="s">
        <v>3747</v>
      </c>
      <c r="O2874" s="17">
        <f>INDEX('список ID из СУЭ с должностями'!$A:$F,MATCH(E2874,'список ID из СУЭ с должностями'!$B:$B,0),5)</f>
        <v>0</v>
      </c>
    </row>
    <row r="2875" spans="1:15" ht="45">
      <c r="A2875" s="3" t="s">
        <v>10</v>
      </c>
      <c r="B2875" s="3" t="s">
        <v>11</v>
      </c>
      <c r="C2875" s="4">
        <v>2026</v>
      </c>
      <c r="D2875" s="5" t="s">
        <v>12</v>
      </c>
      <c r="E2875" s="4">
        <v>394</v>
      </c>
      <c r="F2875" s="4" t="s">
        <v>1252</v>
      </c>
      <c r="G2875" s="4" t="s">
        <v>1253</v>
      </c>
      <c r="H2875" s="4" t="s">
        <v>21</v>
      </c>
      <c r="I2875" s="4" t="s">
        <v>2987</v>
      </c>
      <c r="J2875" s="4" t="s">
        <v>2988</v>
      </c>
      <c r="K2875" s="4" t="s">
        <v>2989</v>
      </c>
      <c r="L2875" s="4" t="s">
        <v>3743</v>
      </c>
      <c r="M2875" s="4" t="s">
        <v>3750</v>
      </c>
      <c r="N2875" s="4" t="s">
        <v>3780</v>
      </c>
      <c r="O2875" s="17">
        <f>INDEX('список ID из СУЭ с должностями'!$A:$F,MATCH(E2875,'список ID из СУЭ с должностями'!$B:$B,0),5)</f>
        <v>0</v>
      </c>
    </row>
    <row r="2876" spans="1:15" ht="135">
      <c r="A2876" s="3" t="s">
        <v>10</v>
      </c>
      <c r="B2876" s="3" t="s">
        <v>11</v>
      </c>
      <c r="C2876" s="4">
        <v>2026</v>
      </c>
      <c r="D2876" s="5" t="s">
        <v>12</v>
      </c>
      <c r="E2876" s="4">
        <v>394</v>
      </c>
      <c r="F2876" s="4" t="s">
        <v>1252</v>
      </c>
      <c r="G2876" s="4" t="s">
        <v>1253</v>
      </c>
      <c r="H2876" s="4" t="s">
        <v>21</v>
      </c>
      <c r="I2876" s="4" t="s">
        <v>2990</v>
      </c>
      <c r="J2876" s="4" t="s">
        <v>2991</v>
      </c>
      <c r="K2876" s="4" t="s">
        <v>2992</v>
      </c>
      <c r="L2876" s="4" t="s">
        <v>3743</v>
      </c>
      <c r="M2876" s="4" t="s">
        <v>3746</v>
      </c>
      <c r="N2876" s="4" t="s">
        <v>3764</v>
      </c>
      <c r="O2876" s="17">
        <f>INDEX('список ID из СУЭ с должностями'!$A:$F,MATCH(E2876,'список ID из СУЭ с должностями'!$B:$B,0),5)</f>
        <v>0</v>
      </c>
    </row>
    <row r="2877" spans="1:15" ht="45">
      <c r="A2877" s="3" t="s">
        <v>10</v>
      </c>
      <c r="B2877" s="3" t="s">
        <v>11</v>
      </c>
      <c r="C2877" s="4">
        <v>2026</v>
      </c>
      <c r="D2877" s="5" t="s">
        <v>12</v>
      </c>
      <c r="E2877" s="4">
        <v>394</v>
      </c>
      <c r="F2877" s="4" t="s">
        <v>1252</v>
      </c>
      <c r="G2877" s="4" t="s">
        <v>1253</v>
      </c>
      <c r="H2877" s="4" t="s">
        <v>21</v>
      </c>
      <c r="I2877" s="4" t="s">
        <v>2993</v>
      </c>
      <c r="J2877" s="4" t="s">
        <v>2994</v>
      </c>
      <c r="K2877" s="4" t="s">
        <v>23</v>
      </c>
      <c r="L2877" s="4" t="s">
        <v>3743</v>
      </c>
      <c r="M2877" s="4" t="s">
        <v>3748</v>
      </c>
      <c r="N2877" s="4" t="s">
        <v>3752</v>
      </c>
      <c r="O2877" s="17">
        <f>INDEX('список ID из СУЭ с должностями'!$A:$F,MATCH(E2877,'список ID из СУЭ с должностями'!$B:$B,0),5)</f>
        <v>0</v>
      </c>
    </row>
    <row r="2878" spans="1:15" ht="225">
      <c r="A2878" s="3" t="s">
        <v>10</v>
      </c>
      <c r="B2878" s="3" t="s">
        <v>11</v>
      </c>
      <c r="C2878" s="4">
        <v>2026</v>
      </c>
      <c r="D2878" s="5" t="s">
        <v>12</v>
      </c>
      <c r="E2878" s="4">
        <v>394</v>
      </c>
      <c r="F2878" s="4" t="s">
        <v>1252</v>
      </c>
      <c r="G2878" s="4" t="s">
        <v>1253</v>
      </c>
      <c r="H2878" s="4" t="s">
        <v>21</v>
      </c>
      <c r="I2878" s="4" t="s">
        <v>2995</v>
      </c>
      <c r="J2878" s="4" t="s">
        <v>2996</v>
      </c>
      <c r="K2878" s="4" t="s">
        <v>2997</v>
      </c>
      <c r="L2878" s="4" t="s">
        <v>3743</v>
      </c>
      <c r="M2878" s="4" t="s">
        <v>3746</v>
      </c>
      <c r="N2878" s="4" t="s">
        <v>3764</v>
      </c>
      <c r="O2878" s="17">
        <f>INDEX('список ID из СУЭ с должностями'!$A:$F,MATCH(E2878,'список ID из СУЭ с должностями'!$B:$B,0),5)</f>
        <v>0</v>
      </c>
    </row>
    <row r="2879" spans="1:15" ht="105">
      <c r="A2879" s="3" t="s">
        <v>10</v>
      </c>
      <c r="B2879" s="3" t="s">
        <v>11</v>
      </c>
      <c r="C2879" s="4">
        <v>2026</v>
      </c>
      <c r="D2879" s="5" t="s">
        <v>12</v>
      </c>
      <c r="E2879" s="4">
        <v>394</v>
      </c>
      <c r="F2879" s="4" t="s">
        <v>1252</v>
      </c>
      <c r="G2879" s="4" t="s">
        <v>1253</v>
      </c>
      <c r="H2879" s="4" t="s">
        <v>41</v>
      </c>
      <c r="I2879" s="4" t="s">
        <v>2998</v>
      </c>
      <c r="J2879" s="4" t="s">
        <v>2999</v>
      </c>
      <c r="K2879" s="4" t="s">
        <v>3000</v>
      </c>
      <c r="L2879" s="4" t="s">
        <v>3743</v>
      </c>
      <c r="M2879" s="4" t="s">
        <v>3746</v>
      </c>
      <c r="N2879" s="4" t="s">
        <v>3764</v>
      </c>
      <c r="O2879" s="17">
        <f>INDEX('список ID из СУЭ с должностями'!$A:$F,MATCH(E2879,'список ID из СУЭ с должностями'!$B:$B,0),5)</f>
        <v>0</v>
      </c>
    </row>
    <row r="2880" spans="1:15" ht="135">
      <c r="A2880" s="3" t="s">
        <v>10</v>
      </c>
      <c r="B2880" s="3" t="s">
        <v>11</v>
      </c>
      <c r="C2880" s="4">
        <v>2026</v>
      </c>
      <c r="D2880" s="5" t="s">
        <v>12</v>
      </c>
      <c r="E2880" s="4">
        <v>394</v>
      </c>
      <c r="F2880" s="4" t="s">
        <v>1252</v>
      </c>
      <c r="G2880" s="4" t="s">
        <v>1253</v>
      </c>
      <c r="H2880" s="4" t="s">
        <v>21</v>
      </c>
      <c r="I2880" s="4" t="s">
        <v>1257</v>
      </c>
      <c r="J2880" s="4" t="s">
        <v>3001</v>
      </c>
      <c r="K2880" s="4" t="s">
        <v>25</v>
      </c>
      <c r="L2880" s="4" t="s">
        <v>3743</v>
      </c>
      <c r="M2880" s="4" t="s">
        <v>3746</v>
      </c>
      <c r="N2880" s="4" t="s">
        <v>3747</v>
      </c>
      <c r="O2880" s="17">
        <f>INDEX('список ID из СУЭ с должностями'!$A:$F,MATCH(E2880,'список ID из СУЭ с должностями'!$B:$B,0),5)</f>
        <v>0</v>
      </c>
    </row>
    <row r="2881" spans="1:15" ht="75">
      <c r="A2881" s="3" t="s">
        <v>10</v>
      </c>
      <c r="B2881" s="3" t="s">
        <v>11</v>
      </c>
      <c r="C2881" s="4">
        <v>2026</v>
      </c>
      <c r="D2881" s="5" t="s">
        <v>12</v>
      </c>
      <c r="E2881" s="4">
        <v>394</v>
      </c>
      <c r="F2881" s="4" t="s">
        <v>1252</v>
      </c>
      <c r="G2881" s="4" t="s">
        <v>1253</v>
      </c>
      <c r="H2881" s="4" t="s">
        <v>15</v>
      </c>
      <c r="I2881" s="4" t="s">
        <v>3002</v>
      </c>
      <c r="J2881" s="4" t="s">
        <v>132</v>
      </c>
      <c r="K2881" s="4" t="s">
        <v>20</v>
      </c>
      <c r="L2881" s="4" t="s">
        <v>3742</v>
      </c>
      <c r="M2881" s="4" t="s">
        <v>3746</v>
      </c>
      <c r="N2881" s="4" t="s">
        <v>3747</v>
      </c>
      <c r="O2881" s="17">
        <f>INDEX('список ID из СУЭ с должностями'!$A:$F,MATCH(E2881,'список ID из СУЭ с должностями'!$B:$B,0),5)</f>
        <v>0</v>
      </c>
    </row>
    <row r="2882" spans="1:15" ht="45">
      <c r="A2882" s="3" t="s">
        <v>10</v>
      </c>
      <c r="B2882" s="3" t="s">
        <v>11</v>
      </c>
      <c r="C2882" s="4">
        <v>2026</v>
      </c>
      <c r="D2882" s="5" t="s">
        <v>12</v>
      </c>
      <c r="E2882" s="4">
        <v>395</v>
      </c>
      <c r="F2882" s="4" t="s">
        <v>193</v>
      </c>
      <c r="G2882" s="4" t="s">
        <v>2517</v>
      </c>
      <c r="H2882" s="4" t="s">
        <v>15</v>
      </c>
      <c r="I2882" s="4" t="s">
        <v>984</v>
      </c>
      <c r="J2882" s="4" t="s">
        <v>2008</v>
      </c>
      <c r="K2882" s="4" t="s">
        <v>66</v>
      </c>
      <c r="L2882" s="4" t="s">
        <v>3742</v>
      </c>
      <c r="M2882" s="4" t="s">
        <v>3746</v>
      </c>
      <c r="N2882" s="4" t="s">
        <v>3747</v>
      </c>
      <c r="O2882" s="17" t="str">
        <f>INDEX('список ID из СУЭ с должностями'!$A:$F,MATCH(E2882,'список ID из СУЭ с должностями'!$B:$B,0),5)</f>
        <v>Инж смены</v>
      </c>
    </row>
    <row r="2883" spans="1:15" ht="75">
      <c r="A2883" s="3" t="s">
        <v>10</v>
      </c>
      <c r="B2883" s="3" t="s">
        <v>11</v>
      </c>
      <c r="C2883" s="4">
        <v>2026</v>
      </c>
      <c r="D2883" s="5" t="s">
        <v>12</v>
      </c>
      <c r="E2883" s="4">
        <v>395</v>
      </c>
      <c r="F2883" s="4" t="s">
        <v>193</v>
      </c>
      <c r="G2883" s="4" t="s">
        <v>2517</v>
      </c>
      <c r="H2883" s="4" t="s">
        <v>15</v>
      </c>
      <c r="I2883" s="4" t="s">
        <v>817</v>
      </c>
      <c r="J2883" s="4" t="s">
        <v>196</v>
      </c>
      <c r="K2883" s="4" t="s">
        <v>20</v>
      </c>
      <c r="L2883" s="4" t="s">
        <v>3742</v>
      </c>
      <c r="M2883" s="4" t="s">
        <v>3746</v>
      </c>
      <c r="N2883" s="4" t="s">
        <v>3747</v>
      </c>
      <c r="O2883" s="17" t="str">
        <f>INDEX('список ID из СУЭ с должностями'!$A:$F,MATCH(E2883,'список ID из СУЭ с должностями'!$B:$B,0),5)</f>
        <v>Инж смены</v>
      </c>
    </row>
    <row r="2884" spans="1:15" ht="45">
      <c r="A2884" s="3" t="s">
        <v>10</v>
      </c>
      <c r="B2884" s="3" t="s">
        <v>11</v>
      </c>
      <c r="C2884" s="4">
        <v>2026</v>
      </c>
      <c r="D2884" s="5" t="s">
        <v>12</v>
      </c>
      <c r="E2884" s="4">
        <v>395</v>
      </c>
      <c r="F2884" s="4" t="s">
        <v>193</v>
      </c>
      <c r="G2884" s="4" t="s">
        <v>2517</v>
      </c>
      <c r="H2884" s="4" t="s">
        <v>15</v>
      </c>
      <c r="I2884" s="4" t="s">
        <v>48</v>
      </c>
      <c r="J2884" s="4" t="s">
        <v>187</v>
      </c>
      <c r="K2884" s="4" t="s">
        <v>35</v>
      </c>
      <c r="L2884" s="4" t="s">
        <v>3743</v>
      </c>
      <c r="M2884" s="4" t="s">
        <v>3746</v>
      </c>
      <c r="N2884" s="4" t="s">
        <v>3747</v>
      </c>
      <c r="O2884" s="17" t="str">
        <f>INDEX('список ID из СУЭ с должностями'!$A:$F,MATCH(E2884,'список ID из СУЭ с должностями'!$B:$B,0),5)</f>
        <v>Инж смены</v>
      </c>
    </row>
    <row r="2885" spans="1:15" ht="150">
      <c r="A2885" s="3" t="s">
        <v>10</v>
      </c>
      <c r="B2885" s="3" t="s">
        <v>11</v>
      </c>
      <c r="C2885" s="4">
        <v>2026</v>
      </c>
      <c r="D2885" s="5" t="s">
        <v>12</v>
      </c>
      <c r="E2885" s="4">
        <v>395</v>
      </c>
      <c r="F2885" s="4" t="s">
        <v>193</v>
      </c>
      <c r="G2885" s="4" t="s">
        <v>2517</v>
      </c>
      <c r="H2885" s="4" t="s">
        <v>15</v>
      </c>
      <c r="I2885" s="4" t="s">
        <v>46</v>
      </c>
      <c r="J2885" s="4" t="s">
        <v>2009</v>
      </c>
      <c r="K2885" s="4" t="s">
        <v>20</v>
      </c>
      <c r="L2885" s="4" t="s">
        <v>3743</v>
      </c>
      <c r="M2885" s="4" t="s">
        <v>3746</v>
      </c>
      <c r="N2885" s="4" t="s">
        <v>3747</v>
      </c>
      <c r="O2885" s="17" t="str">
        <f>INDEX('список ID из СУЭ с должностями'!$A:$F,MATCH(E2885,'список ID из СУЭ с должностями'!$B:$B,0),5)</f>
        <v>Инж смены</v>
      </c>
    </row>
    <row r="2886" spans="1:15" ht="90">
      <c r="A2886" s="3" t="s">
        <v>10</v>
      </c>
      <c r="B2886" s="3" t="s">
        <v>11</v>
      </c>
      <c r="C2886" s="4">
        <v>2026</v>
      </c>
      <c r="D2886" s="5" t="s">
        <v>12</v>
      </c>
      <c r="E2886" s="4">
        <v>396</v>
      </c>
      <c r="F2886" s="4" t="s">
        <v>88</v>
      </c>
      <c r="G2886" s="4" t="s">
        <v>1659</v>
      </c>
      <c r="H2886" s="4" t="s">
        <v>15</v>
      </c>
      <c r="I2886" s="4" t="s">
        <v>3003</v>
      </c>
      <c r="J2886" s="4" t="s">
        <v>27</v>
      </c>
      <c r="K2886" s="4" t="s">
        <v>25</v>
      </c>
      <c r="L2886" s="4" t="s">
        <v>3743</v>
      </c>
      <c r="M2886" s="4" t="s">
        <v>3746</v>
      </c>
      <c r="N2886" s="4" t="s">
        <v>3747</v>
      </c>
      <c r="O2886" s="17">
        <f>INDEX('список ID из СУЭ с должностями'!$A:$F,MATCH(E2886,'список ID из СУЭ с должностями'!$B:$B,0),5)</f>
        <v>0</v>
      </c>
    </row>
    <row r="2887" spans="1:15" ht="210">
      <c r="A2887" s="3" t="s">
        <v>10</v>
      </c>
      <c r="B2887" s="3" t="s">
        <v>11</v>
      </c>
      <c r="C2887" s="4">
        <v>2026</v>
      </c>
      <c r="D2887" s="5" t="s">
        <v>12</v>
      </c>
      <c r="E2887" s="4">
        <v>396</v>
      </c>
      <c r="F2887" s="4" t="s">
        <v>88</v>
      </c>
      <c r="G2887" s="4" t="s">
        <v>1659</v>
      </c>
      <c r="H2887" s="4" t="s">
        <v>15</v>
      </c>
      <c r="I2887" s="4" t="s">
        <v>3004</v>
      </c>
      <c r="J2887" s="4" t="s">
        <v>3005</v>
      </c>
      <c r="K2887" s="4" t="s">
        <v>30</v>
      </c>
      <c r="L2887" s="4" t="s">
        <v>3743</v>
      </c>
      <c r="M2887" s="4" t="s">
        <v>3746</v>
      </c>
      <c r="N2887" s="4" t="s">
        <v>3747</v>
      </c>
      <c r="O2887" s="17">
        <f>INDEX('список ID из СУЭ с должностями'!$A:$F,MATCH(E2887,'список ID из СУЭ с должностями'!$B:$B,0),5)</f>
        <v>0</v>
      </c>
    </row>
    <row r="2888" spans="1:15" ht="90">
      <c r="A2888" s="3" t="s">
        <v>10</v>
      </c>
      <c r="B2888" s="3" t="s">
        <v>11</v>
      </c>
      <c r="C2888" s="4">
        <v>2026</v>
      </c>
      <c r="D2888" s="5" t="s">
        <v>12</v>
      </c>
      <c r="E2888" s="4">
        <v>396</v>
      </c>
      <c r="F2888" s="4" t="s">
        <v>88</v>
      </c>
      <c r="G2888" s="4" t="s">
        <v>1659</v>
      </c>
      <c r="H2888" s="4" t="s">
        <v>15</v>
      </c>
      <c r="I2888" s="4" t="s">
        <v>3006</v>
      </c>
      <c r="J2888" s="4" t="s">
        <v>3007</v>
      </c>
      <c r="K2888" s="4" t="s">
        <v>38</v>
      </c>
      <c r="L2888" s="4" t="s">
        <v>3743</v>
      </c>
      <c r="M2888" s="4" t="s">
        <v>3746</v>
      </c>
      <c r="N2888" s="4" t="s">
        <v>3747</v>
      </c>
      <c r="O2888" s="17">
        <f>INDEX('список ID из СУЭ с должностями'!$A:$F,MATCH(E2888,'список ID из СУЭ с должностями'!$B:$B,0),5)</f>
        <v>0</v>
      </c>
    </row>
    <row r="2889" spans="1:15" ht="409.5">
      <c r="A2889" s="3" t="s">
        <v>10</v>
      </c>
      <c r="B2889" s="3" t="s">
        <v>11</v>
      </c>
      <c r="C2889" s="4">
        <v>2026</v>
      </c>
      <c r="D2889" s="5" t="s">
        <v>12</v>
      </c>
      <c r="E2889" s="4">
        <v>396</v>
      </c>
      <c r="F2889" s="4" t="s">
        <v>88</v>
      </c>
      <c r="G2889" s="4" t="s">
        <v>1659</v>
      </c>
      <c r="H2889" s="4" t="s">
        <v>15</v>
      </c>
      <c r="I2889" s="4" t="s">
        <v>35</v>
      </c>
      <c r="J2889" s="4" t="s">
        <v>3008</v>
      </c>
      <c r="K2889" s="4" t="s">
        <v>35</v>
      </c>
      <c r="L2889" s="4" t="s">
        <v>3743</v>
      </c>
      <c r="M2889" s="4" t="s">
        <v>3746</v>
      </c>
      <c r="N2889" s="4" t="s">
        <v>3747</v>
      </c>
      <c r="O2889" s="17">
        <f>INDEX('список ID из СУЭ с должностями'!$A:$F,MATCH(E2889,'список ID из СУЭ с должностями'!$B:$B,0),5)</f>
        <v>0</v>
      </c>
    </row>
    <row r="2890" spans="1:15" ht="90">
      <c r="A2890" s="3" t="s">
        <v>10</v>
      </c>
      <c r="B2890" s="3" t="s">
        <v>11</v>
      </c>
      <c r="C2890" s="4">
        <v>2026</v>
      </c>
      <c r="D2890" s="5" t="s">
        <v>12</v>
      </c>
      <c r="E2890" s="4">
        <v>396</v>
      </c>
      <c r="F2890" s="4" t="s">
        <v>88</v>
      </c>
      <c r="G2890" s="4" t="s">
        <v>1659</v>
      </c>
      <c r="H2890" s="4" t="s">
        <v>21</v>
      </c>
      <c r="I2890" s="4" t="s">
        <v>3009</v>
      </c>
      <c r="J2890" s="4" t="s">
        <v>3010</v>
      </c>
      <c r="K2890" s="4" t="s">
        <v>66</v>
      </c>
      <c r="L2890" s="4" t="s">
        <v>3743</v>
      </c>
      <c r="M2890" s="4" t="s">
        <v>3746</v>
      </c>
      <c r="N2890" s="4" t="s">
        <v>3747</v>
      </c>
      <c r="O2890" s="17">
        <f>INDEX('список ID из СУЭ с должностями'!$A:$F,MATCH(E2890,'список ID из СУЭ с должностями'!$B:$B,0),5)</f>
        <v>0</v>
      </c>
    </row>
    <row r="2891" spans="1:15" ht="90">
      <c r="A2891" s="3" t="s">
        <v>10</v>
      </c>
      <c r="B2891" s="3" t="s">
        <v>11</v>
      </c>
      <c r="C2891" s="4">
        <v>2026</v>
      </c>
      <c r="D2891" s="5" t="s">
        <v>12</v>
      </c>
      <c r="E2891" s="4">
        <v>396</v>
      </c>
      <c r="F2891" s="4" t="s">
        <v>88</v>
      </c>
      <c r="G2891" s="4" t="s">
        <v>1659</v>
      </c>
      <c r="H2891" s="4" t="s">
        <v>21</v>
      </c>
      <c r="I2891" s="4" t="s">
        <v>1114</v>
      </c>
      <c r="J2891" s="4" t="s">
        <v>115</v>
      </c>
      <c r="K2891" s="4" t="s">
        <v>30</v>
      </c>
      <c r="L2891" s="4" t="s">
        <v>3742</v>
      </c>
      <c r="M2891" s="4" t="s">
        <v>3746</v>
      </c>
      <c r="N2891" s="4" t="s">
        <v>3747</v>
      </c>
      <c r="O2891" s="17">
        <f>INDEX('список ID из СУЭ с должностями'!$A:$F,MATCH(E2891,'список ID из СУЭ с должностями'!$B:$B,0),5)</f>
        <v>0</v>
      </c>
    </row>
    <row r="2892" spans="1:15" ht="120">
      <c r="A2892" s="3" t="s">
        <v>10</v>
      </c>
      <c r="B2892" s="3" t="s">
        <v>11</v>
      </c>
      <c r="C2892" s="4">
        <v>2026</v>
      </c>
      <c r="D2892" s="5" t="s">
        <v>12</v>
      </c>
      <c r="E2892" s="4">
        <v>396</v>
      </c>
      <c r="F2892" s="4" t="s">
        <v>88</v>
      </c>
      <c r="G2892" s="4" t="s">
        <v>1659</v>
      </c>
      <c r="H2892" s="4" t="s">
        <v>21</v>
      </c>
      <c r="I2892" s="4" t="s">
        <v>2808</v>
      </c>
      <c r="J2892" s="4" t="s">
        <v>3011</v>
      </c>
      <c r="K2892" s="4" t="s">
        <v>52</v>
      </c>
      <c r="L2892" s="4" t="s">
        <v>3743</v>
      </c>
      <c r="M2892" s="4" t="s">
        <v>3746</v>
      </c>
      <c r="N2892" s="4" t="s">
        <v>3747</v>
      </c>
      <c r="O2892" s="17">
        <f>INDEX('список ID из СУЭ с должностями'!$A:$F,MATCH(E2892,'список ID из СУЭ с должностями'!$B:$B,0),5)</f>
        <v>0</v>
      </c>
    </row>
    <row r="2893" spans="1:15" ht="409.5">
      <c r="A2893" s="3" t="s">
        <v>10</v>
      </c>
      <c r="B2893" s="3" t="s">
        <v>11</v>
      </c>
      <c r="C2893" s="4">
        <v>2026</v>
      </c>
      <c r="D2893" s="5" t="s">
        <v>12</v>
      </c>
      <c r="E2893" s="4">
        <v>396</v>
      </c>
      <c r="F2893" s="4" t="s">
        <v>88</v>
      </c>
      <c r="G2893" s="4" t="s">
        <v>1659</v>
      </c>
      <c r="H2893" s="4" t="s">
        <v>15</v>
      </c>
      <c r="I2893" s="4" t="s">
        <v>28</v>
      </c>
      <c r="J2893" s="4" t="s">
        <v>2471</v>
      </c>
      <c r="K2893" s="4" t="s">
        <v>30</v>
      </c>
      <c r="L2893" s="4" t="s">
        <v>3743</v>
      </c>
      <c r="M2893" s="4" t="s">
        <v>3746</v>
      </c>
      <c r="N2893" s="4" t="s">
        <v>3747</v>
      </c>
      <c r="O2893" s="17">
        <f>INDEX('список ID из СУЭ с должностями'!$A:$F,MATCH(E2893,'список ID из СУЭ с должностями'!$B:$B,0),5)</f>
        <v>0</v>
      </c>
    </row>
    <row r="2894" spans="1:15" ht="90">
      <c r="A2894" s="3" t="s">
        <v>10</v>
      </c>
      <c r="B2894" s="3" t="s">
        <v>11</v>
      </c>
      <c r="C2894" s="4">
        <v>2026</v>
      </c>
      <c r="D2894" s="5" t="s">
        <v>12</v>
      </c>
      <c r="E2894" s="4">
        <v>396</v>
      </c>
      <c r="F2894" s="4" t="s">
        <v>88</v>
      </c>
      <c r="G2894" s="4" t="s">
        <v>1659</v>
      </c>
      <c r="H2894" s="4" t="s">
        <v>15</v>
      </c>
      <c r="I2894" s="4" t="s">
        <v>31</v>
      </c>
      <c r="J2894" s="4" t="s">
        <v>32</v>
      </c>
      <c r="K2894" s="4" t="s">
        <v>30</v>
      </c>
      <c r="L2894" s="4" t="s">
        <v>3742</v>
      </c>
      <c r="M2894" s="4" t="s">
        <v>3746</v>
      </c>
      <c r="N2894" s="4" t="s">
        <v>3747</v>
      </c>
      <c r="O2894" s="17">
        <f>INDEX('список ID из СУЭ с должностями'!$A:$F,MATCH(E2894,'список ID из СУЭ с должностями'!$B:$B,0),5)</f>
        <v>0</v>
      </c>
    </row>
    <row r="2895" spans="1:15" ht="150">
      <c r="A2895" s="3" t="s">
        <v>10</v>
      </c>
      <c r="B2895" s="3" t="s">
        <v>11</v>
      </c>
      <c r="C2895" s="4">
        <v>2026</v>
      </c>
      <c r="D2895" s="5" t="s">
        <v>12</v>
      </c>
      <c r="E2895" s="4">
        <v>396</v>
      </c>
      <c r="F2895" s="4" t="s">
        <v>88</v>
      </c>
      <c r="G2895" s="4" t="s">
        <v>1659</v>
      </c>
      <c r="H2895" s="4" t="s">
        <v>15</v>
      </c>
      <c r="I2895" s="4" t="s">
        <v>36</v>
      </c>
      <c r="J2895" s="4" t="s">
        <v>37</v>
      </c>
      <c r="K2895" s="4" t="s">
        <v>38</v>
      </c>
      <c r="L2895" s="4" t="s">
        <v>3743</v>
      </c>
      <c r="M2895" s="4" t="s">
        <v>3746</v>
      </c>
      <c r="N2895" s="4" t="s">
        <v>3747</v>
      </c>
      <c r="O2895" s="17">
        <f>INDEX('список ID из СУЭ с должностями'!$A:$F,MATCH(E2895,'список ID из СУЭ с должностями'!$B:$B,0),5)</f>
        <v>0</v>
      </c>
    </row>
    <row r="2896" spans="1:15" ht="120">
      <c r="A2896" s="3" t="s">
        <v>10</v>
      </c>
      <c r="B2896" s="3" t="s">
        <v>11</v>
      </c>
      <c r="C2896" s="4">
        <v>2026</v>
      </c>
      <c r="D2896" s="5" t="s">
        <v>12</v>
      </c>
      <c r="E2896" s="4">
        <v>397</v>
      </c>
      <c r="F2896" s="4" t="s">
        <v>454</v>
      </c>
      <c r="G2896" s="4" t="s">
        <v>455</v>
      </c>
      <c r="H2896" s="4" t="s">
        <v>15</v>
      </c>
      <c r="I2896" s="4" t="s">
        <v>456</v>
      </c>
      <c r="J2896" s="4" t="s">
        <v>457</v>
      </c>
      <c r="K2896" s="4" t="s">
        <v>23</v>
      </c>
      <c r="L2896" s="4" t="s">
        <v>3743</v>
      </c>
      <c r="M2896" s="4" t="s">
        <v>3748</v>
      </c>
      <c r="N2896" s="4" t="s">
        <v>3752</v>
      </c>
      <c r="O2896" s="17">
        <f>INDEX('список ID из СУЭ с должностями'!$A:$F,MATCH(E2896,'список ID из СУЭ с должностями'!$B:$B,0),5)</f>
        <v>0</v>
      </c>
    </row>
    <row r="2897" spans="1:15" ht="375">
      <c r="A2897" s="3" t="s">
        <v>10</v>
      </c>
      <c r="B2897" s="3" t="s">
        <v>11</v>
      </c>
      <c r="C2897" s="4">
        <v>2026</v>
      </c>
      <c r="D2897" s="5" t="s">
        <v>12</v>
      </c>
      <c r="E2897" s="4">
        <v>397</v>
      </c>
      <c r="F2897" s="4" t="s">
        <v>454</v>
      </c>
      <c r="G2897" s="4" t="s">
        <v>455</v>
      </c>
      <c r="H2897" s="4" t="s">
        <v>15</v>
      </c>
      <c r="I2897" s="4" t="s">
        <v>460</v>
      </c>
      <c r="J2897" s="4" t="s">
        <v>461</v>
      </c>
      <c r="K2897" s="4" t="s">
        <v>38</v>
      </c>
      <c r="L2897" s="4" t="s">
        <v>3743</v>
      </c>
      <c r="M2897" s="4" t="s">
        <v>3746</v>
      </c>
      <c r="N2897" s="4" t="s">
        <v>3747</v>
      </c>
      <c r="O2897" s="17">
        <f>INDEX('список ID из СУЭ с должностями'!$A:$F,MATCH(E2897,'список ID из СУЭ с должностями'!$B:$B,0),5)</f>
        <v>0</v>
      </c>
    </row>
    <row r="2898" spans="1:15" ht="120">
      <c r="A2898" s="3" t="s">
        <v>10</v>
      </c>
      <c r="B2898" s="3" t="s">
        <v>11</v>
      </c>
      <c r="C2898" s="4">
        <v>2026</v>
      </c>
      <c r="D2898" s="5" t="s">
        <v>12</v>
      </c>
      <c r="E2898" s="4">
        <v>397</v>
      </c>
      <c r="F2898" s="4" t="s">
        <v>454</v>
      </c>
      <c r="G2898" s="4" t="s">
        <v>455</v>
      </c>
      <c r="H2898" s="4" t="s">
        <v>15</v>
      </c>
      <c r="I2898" s="4" t="s">
        <v>462</v>
      </c>
      <c r="J2898" s="4" t="s">
        <v>463</v>
      </c>
      <c r="K2898" s="4" t="s">
        <v>35</v>
      </c>
      <c r="L2898" s="4" t="s">
        <v>3742</v>
      </c>
      <c r="M2898" s="4" t="s">
        <v>3746</v>
      </c>
      <c r="N2898" s="4" t="s">
        <v>3747</v>
      </c>
      <c r="O2898" s="17">
        <f>INDEX('список ID из СУЭ с должностями'!$A:$F,MATCH(E2898,'список ID из СУЭ с должностями'!$B:$B,0),5)</f>
        <v>0</v>
      </c>
    </row>
    <row r="2899" spans="1:15" ht="409.5">
      <c r="A2899" s="3" t="s">
        <v>10</v>
      </c>
      <c r="B2899" s="3" t="s">
        <v>11</v>
      </c>
      <c r="C2899" s="4">
        <v>2026</v>
      </c>
      <c r="D2899" s="5" t="s">
        <v>12</v>
      </c>
      <c r="E2899" s="4">
        <v>397</v>
      </c>
      <c r="F2899" s="4" t="s">
        <v>454</v>
      </c>
      <c r="G2899" s="4" t="s">
        <v>455</v>
      </c>
      <c r="H2899" s="4" t="s">
        <v>15</v>
      </c>
      <c r="I2899" s="4" t="s">
        <v>464</v>
      </c>
      <c r="J2899" s="4" t="s">
        <v>465</v>
      </c>
      <c r="K2899" s="4" t="s">
        <v>66</v>
      </c>
      <c r="L2899" s="4" t="s">
        <v>3743</v>
      </c>
      <c r="M2899" s="4" t="s">
        <v>3746</v>
      </c>
      <c r="N2899" s="4" t="s">
        <v>3747</v>
      </c>
      <c r="O2899" s="17">
        <f>INDEX('список ID из СУЭ с должностями'!$A:$F,MATCH(E2899,'список ID из СУЭ с должностями'!$B:$B,0),5)</f>
        <v>0</v>
      </c>
    </row>
    <row r="2900" spans="1:15" ht="120">
      <c r="A2900" s="3" t="s">
        <v>10</v>
      </c>
      <c r="B2900" s="3" t="s">
        <v>11</v>
      </c>
      <c r="C2900" s="4">
        <v>2026</v>
      </c>
      <c r="D2900" s="5" t="s">
        <v>12</v>
      </c>
      <c r="E2900" s="4">
        <v>397</v>
      </c>
      <c r="F2900" s="4" t="s">
        <v>454</v>
      </c>
      <c r="G2900" s="4" t="s">
        <v>455</v>
      </c>
      <c r="H2900" s="4" t="s">
        <v>15</v>
      </c>
      <c r="I2900" s="4" t="s">
        <v>466</v>
      </c>
      <c r="J2900" s="4" t="s">
        <v>467</v>
      </c>
      <c r="K2900" s="4" t="s">
        <v>30</v>
      </c>
      <c r="L2900" s="4" t="s">
        <v>3742</v>
      </c>
      <c r="M2900" s="4" t="s">
        <v>3746</v>
      </c>
      <c r="N2900" s="4" t="s">
        <v>3747</v>
      </c>
      <c r="O2900" s="17">
        <f>INDEX('список ID из СУЭ с должностями'!$A:$F,MATCH(E2900,'список ID из СУЭ с должностями'!$B:$B,0),5)</f>
        <v>0</v>
      </c>
    </row>
    <row r="2901" spans="1:15" ht="120">
      <c r="A2901" s="3" t="s">
        <v>10</v>
      </c>
      <c r="B2901" s="3" t="s">
        <v>11</v>
      </c>
      <c r="C2901" s="4">
        <v>2026</v>
      </c>
      <c r="D2901" s="5" t="s">
        <v>12</v>
      </c>
      <c r="E2901" s="4">
        <v>397</v>
      </c>
      <c r="F2901" s="4" t="s">
        <v>454</v>
      </c>
      <c r="G2901" s="4" t="s">
        <v>455</v>
      </c>
      <c r="H2901" s="4" t="s">
        <v>15</v>
      </c>
      <c r="I2901" s="4" t="s">
        <v>468</v>
      </c>
      <c r="J2901" s="4" t="s">
        <v>79</v>
      </c>
      <c r="K2901" s="4" t="s">
        <v>30</v>
      </c>
      <c r="L2901" s="4" t="s">
        <v>3742</v>
      </c>
      <c r="M2901" s="4" t="s">
        <v>3746</v>
      </c>
      <c r="N2901" s="4" t="s">
        <v>3747</v>
      </c>
      <c r="O2901" s="17">
        <f>INDEX('список ID из СУЭ с должностями'!$A:$F,MATCH(E2901,'список ID из СУЭ с должностями'!$B:$B,0),5)</f>
        <v>0</v>
      </c>
    </row>
    <row r="2902" spans="1:15" ht="210">
      <c r="A2902" s="3" t="s">
        <v>10</v>
      </c>
      <c r="B2902" s="3" t="s">
        <v>11</v>
      </c>
      <c r="C2902" s="4">
        <v>2026</v>
      </c>
      <c r="D2902" s="5" t="s">
        <v>12</v>
      </c>
      <c r="E2902" s="4">
        <v>397</v>
      </c>
      <c r="F2902" s="4" t="s">
        <v>454</v>
      </c>
      <c r="G2902" s="4" t="s">
        <v>455</v>
      </c>
      <c r="H2902" s="4" t="s">
        <v>15</v>
      </c>
      <c r="I2902" s="4" t="s">
        <v>469</v>
      </c>
      <c r="J2902" s="4" t="s">
        <v>470</v>
      </c>
      <c r="K2902" s="4" t="s">
        <v>30</v>
      </c>
      <c r="L2902" s="4" t="s">
        <v>3743</v>
      </c>
      <c r="M2902" s="4" t="s">
        <v>3746</v>
      </c>
      <c r="N2902" s="4" t="s">
        <v>3747</v>
      </c>
      <c r="O2902" s="17">
        <f>INDEX('список ID из СУЭ с должностями'!$A:$F,MATCH(E2902,'список ID из СУЭ с должностями'!$B:$B,0),5)</f>
        <v>0</v>
      </c>
    </row>
    <row r="2903" spans="1:15" ht="120">
      <c r="A2903" s="3" t="s">
        <v>10</v>
      </c>
      <c r="B2903" s="3" t="s">
        <v>11</v>
      </c>
      <c r="C2903" s="4">
        <v>2026</v>
      </c>
      <c r="D2903" s="5" t="s">
        <v>12</v>
      </c>
      <c r="E2903" s="4">
        <v>397</v>
      </c>
      <c r="F2903" s="4" t="s">
        <v>454</v>
      </c>
      <c r="G2903" s="4" t="s">
        <v>455</v>
      </c>
      <c r="H2903" s="4" t="s">
        <v>15</v>
      </c>
      <c r="I2903" s="4" t="s">
        <v>471</v>
      </c>
      <c r="J2903" s="4" t="s">
        <v>463</v>
      </c>
      <c r="K2903" s="4" t="s">
        <v>188</v>
      </c>
      <c r="L2903" s="4" t="s">
        <v>3742</v>
      </c>
      <c r="M2903" s="4" t="s">
        <v>3746</v>
      </c>
      <c r="N2903" s="4" t="s">
        <v>3747</v>
      </c>
      <c r="O2903" s="17">
        <f>INDEX('список ID из СУЭ с должностями'!$A:$F,MATCH(E2903,'список ID из СУЭ с должностями'!$B:$B,0),5)</f>
        <v>0</v>
      </c>
    </row>
    <row r="2904" spans="1:15" ht="409.5">
      <c r="A2904" s="3" t="s">
        <v>10</v>
      </c>
      <c r="B2904" s="3" t="s">
        <v>11</v>
      </c>
      <c r="C2904" s="4">
        <v>2026</v>
      </c>
      <c r="D2904" s="5" t="s">
        <v>12</v>
      </c>
      <c r="E2904" s="4">
        <v>397</v>
      </c>
      <c r="F2904" s="4" t="s">
        <v>454</v>
      </c>
      <c r="G2904" s="4" t="s">
        <v>455</v>
      </c>
      <c r="H2904" s="4" t="s">
        <v>15</v>
      </c>
      <c r="I2904" s="4" t="s">
        <v>472</v>
      </c>
      <c r="J2904" s="4" t="s">
        <v>473</v>
      </c>
      <c r="K2904" s="4" t="s">
        <v>25</v>
      </c>
      <c r="L2904" s="4" t="s">
        <v>3743</v>
      </c>
      <c r="M2904" s="4" t="s">
        <v>3746</v>
      </c>
      <c r="N2904" s="4" t="s">
        <v>3747</v>
      </c>
      <c r="O2904" s="17">
        <f>INDEX('список ID из СУЭ с должностями'!$A:$F,MATCH(E2904,'список ID из СУЭ с должностями'!$B:$B,0),5)</f>
        <v>0</v>
      </c>
    </row>
    <row r="2905" spans="1:15" ht="135">
      <c r="A2905" s="3" t="s">
        <v>10</v>
      </c>
      <c r="B2905" s="3" t="s">
        <v>11</v>
      </c>
      <c r="C2905" s="4">
        <v>2026</v>
      </c>
      <c r="D2905" s="5" t="s">
        <v>12</v>
      </c>
      <c r="E2905" s="4">
        <v>398</v>
      </c>
      <c r="F2905" s="4" t="s">
        <v>454</v>
      </c>
      <c r="G2905" s="4" t="s">
        <v>3012</v>
      </c>
      <c r="H2905" s="4" t="s">
        <v>15</v>
      </c>
      <c r="I2905" s="4" t="s">
        <v>806</v>
      </c>
      <c r="J2905" s="4" t="s">
        <v>3013</v>
      </c>
      <c r="K2905" s="4" t="s">
        <v>38</v>
      </c>
      <c r="L2905" s="4" t="s">
        <v>3743</v>
      </c>
      <c r="M2905" s="4" t="s">
        <v>3746</v>
      </c>
      <c r="N2905" s="4" t="s">
        <v>3747</v>
      </c>
      <c r="O2905" s="17">
        <f>INDEX('список ID из СУЭ с должностями'!$A:$F,MATCH(E2905,'список ID из СУЭ с должностями'!$B:$B,0),5)</f>
        <v>0</v>
      </c>
    </row>
    <row r="2906" spans="1:15" ht="135">
      <c r="A2906" s="3" t="s">
        <v>10</v>
      </c>
      <c r="B2906" s="3" t="s">
        <v>11</v>
      </c>
      <c r="C2906" s="4">
        <v>2026</v>
      </c>
      <c r="D2906" s="5" t="s">
        <v>12</v>
      </c>
      <c r="E2906" s="4">
        <v>398</v>
      </c>
      <c r="F2906" s="4" t="s">
        <v>454</v>
      </c>
      <c r="G2906" s="4" t="s">
        <v>3012</v>
      </c>
      <c r="H2906" s="4" t="s">
        <v>15</v>
      </c>
      <c r="I2906" s="4" t="s">
        <v>855</v>
      </c>
      <c r="J2906" s="4" t="s">
        <v>3014</v>
      </c>
      <c r="K2906" s="4" t="s">
        <v>20</v>
      </c>
      <c r="L2906" s="4" t="s">
        <v>3743</v>
      </c>
      <c r="M2906" s="4" t="s">
        <v>3746</v>
      </c>
      <c r="N2906" s="4" t="s">
        <v>3747</v>
      </c>
      <c r="O2906" s="17">
        <f>INDEX('список ID из СУЭ с должностями'!$A:$F,MATCH(E2906,'список ID из СУЭ с должностями'!$B:$B,0),5)</f>
        <v>0</v>
      </c>
    </row>
    <row r="2907" spans="1:15" ht="195">
      <c r="A2907" s="3" t="s">
        <v>10</v>
      </c>
      <c r="B2907" s="3" t="s">
        <v>11</v>
      </c>
      <c r="C2907" s="4">
        <v>2026</v>
      </c>
      <c r="D2907" s="5" t="s">
        <v>12</v>
      </c>
      <c r="E2907" s="4">
        <v>398</v>
      </c>
      <c r="F2907" s="4" t="s">
        <v>454</v>
      </c>
      <c r="G2907" s="4" t="s">
        <v>3012</v>
      </c>
      <c r="H2907" s="4" t="s">
        <v>15</v>
      </c>
      <c r="I2907" s="4" t="s">
        <v>857</v>
      </c>
      <c r="J2907" s="4" t="s">
        <v>3015</v>
      </c>
      <c r="K2907" s="4" t="s">
        <v>35</v>
      </c>
      <c r="L2907" s="4" t="s">
        <v>3743</v>
      </c>
      <c r="M2907" s="4" t="s">
        <v>3746</v>
      </c>
      <c r="N2907" s="4" t="s">
        <v>3747</v>
      </c>
      <c r="O2907" s="17">
        <f>INDEX('список ID из СУЭ с должностями'!$A:$F,MATCH(E2907,'список ID из СУЭ с должностями'!$B:$B,0),5)</f>
        <v>0</v>
      </c>
    </row>
    <row r="2908" spans="1:15" ht="135">
      <c r="A2908" s="3" t="s">
        <v>10</v>
      </c>
      <c r="B2908" s="3" t="s">
        <v>11</v>
      </c>
      <c r="C2908" s="4">
        <v>2026</v>
      </c>
      <c r="D2908" s="5" t="s">
        <v>12</v>
      </c>
      <c r="E2908" s="4">
        <v>398</v>
      </c>
      <c r="F2908" s="4" t="s">
        <v>454</v>
      </c>
      <c r="G2908" s="4" t="s">
        <v>3012</v>
      </c>
      <c r="H2908" s="4" t="s">
        <v>15</v>
      </c>
      <c r="I2908" s="4" t="s">
        <v>149</v>
      </c>
      <c r="J2908" s="4" t="s">
        <v>3016</v>
      </c>
      <c r="K2908" s="4" t="s">
        <v>52</v>
      </c>
      <c r="L2908" s="4" t="s">
        <v>3743</v>
      </c>
      <c r="M2908" s="4" t="s">
        <v>3746</v>
      </c>
      <c r="N2908" s="4" t="s">
        <v>3747</v>
      </c>
      <c r="O2908" s="17">
        <f>INDEX('список ID из СУЭ с должностями'!$A:$F,MATCH(E2908,'список ID из СУЭ с должностями'!$B:$B,0),5)</f>
        <v>0</v>
      </c>
    </row>
    <row r="2909" spans="1:15" ht="225">
      <c r="A2909" s="3" t="s">
        <v>10</v>
      </c>
      <c r="B2909" s="3" t="s">
        <v>11</v>
      </c>
      <c r="C2909" s="4">
        <v>2026</v>
      </c>
      <c r="D2909" s="5" t="s">
        <v>12</v>
      </c>
      <c r="E2909" s="4">
        <v>398</v>
      </c>
      <c r="F2909" s="4" t="s">
        <v>454</v>
      </c>
      <c r="G2909" s="4" t="s">
        <v>3012</v>
      </c>
      <c r="H2909" s="4" t="s">
        <v>15</v>
      </c>
      <c r="I2909" s="4" t="s">
        <v>303</v>
      </c>
      <c r="J2909" s="4" t="s">
        <v>1912</v>
      </c>
      <c r="K2909" s="4" t="s">
        <v>52</v>
      </c>
      <c r="L2909" s="4" t="s">
        <v>3743</v>
      </c>
      <c r="M2909" s="4" t="s">
        <v>3746</v>
      </c>
      <c r="N2909" s="4" t="s">
        <v>3747</v>
      </c>
      <c r="O2909" s="17">
        <f>INDEX('список ID из СУЭ с должностями'!$A:$F,MATCH(E2909,'список ID из СУЭ с должностями'!$B:$B,0),5)</f>
        <v>0</v>
      </c>
    </row>
    <row r="2910" spans="1:15" ht="150">
      <c r="A2910" s="3" t="s">
        <v>10</v>
      </c>
      <c r="B2910" s="3" t="s">
        <v>11</v>
      </c>
      <c r="C2910" s="4">
        <v>2026</v>
      </c>
      <c r="D2910" s="5" t="s">
        <v>12</v>
      </c>
      <c r="E2910" s="4">
        <v>399</v>
      </c>
      <c r="F2910" s="4" t="s">
        <v>193</v>
      </c>
      <c r="G2910" s="4" t="s">
        <v>45</v>
      </c>
      <c r="H2910" s="4" t="s">
        <v>41</v>
      </c>
      <c r="I2910" s="4" t="s">
        <v>42</v>
      </c>
      <c r="J2910" s="4" t="s">
        <v>43</v>
      </c>
      <c r="K2910" s="4" t="s">
        <v>25</v>
      </c>
      <c r="L2910" s="4" t="s">
        <v>3743</v>
      </c>
      <c r="M2910" s="4" t="s">
        <v>3746</v>
      </c>
      <c r="N2910" s="4" t="s">
        <v>3747</v>
      </c>
      <c r="O2910" s="17" t="str">
        <f>INDEX('список ID из СУЭ с должностями'!$A:$F,MATCH(E2910,'список ID из СУЭ с должностями'!$B:$B,0),5)</f>
        <v>Инж смены</v>
      </c>
    </row>
    <row r="2911" spans="1:15" ht="45">
      <c r="A2911" s="3" t="s">
        <v>10</v>
      </c>
      <c r="B2911" s="3" t="s">
        <v>11</v>
      </c>
      <c r="C2911" s="4">
        <v>2026</v>
      </c>
      <c r="D2911" s="5" t="s">
        <v>12</v>
      </c>
      <c r="E2911" s="4">
        <v>399</v>
      </c>
      <c r="F2911" s="4" t="s">
        <v>193</v>
      </c>
      <c r="G2911" s="4" t="s">
        <v>45</v>
      </c>
      <c r="H2911" s="4" t="s">
        <v>15</v>
      </c>
      <c r="I2911" s="4" t="s">
        <v>48</v>
      </c>
      <c r="J2911" s="4" t="s">
        <v>187</v>
      </c>
      <c r="K2911" s="4" t="s">
        <v>35</v>
      </c>
      <c r="L2911" s="4" t="s">
        <v>3743</v>
      </c>
      <c r="M2911" s="4" t="s">
        <v>3746</v>
      </c>
      <c r="N2911" s="4" t="s">
        <v>3747</v>
      </c>
      <c r="O2911" s="17" t="str">
        <f>INDEX('список ID из СУЭ с должностями'!$A:$F,MATCH(E2911,'список ID из СУЭ с должностями'!$B:$B,0),5)</f>
        <v>Инж смены</v>
      </c>
    </row>
    <row r="2912" spans="1:15" ht="90">
      <c r="A2912" s="3" t="s">
        <v>10</v>
      </c>
      <c r="B2912" s="3" t="s">
        <v>11</v>
      </c>
      <c r="C2912" s="4">
        <v>2026</v>
      </c>
      <c r="D2912" s="5" t="s">
        <v>12</v>
      </c>
      <c r="E2912" s="4">
        <v>399</v>
      </c>
      <c r="F2912" s="4" t="s">
        <v>193</v>
      </c>
      <c r="G2912" s="4" t="s">
        <v>45</v>
      </c>
      <c r="H2912" s="4" t="s">
        <v>21</v>
      </c>
      <c r="I2912" s="4" t="s">
        <v>982</v>
      </c>
      <c r="J2912" s="4" t="s">
        <v>2965</v>
      </c>
      <c r="K2912" s="4" t="s">
        <v>52</v>
      </c>
      <c r="L2912" s="4" t="s">
        <v>3743</v>
      </c>
      <c r="M2912" s="4" t="s">
        <v>3746</v>
      </c>
      <c r="N2912" s="4" t="s">
        <v>3747</v>
      </c>
      <c r="O2912" s="17" t="str">
        <f>INDEX('список ID из СУЭ с должностями'!$A:$F,MATCH(E2912,'список ID из СУЭ с должностями'!$B:$B,0),5)</f>
        <v>Инж смены</v>
      </c>
    </row>
    <row r="2913" spans="1:15" ht="45">
      <c r="A2913" s="3" t="s">
        <v>10</v>
      </c>
      <c r="B2913" s="3" t="s">
        <v>11</v>
      </c>
      <c r="C2913" s="4">
        <v>2026</v>
      </c>
      <c r="D2913" s="5" t="s">
        <v>12</v>
      </c>
      <c r="E2913" s="4">
        <v>399</v>
      </c>
      <c r="F2913" s="4" t="s">
        <v>193</v>
      </c>
      <c r="G2913" s="4" t="s">
        <v>45</v>
      </c>
      <c r="H2913" s="4" t="s">
        <v>21</v>
      </c>
      <c r="I2913" s="4" t="s">
        <v>984</v>
      </c>
      <c r="J2913" s="4" t="s">
        <v>985</v>
      </c>
      <c r="K2913" s="4" t="s">
        <v>66</v>
      </c>
      <c r="L2913" s="4" t="s">
        <v>3743</v>
      </c>
      <c r="M2913" s="4" t="s">
        <v>3746</v>
      </c>
      <c r="N2913" s="4" t="s">
        <v>3747</v>
      </c>
      <c r="O2913" s="17" t="str">
        <f>INDEX('список ID из СУЭ с должностями'!$A:$F,MATCH(E2913,'список ID из СУЭ с должностями'!$B:$B,0),5)</f>
        <v>Инж смены</v>
      </c>
    </row>
    <row r="2914" spans="1:15" ht="45">
      <c r="A2914" s="3" t="s">
        <v>10</v>
      </c>
      <c r="B2914" s="3" t="s">
        <v>11</v>
      </c>
      <c r="C2914" s="4">
        <v>2026</v>
      </c>
      <c r="D2914" s="5" t="s">
        <v>12</v>
      </c>
      <c r="E2914" s="4">
        <v>399</v>
      </c>
      <c r="F2914" s="4" t="s">
        <v>193</v>
      </c>
      <c r="G2914" s="4" t="s">
        <v>45</v>
      </c>
      <c r="H2914" s="4" t="s">
        <v>21</v>
      </c>
      <c r="I2914" s="4" t="s">
        <v>62</v>
      </c>
      <c r="J2914" s="4" t="s">
        <v>833</v>
      </c>
      <c r="K2914" s="4" t="s">
        <v>52</v>
      </c>
      <c r="L2914" s="4" t="s">
        <v>3743</v>
      </c>
      <c r="M2914" s="4" t="s">
        <v>3746</v>
      </c>
      <c r="N2914" s="4" t="s">
        <v>3747</v>
      </c>
      <c r="O2914" s="17" t="str">
        <f>INDEX('список ID из СУЭ с должностями'!$A:$F,MATCH(E2914,'список ID из СУЭ с должностями'!$B:$B,0),5)</f>
        <v>Инж смены</v>
      </c>
    </row>
    <row r="2915" spans="1:15" ht="60">
      <c r="A2915" s="3" t="s">
        <v>10</v>
      </c>
      <c r="B2915" s="3" t="s">
        <v>11</v>
      </c>
      <c r="C2915" s="4">
        <v>2026</v>
      </c>
      <c r="D2915" s="5" t="s">
        <v>12</v>
      </c>
      <c r="E2915" s="4">
        <v>399</v>
      </c>
      <c r="F2915" s="4" t="s">
        <v>193</v>
      </c>
      <c r="G2915" s="4" t="s">
        <v>45</v>
      </c>
      <c r="H2915" s="4" t="s">
        <v>15</v>
      </c>
      <c r="I2915" s="4" t="s">
        <v>987</v>
      </c>
      <c r="J2915" s="4" t="s">
        <v>988</v>
      </c>
      <c r="K2915" s="4" t="s">
        <v>188</v>
      </c>
      <c r="L2915" s="4" t="s">
        <v>3743</v>
      </c>
      <c r="M2915" s="4" t="s">
        <v>3746</v>
      </c>
      <c r="N2915" s="4" t="s">
        <v>3747</v>
      </c>
      <c r="O2915" s="17" t="str">
        <f>INDEX('список ID из СУЭ с должностями'!$A:$F,MATCH(E2915,'список ID из СУЭ с должностями'!$B:$B,0),5)</f>
        <v>Инж смены</v>
      </c>
    </row>
    <row r="2916" spans="1:15" ht="90">
      <c r="A2916" s="3" t="s">
        <v>10</v>
      </c>
      <c r="B2916" s="3" t="s">
        <v>11</v>
      </c>
      <c r="C2916" s="4">
        <v>2026</v>
      </c>
      <c r="D2916" s="5" t="s">
        <v>12</v>
      </c>
      <c r="E2916" s="4">
        <v>400</v>
      </c>
      <c r="F2916" s="4" t="s">
        <v>724</v>
      </c>
      <c r="G2916" s="4" t="s">
        <v>725</v>
      </c>
      <c r="H2916" s="4" t="s">
        <v>15</v>
      </c>
      <c r="I2916" s="4" t="s">
        <v>736</v>
      </c>
      <c r="J2916" s="4" t="s">
        <v>737</v>
      </c>
      <c r="K2916" s="4" t="s">
        <v>52</v>
      </c>
      <c r="L2916" s="4" t="s">
        <v>3743</v>
      </c>
      <c r="M2916" s="4" t="s">
        <v>3746</v>
      </c>
      <c r="N2916" s="4" t="s">
        <v>3747</v>
      </c>
      <c r="O2916" s="17">
        <f>INDEX('список ID из СУЭ с должностями'!$A:$F,MATCH(E2916,'список ID из СУЭ с должностями'!$B:$B,0),5)</f>
        <v>0</v>
      </c>
    </row>
    <row r="2917" spans="1:15" ht="90">
      <c r="A2917" s="3" t="s">
        <v>10</v>
      </c>
      <c r="B2917" s="3" t="s">
        <v>11</v>
      </c>
      <c r="C2917" s="4">
        <v>2026</v>
      </c>
      <c r="D2917" s="5" t="s">
        <v>12</v>
      </c>
      <c r="E2917" s="4">
        <v>400</v>
      </c>
      <c r="F2917" s="4" t="s">
        <v>724</v>
      </c>
      <c r="G2917" s="4" t="s">
        <v>725</v>
      </c>
      <c r="H2917" s="4" t="s">
        <v>15</v>
      </c>
      <c r="I2917" s="4" t="s">
        <v>738</v>
      </c>
      <c r="J2917" s="4" t="s">
        <v>739</v>
      </c>
      <c r="K2917" s="4" t="s">
        <v>25</v>
      </c>
      <c r="L2917" s="4" t="s">
        <v>3742</v>
      </c>
      <c r="M2917" s="4" t="s">
        <v>3746</v>
      </c>
      <c r="N2917" s="4" t="s">
        <v>3747</v>
      </c>
      <c r="O2917" s="17">
        <f>INDEX('список ID из СУЭ с должностями'!$A:$F,MATCH(E2917,'список ID из СУЭ с должностями'!$B:$B,0),5)</f>
        <v>0</v>
      </c>
    </row>
    <row r="2918" spans="1:15" ht="90">
      <c r="A2918" s="3" t="s">
        <v>10</v>
      </c>
      <c r="B2918" s="3" t="s">
        <v>11</v>
      </c>
      <c r="C2918" s="4">
        <v>2026</v>
      </c>
      <c r="D2918" s="5" t="s">
        <v>12</v>
      </c>
      <c r="E2918" s="4">
        <v>400</v>
      </c>
      <c r="F2918" s="4" t="s">
        <v>724</v>
      </c>
      <c r="G2918" s="4" t="s">
        <v>725</v>
      </c>
      <c r="H2918" s="4" t="s">
        <v>15</v>
      </c>
      <c r="I2918" s="4" t="s">
        <v>733</v>
      </c>
      <c r="J2918" s="4" t="s">
        <v>733</v>
      </c>
      <c r="K2918" s="4" t="s">
        <v>52</v>
      </c>
      <c r="L2918" s="4" t="s">
        <v>3743</v>
      </c>
      <c r="M2918" s="4" t="s">
        <v>3746</v>
      </c>
      <c r="N2918" s="4" t="s">
        <v>3747</v>
      </c>
      <c r="O2918" s="17">
        <f>INDEX('список ID из СУЭ с должностями'!$A:$F,MATCH(E2918,'список ID из СУЭ с должностями'!$B:$B,0),5)</f>
        <v>0</v>
      </c>
    </row>
    <row r="2919" spans="1:15" ht="90">
      <c r="A2919" s="3" t="s">
        <v>10</v>
      </c>
      <c r="B2919" s="3" t="s">
        <v>11</v>
      </c>
      <c r="C2919" s="4">
        <v>2026</v>
      </c>
      <c r="D2919" s="5" t="s">
        <v>12</v>
      </c>
      <c r="E2919" s="4">
        <v>400</v>
      </c>
      <c r="F2919" s="4" t="s">
        <v>724</v>
      </c>
      <c r="G2919" s="4" t="s">
        <v>725</v>
      </c>
      <c r="H2919" s="4" t="s">
        <v>15</v>
      </c>
      <c r="I2919" s="4" t="s">
        <v>2896</v>
      </c>
      <c r="J2919" s="4" t="s">
        <v>182</v>
      </c>
      <c r="K2919" s="4" t="s">
        <v>151</v>
      </c>
      <c r="L2919" s="4" t="s">
        <v>3742</v>
      </c>
      <c r="M2919" s="4" t="s">
        <v>3746</v>
      </c>
      <c r="N2919" s="4" t="s">
        <v>3747</v>
      </c>
      <c r="O2919" s="17">
        <f>INDEX('список ID из СУЭ с должностями'!$A:$F,MATCH(E2919,'список ID из СУЭ с должностями'!$B:$B,0),5)</f>
        <v>0</v>
      </c>
    </row>
    <row r="2920" spans="1:15" ht="90">
      <c r="A2920" s="3" t="s">
        <v>10</v>
      </c>
      <c r="B2920" s="3" t="s">
        <v>11</v>
      </c>
      <c r="C2920" s="4">
        <v>2026</v>
      </c>
      <c r="D2920" s="5" t="s">
        <v>12</v>
      </c>
      <c r="E2920" s="4">
        <v>400</v>
      </c>
      <c r="F2920" s="4" t="s">
        <v>724</v>
      </c>
      <c r="G2920" s="4" t="s">
        <v>725</v>
      </c>
      <c r="H2920" s="4" t="s">
        <v>15</v>
      </c>
      <c r="I2920" s="4" t="s">
        <v>728</v>
      </c>
      <c r="J2920" s="4" t="s">
        <v>729</v>
      </c>
      <c r="K2920" s="4" t="s">
        <v>66</v>
      </c>
      <c r="L2920" s="4" t="s">
        <v>3742</v>
      </c>
      <c r="M2920" s="4" t="s">
        <v>3746</v>
      </c>
      <c r="N2920" s="4" t="s">
        <v>3747</v>
      </c>
      <c r="O2920" s="17">
        <f>INDEX('список ID из СУЭ с должностями'!$A:$F,MATCH(E2920,'список ID из СУЭ с должностями'!$B:$B,0),5)</f>
        <v>0</v>
      </c>
    </row>
    <row r="2921" spans="1:15" ht="90">
      <c r="A2921" s="3" t="s">
        <v>10</v>
      </c>
      <c r="B2921" s="3" t="s">
        <v>11</v>
      </c>
      <c r="C2921" s="4">
        <v>2026</v>
      </c>
      <c r="D2921" s="5" t="s">
        <v>12</v>
      </c>
      <c r="E2921" s="4">
        <v>400</v>
      </c>
      <c r="F2921" s="4" t="s">
        <v>724</v>
      </c>
      <c r="G2921" s="4" t="s">
        <v>725</v>
      </c>
      <c r="H2921" s="4" t="s">
        <v>15</v>
      </c>
      <c r="I2921" s="4" t="s">
        <v>730</v>
      </c>
      <c r="J2921" s="4" t="s">
        <v>731</v>
      </c>
      <c r="K2921" s="4" t="s">
        <v>151</v>
      </c>
      <c r="L2921" s="4" t="s">
        <v>3742</v>
      </c>
      <c r="M2921" s="4" t="s">
        <v>3746</v>
      </c>
      <c r="N2921" s="4" t="s">
        <v>3747</v>
      </c>
      <c r="O2921" s="17">
        <f>INDEX('список ID из СУЭ с должностями'!$A:$F,MATCH(E2921,'список ID из СУЭ с должностями'!$B:$B,0),5)</f>
        <v>0</v>
      </c>
    </row>
    <row r="2922" spans="1:15" ht="90">
      <c r="A2922" s="3" t="s">
        <v>10</v>
      </c>
      <c r="B2922" s="3" t="s">
        <v>11</v>
      </c>
      <c r="C2922" s="4">
        <v>2026</v>
      </c>
      <c r="D2922" s="5" t="s">
        <v>12</v>
      </c>
      <c r="E2922" s="4">
        <v>400</v>
      </c>
      <c r="F2922" s="4" t="s">
        <v>724</v>
      </c>
      <c r="G2922" s="4" t="s">
        <v>725</v>
      </c>
      <c r="H2922" s="4" t="s">
        <v>15</v>
      </c>
      <c r="I2922" s="4" t="s">
        <v>2897</v>
      </c>
      <c r="J2922" s="4" t="s">
        <v>182</v>
      </c>
      <c r="K2922" s="4" t="s">
        <v>151</v>
      </c>
      <c r="L2922" s="4" t="s">
        <v>3742</v>
      </c>
      <c r="M2922" s="4" t="s">
        <v>3746</v>
      </c>
      <c r="N2922" s="4" t="s">
        <v>3747</v>
      </c>
      <c r="O2922" s="17">
        <f>INDEX('список ID из СУЭ с должностями'!$A:$F,MATCH(E2922,'список ID из СУЭ с должностями'!$B:$B,0),5)</f>
        <v>0</v>
      </c>
    </row>
    <row r="2923" spans="1:15" ht="90">
      <c r="A2923" s="3" t="s">
        <v>10</v>
      </c>
      <c r="B2923" s="3" t="s">
        <v>11</v>
      </c>
      <c r="C2923" s="4">
        <v>2026</v>
      </c>
      <c r="D2923" s="5" t="s">
        <v>12</v>
      </c>
      <c r="E2923" s="4">
        <v>400</v>
      </c>
      <c r="F2923" s="4" t="s">
        <v>724</v>
      </c>
      <c r="G2923" s="4" t="s">
        <v>725</v>
      </c>
      <c r="H2923" s="4" t="s">
        <v>15</v>
      </c>
      <c r="I2923" s="4" t="s">
        <v>734</v>
      </c>
      <c r="J2923" s="4" t="s">
        <v>182</v>
      </c>
      <c r="K2923" s="4" t="s">
        <v>23</v>
      </c>
      <c r="L2923" s="4" t="s">
        <v>3742</v>
      </c>
      <c r="M2923" s="4" t="s">
        <v>3748</v>
      </c>
      <c r="N2923" s="4" t="s">
        <v>3752</v>
      </c>
      <c r="O2923" s="17">
        <f>INDEX('список ID из СУЭ с должностями'!$A:$F,MATCH(E2923,'список ID из СУЭ с должностями'!$B:$B,0),5)</f>
        <v>0</v>
      </c>
    </row>
    <row r="2924" spans="1:15" ht="90">
      <c r="A2924" s="3" t="s">
        <v>10</v>
      </c>
      <c r="B2924" s="3" t="s">
        <v>11</v>
      </c>
      <c r="C2924" s="4">
        <v>2026</v>
      </c>
      <c r="D2924" s="5" t="s">
        <v>12</v>
      </c>
      <c r="E2924" s="4">
        <v>400</v>
      </c>
      <c r="F2924" s="4" t="s">
        <v>724</v>
      </c>
      <c r="G2924" s="4" t="s">
        <v>725</v>
      </c>
      <c r="H2924" s="4" t="s">
        <v>15</v>
      </c>
      <c r="I2924" s="4" t="s">
        <v>740</v>
      </c>
      <c r="J2924" s="4" t="s">
        <v>741</v>
      </c>
      <c r="K2924" s="4" t="s">
        <v>35</v>
      </c>
      <c r="L2924" s="4" t="s">
        <v>3743</v>
      </c>
      <c r="M2924" s="4" t="s">
        <v>3746</v>
      </c>
      <c r="N2924" s="4" t="s">
        <v>3747</v>
      </c>
      <c r="O2924" s="17">
        <f>INDEX('список ID из СУЭ с должностями'!$A:$F,MATCH(E2924,'список ID из СУЭ с должностями'!$B:$B,0),5)</f>
        <v>0</v>
      </c>
    </row>
    <row r="2925" spans="1:15" ht="90">
      <c r="A2925" s="3" t="s">
        <v>10</v>
      </c>
      <c r="B2925" s="3" t="s">
        <v>11</v>
      </c>
      <c r="C2925" s="4">
        <v>2026</v>
      </c>
      <c r="D2925" s="5" t="s">
        <v>12</v>
      </c>
      <c r="E2925" s="4">
        <v>400</v>
      </c>
      <c r="F2925" s="4" t="s">
        <v>724</v>
      </c>
      <c r="G2925" s="4" t="s">
        <v>725</v>
      </c>
      <c r="H2925" s="4" t="s">
        <v>15</v>
      </c>
      <c r="I2925" s="4" t="s">
        <v>735</v>
      </c>
      <c r="J2925" s="4" t="s">
        <v>132</v>
      </c>
      <c r="K2925" s="4" t="s">
        <v>52</v>
      </c>
      <c r="L2925" s="4" t="s">
        <v>3742</v>
      </c>
      <c r="M2925" s="4" t="s">
        <v>3746</v>
      </c>
      <c r="N2925" s="4" t="s">
        <v>3747</v>
      </c>
      <c r="O2925" s="17">
        <f>INDEX('список ID из СУЭ с должностями'!$A:$F,MATCH(E2925,'список ID из СУЭ с должностями'!$B:$B,0),5)</f>
        <v>0</v>
      </c>
    </row>
    <row r="2926" spans="1:15" ht="105">
      <c r="A2926" s="3" t="s">
        <v>10</v>
      </c>
      <c r="B2926" s="3" t="s">
        <v>11</v>
      </c>
      <c r="C2926" s="4">
        <v>2026</v>
      </c>
      <c r="D2926" s="5" t="s">
        <v>12</v>
      </c>
      <c r="E2926" s="4">
        <v>401</v>
      </c>
      <c r="F2926" s="4" t="s">
        <v>44</v>
      </c>
      <c r="G2926" s="4" t="s">
        <v>241</v>
      </c>
      <c r="H2926" s="4" t="s">
        <v>21</v>
      </c>
      <c r="I2926" s="4" t="s">
        <v>1674</v>
      </c>
      <c r="J2926" s="4" t="s">
        <v>3017</v>
      </c>
      <c r="K2926" s="4" t="s">
        <v>52</v>
      </c>
      <c r="L2926" s="4" t="s">
        <v>3743</v>
      </c>
      <c r="M2926" s="4" t="s">
        <v>3746</v>
      </c>
      <c r="N2926" s="4" t="s">
        <v>3747</v>
      </c>
      <c r="O2926" s="17" t="str">
        <f>INDEX('список ID из СУЭ с должностями'!$A:$F,MATCH(E2926,'список ID из СУЭ с должностями'!$B:$B,0),5)</f>
        <v>НП</v>
      </c>
    </row>
    <row r="2927" spans="1:15" ht="45">
      <c r="A2927" s="3" t="s">
        <v>10</v>
      </c>
      <c r="B2927" s="3" t="s">
        <v>11</v>
      </c>
      <c r="C2927" s="4">
        <v>2026</v>
      </c>
      <c r="D2927" s="5" t="s">
        <v>12</v>
      </c>
      <c r="E2927" s="4">
        <v>401</v>
      </c>
      <c r="F2927" s="4" t="s">
        <v>44</v>
      </c>
      <c r="G2927" s="4" t="s">
        <v>241</v>
      </c>
      <c r="H2927" s="4" t="s">
        <v>41</v>
      </c>
      <c r="I2927" s="4" t="s">
        <v>66</v>
      </c>
      <c r="J2927" s="4" t="s">
        <v>3018</v>
      </c>
      <c r="K2927" s="4" t="s">
        <v>66</v>
      </c>
      <c r="L2927" s="4" t="s">
        <v>3743</v>
      </c>
      <c r="M2927" s="4" t="s">
        <v>3746</v>
      </c>
      <c r="N2927" s="4" t="s">
        <v>3747</v>
      </c>
      <c r="O2927" s="17" t="str">
        <f>INDEX('список ID из СУЭ с должностями'!$A:$F,MATCH(E2927,'список ID из СУЭ с должностями'!$B:$B,0),5)</f>
        <v>НП</v>
      </c>
    </row>
    <row r="2928" spans="1:15" ht="409.5">
      <c r="A2928" s="3" t="s">
        <v>10</v>
      </c>
      <c r="B2928" s="3" t="s">
        <v>11</v>
      </c>
      <c r="C2928" s="4">
        <v>2026</v>
      </c>
      <c r="D2928" s="5" t="s">
        <v>12</v>
      </c>
      <c r="E2928" s="4">
        <v>401</v>
      </c>
      <c r="F2928" s="4" t="s">
        <v>44</v>
      </c>
      <c r="G2928" s="4" t="s">
        <v>241</v>
      </c>
      <c r="H2928" s="4" t="s">
        <v>15</v>
      </c>
      <c r="I2928" s="4" t="s">
        <v>25</v>
      </c>
      <c r="J2928" s="4" t="s">
        <v>1673</v>
      </c>
      <c r="K2928" s="4" t="s">
        <v>25</v>
      </c>
      <c r="L2928" s="4" t="s">
        <v>3743</v>
      </c>
      <c r="M2928" s="4" t="s">
        <v>3746</v>
      </c>
      <c r="N2928" s="4" t="s">
        <v>3747</v>
      </c>
      <c r="O2928" s="17" t="str">
        <f>INDEX('список ID из СУЭ с должностями'!$A:$F,MATCH(E2928,'список ID из СУЭ с должностями'!$B:$B,0),5)</f>
        <v>НП</v>
      </c>
    </row>
    <row r="2929" spans="1:15" ht="315">
      <c r="A2929" s="3" t="s">
        <v>10</v>
      </c>
      <c r="B2929" s="3" t="s">
        <v>11</v>
      </c>
      <c r="C2929" s="4">
        <v>2026</v>
      </c>
      <c r="D2929" s="5" t="s">
        <v>12</v>
      </c>
      <c r="E2929" s="4">
        <v>401</v>
      </c>
      <c r="F2929" s="4" t="s">
        <v>44</v>
      </c>
      <c r="G2929" s="4" t="s">
        <v>241</v>
      </c>
      <c r="H2929" s="4" t="s">
        <v>15</v>
      </c>
      <c r="I2929" s="4" t="s">
        <v>933</v>
      </c>
      <c r="J2929" s="4" t="s">
        <v>3019</v>
      </c>
      <c r="K2929" s="4" t="s">
        <v>23</v>
      </c>
      <c r="L2929" s="4" t="s">
        <v>3743</v>
      </c>
      <c r="M2929" s="4" t="s">
        <v>3748</v>
      </c>
      <c r="N2929" s="4" t="s">
        <v>3749</v>
      </c>
      <c r="O2929" s="17" t="str">
        <f>INDEX('список ID из СУЭ с должностями'!$A:$F,MATCH(E2929,'список ID из СУЭ с должностями'!$B:$B,0),5)</f>
        <v>НП</v>
      </c>
    </row>
    <row r="2930" spans="1:15" ht="60">
      <c r="A2930" s="3" t="s">
        <v>10</v>
      </c>
      <c r="B2930" s="3" t="s">
        <v>11</v>
      </c>
      <c r="C2930" s="4">
        <v>2026</v>
      </c>
      <c r="D2930" s="5" t="s">
        <v>12</v>
      </c>
      <c r="E2930" s="4">
        <v>401</v>
      </c>
      <c r="F2930" s="4" t="s">
        <v>44</v>
      </c>
      <c r="G2930" s="4" t="s">
        <v>241</v>
      </c>
      <c r="H2930" s="4" t="s">
        <v>15</v>
      </c>
      <c r="I2930" s="4" t="s">
        <v>2052</v>
      </c>
      <c r="J2930" s="4" t="s">
        <v>182</v>
      </c>
      <c r="K2930" s="4" t="s">
        <v>38</v>
      </c>
      <c r="L2930" s="4" t="s">
        <v>3742</v>
      </c>
      <c r="M2930" s="4" t="s">
        <v>3746</v>
      </c>
      <c r="N2930" s="4" t="s">
        <v>3747</v>
      </c>
      <c r="O2930" s="17" t="str">
        <f>INDEX('список ID из СУЭ с должностями'!$A:$F,MATCH(E2930,'список ID из СУЭ с должностями'!$B:$B,0),5)</f>
        <v>НП</v>
      </c>
    </row>
    <row r="2931" spans="1:15" ht="60">
      <c r="A2931" s="3" t="s">
        <v>10</v>
      </c>
      <c r="B2931" s="3" t="s">
        <v>11</v>
      </c>
      <c r="C2931" s="4">
        <v>2026</v>
      </c>
      <c r="D2931" s="5" t="s">
        <v>12</v>
      </c>
      <c r="E2931" s="4">
        <v>401</v>
      </c>
      <c r="F2931" s="4" t="s">
        <v>44</v>
      </c>
      <c r="G2931" s="4" t="s">
        <v>241</v>
      </c>
      <c r="H2931" s="4" t="s">
        <v>41</v>
      </c>
      <c r="I2931" s="4" t="s">
        <v>56</v>
      </c>
      <c r="J2931" s="4" t="s">
        <v>3020</v>
      </c>
      <c r="K2931" s="4" t="s">
        <v>55</v>
      </c>
      <c r="L2931" s="4" t="s">
        <v>3743</v>
      </c>
      <c r="M2931" s="4" t="s">
        <v>3746</v>
      </c>
      <c r="N2931" s="4" t="s">
        <v>3747</v>
      </c>
      <c r="O2931" s="17" t="str">
        <f>INDEX('список ID из СУЭ с должностями'!$A:$F,MATCH(E2931,'список ID из СУЭ с должностями'!$B:$B,0),5)</f>
        <v>НП</v>
      </c>
    </row>
    <row r="2932" spans="1:15" ht="285">
      <c r="A2932" s="3" t="s">
        <v>10</v>
      </c>
      <c r="B2932" s="3" t="s">
        <v>11</v>
      </c>
      <c r="C2932" s="4">
        <v>2026</v>
      </c>
      <c r="D2932" s="5" t="s">
        <v>12</v>
      </c>
      <c r="E2932" s="4">
        <v>401</v>
      </c>
      <c r="F2932" s="4" t="s">
        <v>44</v>
      </c>
      <c r="G2932" s="4" t="s">
        <v>241</v>
      </c>
      <c r="H2932" s="4" t="s">
        <v>15</v>
      </c>
      <c r="I2932" s="4" t="s">
        <v>48</v>
      </c>
      <c r="J2932" s="4" t="s">
        <v>2067</v>
      </c>
      <c r="K2932" s="4" t="s">
        <v>35</v>
      </c>
      <c r="L2932" s="4" t="s">
        <v>3743</v>
      </c>
      <c r="M2932" s="4" t="s">
        <v>3746</v>
      </c>
      <c r="N2932" s="4" t="s">
        <v>3747</v>
      </c>
      <c r="O2932" s="17" t="str">
        <f>INDEX('список ID из СУЭ с должностями'!$A:$F,MATCH(E2932,'список ID из СУЭ с должностями'!$B:$B,0),5)</f>
        <v>НП</v>
      </c>
    </row>
    <row r="2933" spans="1:15" ht="60">
      <c r="A2933" s="3" t="s">
        <v>10</v>
      </c>
      <c r="B2933" s="3" t="s">
        <v>11</v>
      </c>
      <c r="C2933" s="4">
        <v>2026</v>
      </c>
      <c r="D2933" s="5" t="s">
        <v>12</v>
      </c>
      <c r="E2933" s="4">
        <v>401</v>
      </c>
      <c r="F2933" s="4" t="s">
        <v>44</v>
      </c>
      <c r="G2933" s="4" t="s">
        <v>241</v>
      </c>
      <c r="H2933" s="4" t="s">
        <v>15</v>
      </c>
      <c r="I2933" s="4" t="s">
        <v>3021</v>
      </c>
      <c r="J2933" s="4" t="s">
        <v>3022</v>
      </c>
      <c r="K2933" s="4" t="s">
        <v>151</v>
      </c>
      <c r="L2933" s="4" t="s">
        <v>3742</v>
      </c>
      <c r="M2933" s="4" t="s">
        <v>3746</v>
      </c>
      <c r="N2933" s="4" t="s">
        <v>3747</v>
      </c>
      <c r="O2933" s="17" t="str">
        <f>INDEX('список ID из СУЭ с должностями'!$A:$F,MATCH(E2933,'список ID из СУЭ с должностями'!$B:$B,0),5)</f>
        <v>НП</v>
      </c>
    </row>
    <row r="2934" spans="1:15" ht="45">
      <c r="A2934" s="3" t="s">
        <v>10</v>
      </c>
      <c r="B2934" s="3" t="s">
        <v>11</v>
      </c>
      <c r="C2934" s="4">
        <v>2026</v>
      </c>
      <c r="D2934" s="5" t="s">
        <v>12</v>
      </c>
      <c r="E2934" s="4">
        <v>401</v>
      </c>
      <c r="F2934" s="4" t="s">
        <v>44</v>
      </c>
      <c r="G2934" s="4" t="s">
        <v>241</v>
      </c>
      <c r="H2934" s="4" t="s">
        <v>41</v>
      </c>
      <c r="I2934" s="4" t="s">
        <v>3023</v>
      </c>
      <c r="J2934" s="4" t="s">
        <v>2074</v>
      </c>
      <c r="K2934" s="4" t="s">
        <v>55</v>
      </c>
      <c r="L2934" s="4" t="s">
        <v>3742</v>
      </c>
      <c r="M2934" s="4" t="s">
        <v>3746</v>
      </c>
      <c r="N2934" s="4" t="s">
        <v>3747</v>
      </c>
      <c r="O2934" s="17" t="str">
        <f>INDEX('список ID из СУЭ с должностями'!$A:$F,MATCH(E2934,'список ID из СУЭ с должностями'!$B:$B,0),5)</f>
        <v>НП</v>
      </c>
    </row>
    <row r="2935" spans="1:15" ht="105">
      <c r="A2935" s="3" t="s">
        <v>10</v>
      </c>
      <c r="B2935" s="3" t="s">
        <v>11</v>
      </c>
      <c r="C2935" s="4">
        <v>2026</v>
      </c>
      <c r="D2935" s="5" t="s">
        <v>12</v>
      </c>
      <c r="E2935" s="4">
        <v>402</v>
      </c>
      <c r="F2935" s="4" t="s">
        <v>1290</v>
      </c>
      <c r="G2935" s="4" t="s">
        <v>349</v>
      </c>
      <c r="H2935" s="4" t="s">
        <v>41</v>
      </c>
      <c r="I2935" s="4" t="s">
        <v>3024</v>
      </c>
      <c r="J2935" s="4" t="s">
        <v>3025</v>
      </c>
      <c r="K2935" s="4" t="s">
        <v>151</v>
      </c>
      <c r="L2935" s="4" t="s">
        <v>3743</v>
      </c>
      <c r="M2935" s="4" t="s">
        <v>3746</v>
      </c>
      <c r="N2935" s="4" t="s">
        <v>3747</v>
      </c>
      <c r="O2935" s="17">
        <f>INDEX('список ID из СУЭ с должностями'!$A:$F,MATCH(E2935,'список ID из СУЭ с должностями'!$B:$B,0),5)</f>
        <v>0</v>
      </c>
    </row>
    <row r="2936" spans="1:15" ht="315">
      <c r="A2936" s="3" t="s">
        <v>10</v>
      </c>
      <c r="B2936" s="3" t="s">
        <v>11</v>
      </c>
      <c r="C2936" s="4">
        <v>2026</v>
      </c>
      <c r="D2936" s="5" t="s">
        <v>12</v>
      </c>
      <c r="E2936" s="4">
        <v>402</v>
      </c>
      <c r="F2936" s="4" t="s">
        <v>1290</v>
      </c>
      <c r="G2936" s="4" t="s">
        <v>349</v>
      </c>
      <c r="H2936" s="4" t="s">
        <v>15</v>
      </c>
      <c r="I2936" s="4" t="s">
        <v>28</v>
      </c>
      <c r="J2936" s="4" t="s">
        <v>2017</v>
      </c>
      <c r="K2936" s="4" t="s">
        <v>151</v>
      </c>
      <c r="L2936" s="4" t="s">
        <v>3743</v>
      </c>
      <c r="M2936" s="4" t="s">
        <v>3746</v>
      </c>
      <c r="N2936" s="4" t="s">
        <v>3747</v>
      </c>
      <c r="O2936" s="17">
        <f>INDEX('список ID из СУЭ с должностями'!$A:$F,MATCH(E2936,'список ID из СУЭ с должностями'!$B:$B,0),5)</f>
        <v>0</v>
      </c>
    </row>
    <row r="2937" spans="1:15" ht="105">
      <c r="A2937" s="3" t="s">
        <v>10</v>
      </c>
      <c r="B2937" s="3" t="s">
        <v>11</v>
      </c>
      <c r="C2937" s="4">
        <v>2026</v>
      </c>
      <c r="D2937" s="5" t="s">
        <v>12</v>
      </c>
      <c r="E2937" s="4">
        <v>402</v>
      </c>
      <c r="F2937" s="4" t="s">
        <v>1290</v>
      </c>
      <c r="G2937" s="4" t="s">
        <v>349</v>
      </c>
      <c r="H2937" s="4" t="s">
        <v>15</v>
      </c>
      <c r="I2937" s="4" t="s">
        <v>358</v>
      </c>
      <c r="J2937" s="4" t="s">
        <v>2020</v>
      </c>
      <c r="K2937" s="4" t="s">
        <v>151</v>
      </c>
      <c r="L2937" s="4" t="s">
        <v>3743</v>
      </c>
      <c r="M2937" s="4" t="s">
        <v>3746</v>
      </c>
      <c r="N2937" s="4" t="s">
        <v>3747</v>
      </c>
      <c r="O2937" s="17">
        <f>INDEX('список ID из СУЭ с должностями'!$A:$F,MATCH(E2937,'список ID из СУЭ с должностями'!$B:$B,0),5)</f>
        <v>0</v>
      </c>
    </row>
    <row r="2938" spans="1:15" ht="150">
      <c r="A2938" s="3" t="s">
        <v>10</v>
      </c>
      <c r="B2938" s="3" t="s">
        <v>11</v>
      </c>
      <c r="C2938" s="4">
        <v>2026</v>
      </c>
      <c r="D2938" s="5" t="s">
        <v>12</v>
      </c>
      <c r="E2938" s="4">
        <v>402</v>
      </c>
      <c r="F2938" s="4" t="s">
        <v>1290</v>
      </c>
      <c r="G2938" s="4" t="s">
        <v>349</v>
      </c>
      <c r="H2938" s="4" t="s">
        <v>15</v>
      </c>
      <c r="I2938" s="4" t="s">
        <v>352</v>
      </c>
      <c r="J2938" s="4" t="s">
        <v>2016</v>
      </c>
      <c r="K2938" s="4" t="s">
        <v>151</v>
      </c>
      <c r="L2938" s="4" t="s">
        <v>3743</v>
      </c>
      <c r="M2938" s="4" t="s">
        <v>3746</v>
      </c>
      <c r="N2938" s="4" t="s">
        <v>3747</v>
      </c>
      <c r="O2938" s="17">
        <f>INDEX('список ID из СУЭ с должностями'!$A:$F,MATCH(E2938,'список ID из СУЭ с должностями'!$B:$B,0),5)</f>
        <v>0</v>
      </c>
    </row>
    <row r="2939" spans="1:15" ht="105">
      <c r="A2939" s="3" t="s">
        <v>10</v>
      </c>
      <c r="B2939" s="3" t="s">
        <v>11</v>
      </c>
      <c r="C2939" s="4">
        <v>2026</v>
      </c>
      <c r="D2939" s="5" t="s">
        <v>12</v>
      </c>
      <c r="E2939" s="4">
        <v>402</v>
      </c>
      <c r="F2939" s="4" t="s">
        <v>1290</v>
      </c>
      <c r="G2939" s="4" t="s">
        <v>349</v>
      </c>
      <c r="H2939" s="4" t="s">
        <v>15</v>
      </c>
      <c r="I2939" s="4" t="s">
        <v>356</v>
      </c>
      <c r="J2939" s="4" t="s">
        <v>2019</v>
      </c>
      <c r="K2939" s="4" t="s">
        <v>151</v>
      </c>
      <c r="L2939" s="4" t="s">
        <v>3743</v>
      </c>
      <c r="M2939" s="4" t="s">
        <v>3746</v>
      </c>
      <c r="N2939" s="4" t="s">
        <v>3747</v>
      </c>
      <c r="O2939" s="17">
        <f>INDEX('список ID из СУЭ с должностями'!$A:$F,MATCH(E2939,'список ID из СУЭ с должностями'!$B:$B,0),5)</f>
        <v>0</v>
      </c>
    </row>
    <row r="2940" spans="1:15" ht="150">
      <c r="A2940" s="3" t="s">
        <v>10</v>
      </c>
      <c r="B2940" s="3" t="s">
        <v>11</v>
      </c>
      <c r="C2940" s="4">
        <v>2026</v>
      </c>
      <c r="D2940" s="5" t="s">
        <v>12</v>
      </c>
      <c r="E2940" s="4">
        <v>402</v>
      </c>
      <c r="F2940" s="4" t="s">
        <v>1290</v>
      </c>
      <c r="G2940" s="4" t="s">
        <v>349</v>
      </c>
      <c r="H2940" s="4" t="s">
        <v>15</v>
      </c>
      <c r="I2940" s="4" t="s">
        <v>323</v>
      </c>
      <c r="J2940" s="4" t="s">
        <v>2021</v>
      </c>
      <c r="K2940" s="4" t="s">
        <v>151</v>
      </c>
      <c r="L2940" s="4" t="s">
        <v>3743</v>
      </c>
      <c r="M2940" s="4" t="s">
        <v>3746</v>
      </c>
      <c r="N2940" s="4" t="s">
        <v>3747</v>
      </c>
      <c r="O2940" s="17">
        <f>INDEX('список ID из СУЭ с должностями'!$A:$F,MATCH(E2940,'список ID из СУЭ с должностями'!$B:$B,0),5)</f>
        <v>0</v>
      </c>
    </row>
    <row r="2941" spans="1:15" ht="240">
      <c r="A2941" s="3" t="s">
        <v>10</v>
      </c>
      <c r="B2941" s="3" t="s">
        <v>11</v>
      </c>
      <c r="C2941" s="4">
        <v>2026</v>
      </c>
      <c r="D2941" s="5" t="s">
        <v>12</v>
      </c>
      <c r="E2941" s="4">
        <v>402</v>
      </c>
      <c r="F2941" s="4" t="s">
        <v>1290</v>
      </c>
      <c r="G2941" s="4" t="s">
        <v>349</v>
      </c>
      <c r="H2941" s="4" t="s">
        <v>15</v>
      </c>
      <c r="I2941" s="4" t="s">
        <v>325</v>
      </c>
      <c r="J2941" s="4" t="s">
        <v>2022</v>
      </c>
      <c r="K2941" s="4" t="s">
        <v>151</v>
      </c>
      <c r="L2941" s="4" t="s">
        <v>3743</v>
      </c>
      <c r="M2941" s="4" t="s">
        <v>3746</v>
      </c>
      <c r="N2941" s="4" t="s">
        <v>3747</v>
      </c>
      <c r="O2941" s="17">
        <f>INDEX('список ID из СУЭ с должностями'!$A:$F,MATCH(E2941,'список ID из СУЭ с должностями'!$B:$B,0),5)</f>
        <v>0</v>
      </c>
    </row>
    <row r="2942" spans="1:15" ht="150">
      <c r="A2942" s="3" t="s">
        <v>10</v>
      </c>
      <c r="B2942" s="3" t="s">
        <v>11</v>
      </c>
      <c r="C2942" s="4">
        <v>2026</v>
      </c>
      <c r="D2942" s="5" t="s">
        <v>12</v>
      </c>
      <c r="E2942" s="4">
        <v>402</v>
      </c>
      <c r="F2942" s="4" t="s">
        <v>1290</v>
      </c>
      <c r="G2942" s="4" t="s">
        <v>349</v>
      </c>
      <c r="H2942" s="4" t="s">
        <v>15</v>
      </c>
      <c r="I2942" s="4" t="s">
        <v>354</v>
      </c>
      <c r="J2942" s="4" t="s">
        <v>2018</v>
      </c>
      <c r="K2942" s="4" t="s">
        <v>151</v>
      </c>
      <c r="L2942" s="4" t="s">
        <v>3743</v>
      </c>
      <c r="M2942" s="4" t="s">
        <v>3746</v>
      </c>
      <c r="N2942" s="4" t="s">
        <v>3747</v>
      </c>
      <c r="O2942" s="17">
        <f>INDEX('список ID из СУЭ с должностями'!$A:$F,MATCH(E2942,'список ID из СУЭ с должностями'!$B:$B,0),5)</f>
        <v>0</v>
      </c>
    </row>
    <row r="2943" spans="1:15" ht="150">
      <c r="A2943" s="3" t="s">
        <v>10</v>
      </c>
      <c r="B2943" s="3" t="s">
        <v>11</v>
      </c>
      <c r="C2943" s="4">
        <v>2026</v>
      </c>
      <c r="D2943" s="5" t="s">
        <v>12</v>
      </c>
      <c r="E2943" s="4">
        <v>403</v>
      </c>
      <c r="F2943" s="4" t="s">
        <v>454</v>
      </c>
      <c r="G2943" s="4" t="s">
        <v>1001</v>
      </c>
      <c r="H2943" s="4" t="s">
        <v>15</v>
      </c>
      <c r="I2943" s="4" t="s">
        <v>456</v>
      </c>
      <c r="J2943" s="4" t="s">
        <v>457</v>
      </c>
      <c r="K2943" s="4" t="s">
        <v>23</v>
      </c>
      <c r="L2943" s="4" t="s">
        <v>3743</v>
      </c>
      <c r="M2943" s="4" t="s">
        <v>3748</v>
      </c>
      <c r="N2943" s="4" t="s">
        <v>3752</v>
      </c>
      <c r="O2943" s="17">
        <f>INDEX('список ID из СУЭ с должностями'!$A:$F,MATCH(E2943,'список ID из СУЭ с должностями'!$B:$B,0),5)</f>
        <v>0</v>
      </c>
    </row>
    <row r="2944" spans="1:15" ht="375">
      <c r="A2944" s="3" t="s">
        <v>10</v>
      </c>
      <c r="B2944" s="3" t="s">
        <v>11</v>
      </c>
      <c r="C2944" s="4">
        <v>2026</v>
      </c>
      <c r="D2944" s="5" t="s">
        <v>12</v>
      </c>
      <c r="E2944" s="4">
        <v>403</v>
      </c>
      <c r="F2944" s="4" t="s">
        <v>454</v>
      </c>
      <c r="G2944" s="4" t="s">
        <v>1001</v>
      </c>
      <c r="H2944" s="4" t="s">
        <v>15</v>
      </c>
      <c r="I2944" s="4" t="s">
        <v>460</v>
      </c>
      <c r="J2944" s="4" t="s">
        <v>461</v>
      </c>
      <c r="K2944" s="4" t="s">
        <v>38</v>
      </c>
      <c r="L2944" s="4" t="s">
        <v>3743</v>
      </c>
      <c r="M2944" s="4" t="s">
        <v>3746</v>
      </c>
      <c r="N2944" s="4" t="s">
        <v>3747</v>
      </c>
      <c r="O2944" s="17">
        <f>INDEX('список ID из СУЭ с должностями'!$A:$F,MATCH(E2944,'список ID из СУЭ с должностями'!$B:$B,0),5)</f>
        <v>0</v>
      </c>
    </row>
    <row r="2945" spans="1:15" ht="150">
      <c r="A2945" s="3" t="s">
        <v>10</v>
      </c>
      <c r="B2945" s="3" t="s">
        <v>11</v>
      </c>
      <c r="C2945" s="4">
        <v>2026</v>
      </c>
      <c r="D2945" s="5" t="s">
        <v>12</v>
      </c>
      <c r="E2945" s="4">
        <v>403</v>
      </c>
      <c r="F2945" s="4" t="s">
        <v>454</v>
      </c>
      <c r="G2945" s="4" t="s">
        <v>1001</v>
      </c>
      <c r="H2945" s="4" t="s">
        <v>15</v>
      </c>
      <c r="I2945" s="4" t="s">
        <v>462</v>
      </c>
      <c r="J2945" s="4" t="s">
        <v>463</v>
      </c>
      <c r="K2945" s="4" t="s">
        <v>35</v>
      </c>
      <c r="L2945" s="4" t="s">
        <v>3742</v>
      </c>
      <c r="M2945" s="4" t="s">
        <v>3746</v>
      </c>
      <c r="N2945" s="4" t="s">
        <v>3747</v>
      </c>
      <c r="O2945" s="17">
        <f>INDEX('список ID из СУЭ с должностями'!$A:$F,MATCH(E2945,'список ID из СУЭ с должностями'!$B:$B,0),5)</f>
        <v>0</v>
      </c>
    </row>
    <row r="2946" spans="1:15" ht="409.5">
      <c r="A2946" s="3" t="s">
        <v>10</v>
      </c>
      <c r="B2946" s="3" t="s">
        <v>11</v>
      </c>
      <c r="C2946" s="4">
        <v>2026</v>
      </c>
      <c r="D2946" s="5" t="s">
        <v>12</v>
      </c>
      <c r="E2946" s="4">
        <v>403</v>
      </c>
      <c r="F2946" s="4" t="s">
        <v>454</v>
      </c>
      <c r="G2946" s="4" t="s">
        <v>1001</v>
      </c>
      <c r="H2946" s="4" t="s">
        <v>15</v>
      </c>
      <c r="I2946" s="4" t="s">
        <v>464</v>
      </c>
      <c r="J2946" s="4" t="s">
        <v>1784</v>
      </c>
      <c r="K2946" s="4" t="s">
        <v>66</v>
      </c>
      <c r="L2946" s="4" t="s">
        <v>3743</v>
      </c>
      <c r="M2946" s="4" t="s">
        <v>3746</v>
      </c>
      <c r="N2946" s="4" t="s">
        <v>3747</v>
      </c>
      <c r="O2946" s="17">
        <f>INDEX('список ID из СУЭ с должностями'!$A:$F,MATCH(E2946,'список ID из СУЭ с должностями'!$B:$B,0),5)</f>
        <v>0</v>
      </c>
    </row>
    <row r="2947" spans="1:15" ht="150">
      <c r="A2947" s="3" t="s">
        <v>10</v>
      </c>
      <c r="B2947" s="3" t="s">
        <v>11</v>
      </c>
      <c r="C2947" s="4">
        <v>2026</v>
      </c>
      <c r="D2947" s="5" t="s">
        <v>12</v>
      </c>
      <c r="E2947" s="4">
        <v>403</v>
      </c>
      <c r="F2947" s="4" t="s">
        <v>454</v>
      </c>
      <c r="G2947" s="4" t="s">
        <v>1001</v>
      </c>
      <c r="H2947" s="4" t="s">
        <v>15</v>
      </c>
      <c r="I2947" s="4" t="s">
        <v>466</v>
      </c>
      <c r="J2947" s="4" t="s">
        <v>467</v>
      </c>
      <c r="K2947" s="4" t="s">
        <v>30</v>
      </c>
      <c r="L2947" s="4" t="s">
        <v>3742</v>
      </c>
      <c r="M2947" s="4" t="s">
        <v>3746</v>
      </c>
      <c r="N2947" s="4" t="s">
        <v>3747</v>
      </c>
      <c r="O2947" s="17">
        <f>INDEX('список ID из СУЭ с должностями'!$A:$F,MATCH(E2947,'список ID из СУЭ с должностями'!$B:$B,0),5)</f>
        <v>0</v>
      </c>
    </row>
    <row r="2948" spans="1:15" ht="150">
      <c r="A2948" s="3" t="s">
        <v>10</v>
      </c>
      <c r="B2948" s="3" t="s">
        <v>11</v>
      </c>
      <c r="C2948" s="4">
        <v>2026</v>
      </c>
      <c r="D2948" s="5" t="s">
        <v>12</v>
      </c>
      <c r="E2948" s="4">
        <v>403</v>
      </c>
      <c r="F2948" s="4" t="s">
        <v>454</v>
      </c>
      <c r="G2948" s="4" t="s">
        <v>1001</v>
      </c>
      <c r="H2948" s="4" t="s">
        <v>15</v>
      </c>
      <c r="I2948" s="4" t="s">
        <v>468</v>
      </c>
      <c r="J2948" s="4" t="s">
        <v>79</v>
      </c>
      <c r="K2948" s="4" t="s">
        <v>30</v>
      </c>
      <c r="L2948" s="4" t="s">
        <v>3742</v>
      </c>
      <c r="M2948" s="4" t="s">
        <v>3746</v>
      </c>
      <c r="N2948" s="4" t="s">
        <v>3747</v>
      </c>
      <c r="O2948" s="17">
        <f>INDEX('список ID из СУЭ с должностями'!$A:$F,MATCH(E2948,'список ID из СУЭ с должностями'!$B:$B,0),5)</f>
        <v>0</v>
      </c>
    </row>
    <row r="2949" spans="1:15" ht="210">
      <c r="A2949" s="3" t="s">
        <v>10</v>
      </c>
      <c r="B2949" s="3" t="s">
        <v>11</v>
      </c>
      <c r="C2949" s="4">
        <v>2026</v>
      </c>
      <c r="D2949" s="5" t="s">
        <v>12</v>
      </c>
      <c r="E2949" s="4">
        <v>403</v>
      </c>
      <c r="F2949" s="4" t="s">
        <v>454</v>
      </c>
      <c r="G2949" s="4" t="s">
        <v>1001</v>
      </c>
      <c r="H2949" s="4" t="s">
        <v>15</v>
      </c>
      <c r="I2949" s="4" t="s">
        <v>469</v>
      </c>
      <c r="J2949" s="4" t="s">
        <v>470</v>
      </c>
      <c r="K2949" s="4" t="s">
        <v>30</v>
      </c>
      <c r="L2949" s="4" t="s">
        <v>3743</v>
      </c>
      <c r="M2949" s="4" t="s">
        <v>3746</v>
      </c>
      <c r="N2949" s="4" t="s">
        <v>3747</v>
      </c>
      <c r="O2949" s="17">
        <f>INDEX('список ID из СУЭ с должностями'!$A:$F,MATCH(E2949,'список ID из СУЭ с должностями'!$B:$B,0),5)</f>
        <v>0</v>
      </c>
    </row>
    <row r="2950" spans="1:15" ht="409.5">
      <c r="A2950" s="3" t="s">
        <v>10</v>
      </c>
      <c r="B2950" s="3" t="s">
        <v>11</v>
      </c>
      <c r="C2950" s="4">
        <v>2026</v>
      </c>
      <c r="D2950" s="5" t="s">
        <v>12</v>
      </c>
      <c r="E2950" s="4">
        <v>403</v>
      </c>
      <c r="F2950" s="4" t="s">
        <v>454</v>
      </c>
      <c r="G2950" s="4" t="s">
        <v>1001</v>
      </c>
      <c r="H2950" s="4" t="s">
        <v>15</v>
      </c>
      <c r="I2950" s="4" t="s">
        <v>472</v>
      </c>
      <c r="J2950" s="4" t="s">
        <v>473</v>
      </c>
      <c r="K2950" s="4" t="s">
        <v>25</v>
      </c>
      <c r="L2950" s="4" t="s">
        <v>3743</v>
      </c>
      <c r="M2950" s="4" t="s">
        <v>3746</v>
      </c>
      <c r="N2950" s="4" t="s">
        <v>3747</v>
      </c>
      <c r="O2950" s="17">
        <f>INDEX('список ID из СУЭ с должностями'!$A:$F,MATCH(E2950,'список ID из СУЭ с должностями'!$B:$B,0),5)</f>
        <v>0</v>
      </c>
    </row>
    <row r="2951" spans="1:15" ht="150">
      <c r="A2951" s="3" t="s">
        <v>10</v>
      </c>
      <c r="B2951" s="3" t="s">
        <v>11</v>
      </c>
      <c r="C2951" s="4">
        <v>2026</v>
      </c>
      <c r="D2951" s="5" t="s">
        <v>12</v>
      </c>
      <c r="E2951" s="4">
        <v>403</v>
      </c>
      <c r="F2951" s="4" t="s">
        <v>454</v>
      </c>
      <c r="G2951" s="4" t="s">
        <v>1001</v>
      </c>
      <c r="H2951" s="4" t="s">
        <v>15</v>
      </c>
      <c r="I2951" s="4" t="s">
        <v>471</v>
      </c>
      <c r="J2951" s="4" t="s">
        <v>463</v>
      </c>
      <c r="K2951" s="4" t="s">
        <v>188</v>
      </c>
      <c r="L2951" s="4" t="s">
        <v>3742</v>
      </c>
      <c r="M2951" s="4" t="s">
        <v>3746</v>
      </c>
      <c r="N2951" s="4" t="s">
        <v>3747</v>
      </c>
      <c r="O2951" s="17">
        <f>INDEX('список ID из СУЭ с должностями'!$A:$F,MATCH(E2951,'список ID из СУЭ с должностями'!$B:$B,0),5)</f>
        <v>0</v>
      </c>
    </row>
    <row r="2952" spans="1:15" ht="105">
      <c r="A2952" s="3" t="s">
        <v>10</v>
      </c>
      <c r="B2952" s="3" t="s">
        <v>11</v>
      </c>
      <c r="C2952" s="4">
        <v>2026</v>
      </c>
      <c r="D2952" s="5" t="s">
        <v>12</v>
      </c>
      <c r="E2952" s="4">
        <v>404</v>
      </c>
      <c r="F2952" s="4" t="s">
        <v>67</v>
      </c>
      <c r="G2952" s="4" t="s">
        <v>2429</v>
      </c>
      <c r="H2952" s="4" t="s">
        <v>41</v>
      </c>
      <c r="I2952" s="4" t="s">
        <v>3026</v>
      </c>
      <c r="J2952" s="4" t="s">
        <v>3027</v>
      </c>
      <c r="K2952" s="4" t="s">
        <v>52</v>
      </c>
      <c r="L2952" s="4" t="s">
        <v>3743</v>
      </c>
      <c r="M2952" s="4" t="s">
        <v>3746</v>
      </c>
      <c r="N2952" s="4" t="s">
        <v>3747</v>
      </c>
      <c r="O2952" s="17">
        <f>INDEX('список ID из СУЭ с должностями'!$A:$F,MATCH(E2952,'список ID из СУЭ с должностями'!$B:$B,0),5)</f>
        <v>0</v>
      </c>
    </row>
    <row r="2953" spans="1:15" ht="105">
      <c r="A2953" s="3" t="s">
        <v>10</v>
      </c>
      <c r="B2953" s="3" t="s">
        <v>11</v>
      </c>
      <c r="C2953" s="4">
        <v>2026</v>
      </c>
      <c r="D2953" s="5" t="s">
        <v>12</v>
      </c>
      <c r="E2953" s="4">
        <v>404</v>
      </c>
      <c r="F2953" s="4" t="s">
        <v>67</v>
      </c>
      <c r="G2953" s="4" t="s">
        <v>2429</v>
      </c>
      <c r="H2953" s="4" t="s">
        <v>15</v>
      </c>
      <c r="I2953" s="4" t="s">
        <v>149</v>
      </c>
      <c r="J2953" s="4" t="s">
        <v>3028</v>
      </c>
      <c r="K2953" s="4" t="s">
        <v>52</v>
      </c>
      <c r="L2953" s="4" t="s">
        <v>3743</v>
      </c>
      <c r="M2953" s="4" t="s">
        <v>3746</v>
      </c>
      <c r="N2953" s="4" t="s">
        <v>3747</v>
      </c>
      <c r="O2953" s="17">
        <f>INDEX('список ID из СУЭ с должностями'!$A:$F,MATCH(E2953,'список ID из СУЭ с должностями'!$B:$B,0),5)</f>
        <v>0</v>
      </c>
    </row>
    <row r="2954" spans="1:15" ht="105">
      <c r="A2954" s="3" t="s">
        <v>10</v>
      </c>
      <c r="B2954" s="3" t="s">
        <v>11</v>
      </c>
      <c r="C2954" s="4">
        <v>2026</v>
      </c>
      <c r="D2954" s="5" t="s">
        <v>12</v>
      </c>
      <c r="E2954" s="4">
        <v>404</v>
      </c>
      <c r="F2954" s="4" t="s">
        <v>67</v>
      </c>
      <c r="G2954" s="4" t="s">
        <v>2429</v>
      </c>
      <c r="H2954" s="4" t="s">
        <v>21</v>
      </c>
      <c r="I2954" s="4" t="s">
        <v>2432</v>
      </c>
      <c r="J2954" s="4" t="s">
        <v>2433</v>
      </c>
      <c r="K2954" s="4" t="s">
        <v>25</v>
      </c>
      <c r="L2954" s="4" t="s">
        <v>3743</v>
      </c>
      <c r="M2954" s="4" t="s">
        <v>3746</v>
      </c>
      <c r="N2954" s="4" t="s">
        <v>3747</v>
      </c>
      <c r="O2954" s="17">
        <f>INDEX('список ID из СУЭ с должностями'!$A:$F,MATCH(E2954,'список ID из СУЭ с должностями'!$B:$B,0),5)</f>
        <v>0</v>
      </c>
    </row>
    <row r="2955" spans="1:15" ht="360">
      <c r="A2955" s="3" t="s">
        <v>10</v>
      </c>
      <c r="B2955" s="3" t="s">
        <v>11</v>
      </c>
      <c r="C2955" s="4">
        <v>2026</v>
      </c>
      <c r="D2955" s="5" t="s">
        <v>12</v>
      </c>
      <c r="E2955" s="4">
        <v>404</v>
      </c>
      <c r="F2955" s="4" t="s">
        <v>67</v>
      </c>
      <c r="G2955" s="4" t="s">
        <v>2429</v>
      </c>
      <c r="H2955" s="4" t="s">
        <v>15</v>
      </c>
      <c r="I2955" s="4" t="s">
        <v>1002</v>
      </c>
      <c r="J2955" s="4" t="s">
        <v>3029</v>
      </c>
      <c r="K2955" s="4" t="s">
        <v>66</v>
      </c>
      <c r="L2955" s="4" t="s">
        <v>3743</v>
      </c>
      <c r="M2955" s="4" t="s">
        <v>3746</v>
      </c>
      <c r="N2955" s="4" t="s">
        <v>3747</v>
      </c>
      <c r="O2955" s="17">
        <f>INDEX('список ID из СУЭ с должностями'!$A:$F,MATCH(E2955,'список ID из СУЭ с должностями'!$B:$B,0),5)</f>
        <v>0</v>
      </c>
    </row>
    <row r="2956" spans="1:15" ht="180">
      <c r="A2956" s="3" t="s">
        <v>10</v>
      </c>
      <c r="B2956" s="3" t="s">
        <v>11</v>
      </c>
      <c r="C2956" s="4">
        <v>2026</v>
      </c>
      <c r="D2956" s="5" t="s">
        <v>12</v>
      </c>
      <c r="E2956" s="4">
        <v>404</v>
      </c>
      <c r="F2956" s="4" t="s">
        <v>67</v>
      </c>
      <c r="G2956" s="4" t="s">
        <v>2429</v>
      </c>
      <c r="H2956" s="4" t="s">
        <v>15</v>
      </c>
      <c r="I2956" s="4" t="s">
        <v>460</v>
      </c>
      <c r="J2956" s="4" t="s">
        <v>3030</v>
      </c>
      <c r="K2956" s="4" t="s">
        <v>38</v>
      </c>
      <c r="L2956" s="4" t="s">
        <v>3743</v>
      </c>
      <c r="M2956" s="4" t="s">
        <v>3746</v>
      </c>
      <c r="N2956" s="4" t="s">
        <v>3747</v>
      </c>
      <c r="O2956" s="17">
        <f>INDEX('список ID из СУЭ с должностями'!$A:$F,MATCH(E2956,'список ID из СУЭ с должностями'!$B:$B,0),5)</f>
        <v>0</v>
      </c>
    </row>
    <row r="2957" spans="1:15" ht="105">
      <c r="A2957" s="3" t="s">
        <v>10</v>
      </c>
      <c r="B2957" s="3" t="s">
        <v>11</v>
      </c>
      <c r="C2957" s="4">
        <v>2026</v>
      </c>
      <c r="D2957" s="5" t="s">
        <v>12</v>
      </c>
      <c r="E2957" s="4">
        <v>404</v>
      </c>
      <c r="F2957" s="4" t="s">
        <v>67</v>
      </c>
      <c r="G2957" s="4" t="s">
        <v>2429</v>
      </c>
      <c r="H2957" s="4" t="s">
        <v>15</v>
      </c>
      <c r="I2957" s="4" t="s">
        <v>303</v>
      </c>
      <c r="J2957" s="4" t="s">
        <v>3031</v>
      </c>
      <c r="K2957" s="4" t="s">
        <v>52</v>
      </c>
      <c r="L2957" s="4" t="s">
        <v>3743</v>
      </c>
      <c r="M2957" s="4" t="s">
        <v>3746</v>
      </c>
      <c r="N2957" s="4" t="s">
        <v>3747</v>
      </c>
      <c r="O2957" s="17">
        <f>INDEX('список ID из СУЭ с должностями'!$A:$F,MATCH(E2957,'список ID из СУЭ с должностями'!$B:$B,0),5)</f>
        <v>0</v>
      </c>
    </row>
    <row r="2958" spans="1:15" ht="120">
      <c r="A2958" s="3" t="s">
        <v>10</v>
      </c>
      <c r="B2958" s="3" t="s">
        <v>11</v>
      </c>
      <c r="C2958" s="4">
        <v>2026</v>
      </c>
      <c r="D2958" s="5" t="s">
        <v>12</v>
      </c>
      <c r="E2958" s="4">
        <v>405</v>
      </c>
      <c r="F2958" s="4" t="s">
        <v>39</v>
      </c>
      <c r="G2958" s="4" t="s">
        <v>3032</v>
      </c>
      <c r="H2958" s="4" t="s">
        <v>15</v>
      </c>
      <c r="I2958" s="4" t="s">
        <v>198</v>
      </c>
      <c r="J2958" s="4" t="s">
        <v>2035</v>
      </c>
      <c r="K2958" s="4" t="s">
        <v>20</v>
      </c>
      <c r="L2958" s="4" t="s">
        <v>3743</v>
      </c>
      <c r="M2958" s="4" t="s">
        <v>3746</v>
      </c>
      <c r="N2958" s="4" t="s">
        <v>3747</v>
      </c>
      <c r="O2958" s="17" t="str">
        <f>INDEX('список ID из СУЭ с должностями'!$A:$F,MATCH(E2958,'список ID из СУЭ с должностями'!$B:$B,0),5)</f>
        <v>НС</v>
      </c>
    </row>
    <row r="2959" spans="1:15" ht="225">
      <c r="A2959" s="3" t="s">
        <v>10</v>
      </c>
      <c r="B2959" s="3" t="s">
        <v>11</v>
      </c>
      <c r="C2959" s="4">
        <v>2026</v>
      </c>
      <c r="D2959" s="5" t="s">
        <v>12</v>
      </c>
      <c r="E2959" s="4">
        <v>405</v>
      </c>
      <c r="F2959" s="4" t="s">
        <v>39</v>
      </c>
      <c r="G2959" s="4" t="s">
        <v>3032</v>
      </c>
      <c r="H2959" s="4" t="s">
        <v>15</v>
      </c>
      <c r="I2959" s="4" t="s">
        <v>189</v>
      </c>
      <c r="J2959" s="4" t="s">
        <v>2034</v>
      </c>
      <c r="K2959" s="4" t="s">
        <v>66</v>
      </c>
      <c r="L2959" s="4" t="s">
        <v>3743</v>
      </c>
      <c r="M2959" s="4" t="s">
        <v>3746</v>
      </c>
      <c r="N2959" s="4" t="s">
        <v>3747</v>
      </c>
      <c r="O2959" s="17" t="str">
        <f>INDEX('список ID из СУЭ с должностями'!$A:$F,MATCH(E2959,'список ID из СУЭ с должностями'!$B:$B,0),5)</f>
        <v>НС</v>
      </c>
    </row>
    <row r="2960" spans="1:15" ht="285">
      <c r="A2960" s="3" t="s">
        <v>10</v>
      </c>
      <c r="B2960" s="3" t="s">
        <v>11</v>
      </c>
      <c r="C2960" s="4">
        <v>2026</v>
      </c>
      <c r="D2960" s="5" t="s">
        <v>12</v>
      </c>
      <c r="E2960" s="4">
        <v>405</v>
      </c>
      <c r="F2960" s="4" t="s">
        <v>39</v>
      </c>
      <c r="G2960" s="4" t="s">
        <v>3032</v>
      </c>
      <c r="H2960" s="4" t="s">
        <v>15</v>
      </c>
      <c r="I2960" s="4" t="s">
        <v>984</v>
      </c>
      <c r="J2960" s="4" t="s">
        <v>2033</v>
      </c>
      <c r="K2960" s="4" t="s">
        <v>66</v>
      </c>
      <c r="L2960" s="4" t="s">
        <v>3743</v>
      </c>
      <c r="M2960" s="4" t="s">
        <v>3746</v>
      </c>
      <c r="N2960" s="4" t="s">
        <v>3747</v>
      </c>
      <c r="O2960" s="17" t="str">
        <f>INDEX('список ID из СУЭ с должностями'!$A:$F,MATCH(E2960,'список ID из СУЭ с должностями'!$B:$B,0),5)</f>
        <v>НС</v>
      </c>
    </row>
    <row r="2961" spans="1:15" ht="285">
      <c r="A2961" s="3" t="s">
        <v>10</v>
      </c>
      <c r="B2961" s="3" t="s">
        <v>11</v>
      </c>
      <c r="C2961" s="4">
        <v>2026</v>
      </c>
      <c r="D2961" s="5" t="s">
        <v>12</v>
      </c>
      <c r="E2961" s="4">
        <v>405</v>
      </c>
      <c r="F2961" s="4" t="s">
        <v>39</v>
      </c>
      <c r="G2961" s="4" t="s">
        <v>3032</v>
      </c>
      <c r="H2961" s="4" t="s">
        <v>15</v>
      </c>
      <c r="I2961" s="4" t="s">
        <v>2025</v>
      </c>
      <c r="J2961" s="4" t="s">
        <v>2026</v>
      </c>
      <c r="K2961" s="4" t="s">
        <v>25</v>
      </c>
      <c r="L2961" s="4" t="s">
        <v>3743</v>
      </c>
      <c r="M2961" s="4" t="s">
        <v>3746</v>
      </c>
      <c r="N2961" s="4" t="s">
        <v>3747</v>
      </c>
      <c r="O2961" s="17" t="str">
        <f>INDEX('список ID из СУЭ с должностями'!$A:$F,MATCH(E2961,'список ID из СУЭ с должностями'!$B:$B,0),5)</f>
        <v>НС</v>
      </c>
    </row>
    <row r="2962" spans="1:15" ht="195">
      <c r="A2962" s="3" t="s">
        <v>10</v>
      </c>
      <c r="B2962" s="3" t="s">
        <v>11</v>
      </c>
      <c r="C2962" s="4">
        <v>2026</v>
      </c>
      <c r="D2962" s="5" t="s">
        <v>12</v>
      </c>
      <c r="E2962" s="4">
        <v>405</v>
      </c>
      <c r="F2962" s="4" t="s">
        <v>39</v>
      </c>
      <c r="G2962" s="4" t="s">
        <v>3032</v>
      </c>
      <c r="H2962" s="4" t="s">
        <v>15</v>
      </c>
      <c r="I2962" s="4" t="s">
        <v>2027</v>
      </c>
      <c r="J2962" s="4" t="s">
        <v>3033</v>
      </c>
      <c r="K2962" s="4" t="s">
        <v>66</v>
      </c>
      <c r="L2962" s="4" t="s">
        <v>3743</v>
      </c>
      <c r="M2962" s="4" t="s">
        <v>3746</v>
      </c>
      <c r="N2962" s="4" t="s">
        <v>3747</v>
      </c>
      <c r="O2962" s="17" t="str">
        <f>INDEX('список ID из СУЭ с должностями'!$A:$F,MATCH(E2962,'список ID из СУЭ с должностями'!$B:$B,0),5)</f>
        <v>НС</v>
      </c>
    </row>
    <row r="2963" spans="1:15" ht="60">
      <c r="A2963" s="3" t="s">
        <v>10</v>
      </c>
      <c r="B2963" s="3" t="s">
        <v>11</v>
      </c>
      <c r="C2963" s="4">
        <v>2026</v>
      </c>
      <c r="D2963" s="5" t="s">
        <v>12</v>
      </c>
      <c r="E2963" s="4">
        <v>405</v>
      </c>
      <c r="F2963" s="4" t="s">
        <v>39</v>
      </c>
      <c r="G2963" s="4" t="s">
        <v>3032</v>
      </c>
      <c r="H2963" s="4" t="s">
        <v>21</v>
      </c>
      <c r="I2963" s="4" t="s">
        <v>2036</v>
      </c>
      <c r="J2963" s="4" t="s">
        <v>2037</v>
      </c>
      <c r="K2963" s="4" t="s">
        <v>66</v>
      </c>
      <c r="L2963" s="4" t="s">
        <v>3743</v>
      </c>
      <c r="M2963" s="4" t="s">
        <v>3746</v>
      </c>
      <c r="N2963" s="4" t="s">
        <v>3747</v>
      </c>
      <c r="O2963" s="17" t="str">
        <f>INDEX('список ID из СУЭ с должностями'!$A:$F,MATCH(E2963,'список ID из СУЭ с должностями'!$B:$B,0),5)</f>
        <v>НС</v>
      </c>
    </row>
    <row r="2964" spans="1:15" ht="409.5">
      <c r="A2964" s="3" t="s">
        <v>10</v>
      </c>
      <c r="B2964" s="3" t="s">
        <v>11</v>
      </c>
      <c r="C2964" s="4">
        <v>2026</v>
      </c>
      <c r="D2964" s="5" t="s">
        <v>12</v>
      </c>
      <c r="E2964" s="4">
        <v>405</v>
      </c>
      <c r="F2964" s="4" t="s">
        <v>39</v>
      </c>
      <c r="G2964" s="4" t="s">
        <v>3032</v>
      </c>
      <c r="H2964" s="4" t="s">
        <v>15</v>
      </c>
      <c r="I2964" s="4" t="s">
        <v>2023</v>
      </c>
      <c r="J2964" s="4" t="s">
        <v>2024</v>
      </c>
      <c r="K2964" s="4" t="s">
        <v>35</v>
      </c>
      <c r="L2964" s="4" t="s">
        <v>3743</v>
      </c>
      <c r="M2964" s="4" t="s">
        <v>3746</v>
      </c>
      <c r="N2964" s="4" t="s">
        <v>3747</v>
      </c>
      <c r="O2964" s="17" t="str">
        <f>INDEX('список ID из СУЭ с должностями'!$A:$F,MATCH(E2964,'список ID из СУЭ с должностями'!$B:$B,0),5)</f>
        <v>НС</v>
      </c>
    </row>
    <row r="2965" spans="1:15" ht="345">
      <c r="A2965" s="3" t="s">
        <v>10</v>
      </c>
      <c r="B2965" s="3" t="s">
        <v>11</v>
      </c>
      <c r="C2965" s="4">
        <v>2026</v>
      </c>
      <c r="D2965" s="5" t="s">
        <v>12</v>
      </c>
      <c r="E2965" s="4">
        <v>405</v>
      </c>
      <c r="F2965" s="4" t="s">
        <v>39</v>
      </c>
      <c r="G2965" s="4" t="s">
        <v>3032</v>
      </c>
      <c r="H2965" s="4" t="s">
        <v>15</v>
      </c>
      <c r="I2965" s="4" t="s">
        <v>2029</v>
      </c>
      <c r="J2965" s="4" t="s">
        <v>3034</v>
      </c>
      <c r="K2965" s="4" t="s">
        <v>55</v>
      </c>
      <c r="L2965" s="4" t="s">
        <v>3743</v>
      </c>
      <c r="M2965" s="4" t="s">
        <v>3746</v>
      </c>
      <c r="N2965" s="4" t="s">
        <v>3747</v>
      </c>
      <c r="O2965" s="17" t="str">
        <f>INDEX('список ID из СУЭ с должностями'!$A:$F,MATCH(E2965,'список ID из СУЭ с должностями'!$B:$B,0),5)</f>
        <v>НС</v>
      </c>
    </row>
    <row r="2966" spans="1:15" ht="240">
      <c r="A2966" s="3" t="s">
        <v>10</v>
      </c>
      <c r="B2966" s="3" t="s">
        <v>11</v>
      </c>
      <c r="C2966" s="4">
        <v>2026</v>
      </c>
      <c r="D2966" s="5" t="s">
        <v>12</v>
      </c>
      <c r="E2966" s="4">
        <v>405</v>
      </c>
      <c r="F2966" s="4" t="s">
        <v>39</v>
      </c>
      <c r="G2966" s="4" t="s">
        <v>3032</v>
      </c>
      <c r="H2966" s="4" t="s">
        <v>15</v>
      </c>
      <c r="I2966" s="4" t="s">
        <v>2031</v>
      </c>
      <c r="J2966" s="4" t="s">
        <v>2032</v>
      </c>
      <c r="K2966" s="4" t="s">
        <v>38</v>
      </c>
      <c r="L2966" s="4" t="s">
        <v>3743</v>
      </c>
      <c r="M2966" s="4" t="s">
        <v>3746</v>
      </c>
      <c r="N2966" s="4" t="s">
        <v>3747</v>
      </c>
      <c r="O2966" s="17" t="str">
        <f>INDEX('список ID из СУЭ с должностями'!$A:$F,MATCH(E2966,'список ID из СУЭ с должностями'!$B:$B,0),5)</f>
        <v>НС</v>
      </c>
    </row>
    <row r="2967" spans="1:15" ht="75">
      <c r="A2967" s="3" t="s">
        <v>10</v>
      </c>
      <c r="B2967" s="3" t="s">
        <v>11</v>
      </c>
      <c r="C2967" s="4">
        <v>2026</v>
      </c>
      <c r="D2967" s="5" t="s">
        <v>12</v>
      </c>
      <c r="E2967" s="4">
        <v>406</v>
      </c>
      <c r="F2967" s="4" t="s">
        <v>88</v>
      </c>
      <c r="G2967" s="4" t="s">
        <v>365</v>
      </c>
      <c r="H2967" s="4" t="s">
        <v>21</v>
      </c>
      <c r="I2967" s="4" t="s">
        <v>368</v>
      </c>
      <c r="J2967" s="4" t="s">
        <v>3035</v>
      </c>
      <c r="K2967" s="4" t="s">
        <v>22</v>
      </c>
      <c r="L2967" s="4" t="s">
        <v>3743</v>
      </c>
      <c r="M2967" s="4" t="s">
        <v>3750</v>
      </c>
      <c r="N2967" s="4" t="s">
        <v>3781</v>
      </c>
      <c r="O2967" s="17">
        <f>INDEX('список ID из СУЭ с должностями'!$A:$F,MATCH(E2967,'список ID из СУЭ с должностями'!$B:$B,0),5)</f>
        <v>0</v>
      </c>
    </row>
    <row r="2968" spans="1:15" ht="120">
      <c r="A2968" s="3" t="s">
        <v>10</v>
      </c>
      <c r="B2968" s="3" t="s">
        <v>11</v>
      </c>
      <c r="C2968" s="4">
        <v>2026</v>
      </c>
      <c r="D2968" s="5" t="s">
        <v>12</v>
      </c>
      <c r="E2968" s="4">
        <v>406</v>
      </c>
      <c r="F2968" s="4" t="s">
        <v>88</v>
      </c>
      <c r="G2968" s="4" t="s">
        <v>365</v>
      </c>
      <c r="H2968" s="4" t="s">
        <v>21</v>
      </c>
      <c r="I2968" s="4" t="s">
        <v>3036</v>
      </c>
      <c r="J2968" s="4" t="s">
        <v>3037</v>
      </c>
      <c r="K2968" s="4" t="s">
        <v>22</v>
      </c>
      <c r="L2968" s="4" t="s">
        <v>3743</v>
      </c>
      <c r="M2968" s="4" t="s">
        <v>3750</v>
      </c>
      <c r="N2968" s="4" t="s">
        <v>3781</v>
      </c>
      <c r="O2968" s="17">
        <f>INDEX('список ID из СУЭ с должностями'!$A:$F,MATCH(E2968,'список ID из СУЭ с должностями'!$B:$B,0),5)</f>
        <v>0</v>
      </c>
    </row>
    <row r="2969" spans="1:15" ht="75">
      <c r="A2969" s="3" t="s">
        <v>10</v>
      </c>
      <c r="B2969" s="3" t="s">
        <v>11</v>
      </c>
      <c r="C2969" s="4">
        <v>2026</v>
      </c>
      <c r="D2969" s="5" t="s">
        <v>12</v>
      </c>
      <c r="E2969" s="4">
        <v>406</v>
      </c>
      <c r="F2969" s="4" t="s">
        <v>88</v>
      </c>
      <c r="G2969" s="4" t="s">
        <v>365</v>
      </c>
      <c r="H2969" s="4" t="s">
        <v>21</v>
      </c>
      <c r="I2969" s="4" t="s">
        <v>3038</v>
      </c>
      <c r="J2969" s="4" t="s">
        <v>3039</v>
      </c>
      <c r="K2969" s="4" t="s">
        <v>25</v>
      </c>
      <c r="L2969" s="4" t="s">
        <v>3743</v>
      </c>
      <c r="M2969" s="4" t="s">
        <v>3746</v>
      </c>
      <c r="N2969" s="4" t="s">
        <v>3747</v>
      </c>
      <c r="O2969" s="17">
        <f>INDEX('список ID из СУЭ с должностями'!$A:$F,MATCH(E2969,'список ID из СУЭ с должностями'!$B:$B,0),5)</f>
        <v>0</v>
      </c>
    </row>
    <row r="2970" spans="1:15" ht="270">
      <c r="A2970" s="3" t="s">
        <v>10</v>
      </c>
      <c r="B2970" s="3" t="s">
        <v>11</v>
      </c>
      <c r="C2970" s="4">
        <v>2026</v>
      </c>
      <c r="D2970" s="5" t="s">
        <v>12</v>
      </c>
      <c r="E2970" s="4">
        <v>406</v>
      </c>
      <c r="F2970" s="4" t="s">
        <v>88</v>
      </c>
      <c r="G2970" s="4" t="s">
        <v>365</v>
      </c>
      <c r="H2970" s="4" t="s">
        <v>41</v>
      </c>
      <c r="I2970" s="4" t="s">
        <v>3040</v>
      </c>
      <c r="J2970" s="4" t="s">
        <v>3041</v>
      </c>
      <c r="K2970" s="4" t="s">
        <v>35</v>
      </c>
      <c r="L2970" s="4" t="s">
        <v>3743</v>
      </c>
      <c r="M2970" s="4" t="s">
        <v>3746</v>
      </c>
      <c r="N2970" s="4" t="s">
        <v>3747</v>
      </c>
      <c r="O2970" s="17">
        <f>INDEX('список ID из СУЭ с должностями'!$A:$F,MATCH(E2970,'список ID из СУЭ с должностями'!$B:$B,0),5)</f>
        <v>0</v>
      </c>
    </row>
    <row r="2971" spans="1:15" ht="75">
      <c r="A2971" s="3" t="s">
        <v>10</v>
      </c>
      <c r="B2971" s="3" t="s">
        <v>11</v>
      </c>
      <c r="C2971" s="4">
        <v>2026</v>
      </c>
      <c r="D2971" s="5" t="s">
        <v>12</v>
      </c>
      <c r="E2971" s="4">
        <v>406</v>
      </c>
      <c r="F2971" s="4" t="s">
        <v>88</v>
      </c>
      <c r="G2971" s="4" t="s">
        <v>365</v>
      </c>
      <c r="H2971" s="4" t="s">
        <v>41</v>
      </c>
      <c r="I2971" s="4" t="s">
        <v>3042</v>
      </c>
      <c r="J2971" s="4" t="s">
        <v>109</v>
      </c>
      <c r="K2971" s="4" t="s">
        <v>30</v>
      </c>
      <c r="L2971" s="4" t="s">
        <v>3742</v>
      </c>
      <c r="M2971" s="4" t="s">
        <v>3746</v>
      </c>
      <c r="N2971" s="4" t="s">
        <v>3747</v>
      </c>
      <c r="O2971" s="17">
        <f>INDEX('список ID из СУЭ с должностями'!$A:$F,MATCH(E2971,'список ID из СУЭ с должностями'!$B:$B,0),5)</f>
        <v>0</v>
      </c>
    </row>
    <row r="2972" spans="1:15" ht="75">
      <c r="A2972" s="3" t="s">
        <v>10</v>
      </c>
      <c r="B2972" s="3" t="s">
        <v>11</v>
      </c>
      <c r="C2972" s="4">
        <v>2026</v>
      </c>
      <c r="D2972" s="5" t="s">
        <v>12</v>
      </c>
      <c r="E2972" s="4">
        <v>406</v>
      </c>
      <c r="F2972" s="4" t="s">
        <v>88</v>
      </c>
      <c r="G2972" s="4" t="s">
        <v>365</v>
      </c>
      <c r="H2972" s="4" t="s">
        <v>21</v>
      </c>
      <c r="I2972" s="4" t="s">
        <v>375</v>
      </c>
      <c r="J2972" s="4" t="s">
        <v>115</v>
      </c>
      <c r="K2972" s="4" t="s">
        <v>22</v>
      </c>
      <c r="L2972" s="4" t="s">
        <v>3742</v>
      </c>
      <c r="M2972" s="4" t="s">
        <v>3750</v>
      </c>
      <c r="N2972" s="4" t="s">
        <v>3781</v>
      </c>
      <c r="O2972" s="17">
        <f>INDEX('список ID из СУЭ с должностями'!$A:$F,MATCH(E2972,'список ID из СУЭ с должностями'!$B:$B,0),5)</f>
        <v>0</v>
      </c>
    </row>
    <row r="2973" spans="1:15" ht="75">
      <c r="A2973" s="3" t="s">
        <v>10</v>
      </c>
      <c r="B2973" s="3" t="s">
        <v>11</v>
      </c>
      <c r="C2973" s="4">
        <v>2026</v>
      </c>
      <c r="D2973" s="5" t="s">
        <v>12</v>
      </c>
      <c r="E2973" s="4">
        <v>406</v>
      </c>
      <c r="F2973" s="4" t="s">
        <v>88</v>
      </c>
      <c r="G2973" s="4" t="s">
        <v>365</v>
      </c>
      <c r="H2973" s="4" t="s">
        <v>15</v>
      </c>
      <c r="I2973" s="4" t="s">
        <v>2958</v>
      </c>
      <c r="J2973" s="4" t="s">
        <v>378</v>
      </c>
      <c r="K2973" s="4" t="s">
        <v>30</v>
      </c>
      <c r="L2973" s="4" t="s">
        <v>3742</v>
      </c>
      <c r="M2973" s="4" t="s">
        <v>3746</v>
      </c>
      <c r="N2973" s="4" t="s">
        <v>3747</v>
      </c>
      <c r="O2973" s="17">
        <f>INDEX('список ID из СУЭ с должностями'!$A:$F,MATCH(E2973,'список ID из СУЭ с должностями'!$B:$B,0),5)</f>
        <v>0</v>
      </c>
    </row>
    <row r="2974" spans="1:15" ht="75">
      <c r="A2974" s="3" t="s">
        <v>10</v>
      </c>
      <c r="B2974" s="3" t="s">
        <v>11</v>
      </c>
      <c r="C2974" s="4">
        <v>2026</v>
      </c>
      <c r="D2974" s="5" t="s">
        <v>12</v>
      </c>
      <c r="E2974" s="4">
        <v>406</v>
      </c>
      <c r="F2974" s="4" t="s">
        <v>88</v>
      </c>
      <c r="G2974" s="4" t="s">
        <v>365</v>
      </c>
      <c r="H2974" s="4" t="s">
        <v>15</v>
      </c>
      <c r="I2974" s="4" t="s">
        <v>3043</v>
      </c>
      <c r="J2974" s="4" t="s">
        <v>3044</v>
      </c>
      <c r="K2974" s="4" t="s">
        <v>3045</v>
      </c>
      <c r="L2974" s="4" t="s">
        <v>3742</v>
      </c>
      <c r="M2974" s="4" t="s">
        <v>3750</v>
      </c>
      <c r="N2974" s="4" t="s">
        <v>3781</v>
      </c>
      <c r="O2974" s="17">
        <f>INDEX('список ID из СУЭ с должностями'!$A:$F,MATCH(E2974,'список ID из СУЭ с должностями'!$B:$B,0),5)</f>
        <v>0</v>
      </c>
    </row>
    <row r="2975" spans="1:15" ht="150">
      <c r="A2975" s="3" t="s">
        <v>10</v>
      </c>
      <c r="B2975" s="3" t="s">
        <v>11</v>
      </c>
      <c r="C2975" s="4">
        <v>2026</v>
      </c>
      <c r="D2975" s="5" t="s">
        <v>12</v>
      </c>
      <c r="E2975" s="4">
        <v>406</v>
      </c>
      <c r="F2975" s="4" t="s">
        <v>88</v>
      </c>
      <c r="G2975" s="4" t="s">
        <v>365</v>
      </c>
      <c r="H2975" s="4" t="s">
        <v>15</v>
      </c>
      <c r="I2975" s="4" t="s">
        <v>36</v>
      </c>
      <c r="J2975" s="4" t="s">
        <v>37</v>
      </c>
      <c r="K2975" s="4" t="s">
        <v>38</v>
      </c>
      <c r="L2975" s="4" t="s">
        <v>3743</v>
      </c>
      <c r="M2975" s="4" t="s">
        <v>3746</v>
      </c>
      <c r="N2975" s="4" t="s">
        <v>3747</v>
      </c>
      <c r="O2975" s="17">
        <f>INDEX('список ID из СУЭ с должностями'!$A:$F,MATCH(E2975,'список ID из СУЭ с должностями'!$B:$B,0),5)</f>
        <v>0</v>
      </c>
    </row>
    <row r="2976" spans="1:15" ht="165">
      <c r="A2976" s="3" t="s">
        <v>10</v>
      </c>
      <c r="B2976" s="3" t="s">
        <v>11</v>
      </c>
      <c r="C2976" s="4">
        <v>2026</v>
      </c>
      <c r="D2976" s="5" t="s">
        <v>2829</v>
      </c>
      <c r="E2976" s="4">
        <v>407</v>
      </c>
      <c r="F2976" s="4" t="s">
        <v>239</v>
      </c>
      <c r="G2976" s="4" t="s">
        <v>240</v>
      </c>
      <c r="H2976" s="4" t="s">
        <v>15</v>
      </c>
      <c r="I2976" s="4" t="s">
        <v>201</v>
      </c>
      <c r="J2976" s="4" t="s">
        <v>202</v>
      </c>
      <c r="K2976" s="4" t="s">
        <v>188</v>
      </c>
      <c r="L2976" s="4" t="s">
        <v>3743</v>
      </c>
      <c r="M2976" s="4" t="s">
        <v>3746</v>
      </c>
      <c r="N2976" s="4" t="s">
        <v>3747</v>
      </c>
      <c r="O2976" s="17" t="str">
        <f>INDEX('список ID из СУЭ с должностями'!$A:$F,MATCH(E2976,'список ID из СУЭ с должностями'!$B:$B,0),5)</f>
        <v>ИПП</v>
      </c>
    </row>
    <row r="2977" spans="1:15" ht="75">
      <c r="A2977" s="3" t="s">
        <v>10</v>
      </c>
      <c r="B2977" s="3" t="s">
        <v>11</v>
      </c>
      <c r="C2977" s="4">
        <v>2026</v>
      </c>
      <c r="D2977" s="5" t="s">
        <v>2829</v>
      </c>
      <c r="E2977" s="4">
        <v>407</v>
      </c>
      <c r="F2977" s="4" t="s">
        <v>239</v>
      </c>
      <c r="G2977" s="4" t="s">
        <v>240</v>
      </c>
      <c r="H2977" s="4" t="s">
        <v>15</v>
      </c>
      <c r="I2977" s="4" t="s">
        <v>2830</v>
      </c>
      <c r="J2977" s="4" t="s">
        <v>299</v>
      </c>
      <c r="K2977" s="4" t="s">
        <v>66</v>
      </c>
      <c r="L2977" s="4" t="s">
        <v>3743</v>
      </c>
      <c r="M2977" s="4" t="s">
        <v>3746</v>
      </c>
      <c r="N2977" s="4" t="s">
        <v>3747</v>
      </c>
      <c r="O2977" s="17" t="str">
        <f>INDEX('список ID из СУЭ с должностями'!$A:$F,MATCH(E2977,'список ID из СУЭ с должностями'!$B:$B,0),5)</f>
        <v>ИПП</v>
      </c>
    </row>
    <row r="2978" spans="1:15" ht="90">
      <c r="A2978" s="3" t="s">
        <v>10</v>
      </c>
      <c r="B2978" s="3" t="s">
        <v>11</v>
      </c>
      <c r="C2978" s="4">
        <v>2026</v>
      </c>
      <c r="D2978" s="5" t="s">
        <v>2829</v>
      </c>
      <c r="E2978" s="4">
        <v>407</v>
      </c>
      <c r="F2978" s="4" t="s">
        <v>239</v>
      </c>
      <c r="G2978" s="4" t="s">
        <v>240</v>
      </c>
      <c r="H2978" s="4" t="s">
        <v>21</v>
      </c>
      <c r="I2978" s="4" t="s">
        <v>829</v>
      </c>
      <c r="J2978" s="4" t="s">
        <v>199</v>
      </c>
      <c r="K2978" s="4" t="s">
        <v>20</v>
      </c>
      <c r="L2978" s="4" t="s">
        <v>3743</v>
      </c>
      <c r="M2978" s="4" t="s">
        <v>3746</v>
      </c>
      <c r="N2978" s="4" t="s">
        <v>3747</v>
      </c>
      <c r="O2978" s="17" t="str">
        <f>INDEX('список ID из СУЭ с должностями'!$A:$F,MATCH(E2978,'список ID из СУЭ с должностями'!$B:$B,0),5)</f>
        <v>ИПП</v>
      </c>
    </row>
    <row r="2979" spans="1:15" ht="75">
      <c r="A2979" s="3" t="s">
        <v>10</v>
      </c>
      <c r="B2979" s="3" t="s">
        <v>11</v>
      </c>
      <c r="C2979" s="4">
        <v>2026</v>
      </c>
      <c r="D2979" s="5" t="s">
        <v>2829</v>
      </c>
      <c r="E2979" s="4">
        <v>407</v>
      </c>
      <c r="F2979" s="4" t="s">
        <v>239</v>
      </c>
      <c r="G2979" s="4" t="s">
        <v>240</v>
      </c>
      <c r="H2979" s="4" t="s">
        <v>15</v>
      </c>
      <c r="I2979" s="4" t="s">
        <v>48</v>
      </c>
      <c r="J2979" s="4" t="s">
        <v>187</v>
      </c>
      <c r="K2979" s="4" t="s">
        <v>35</v>
      </c>
      <c r="L2979" s="4" t="s">
        <v>3743</v>
      </c>
      <c r="M2979" s="4" t="s">
        <v>3746</v>
      </c>
      <c r="N2979" s="4" t="s">
        <v>3747</v>
      </c>
      <c r="O2979" s="17" t="str">
        <f>INDEX('список ID из СУЭ с должностями'!$A:$F,MATCH(E2979,'список ID из СУЭ с должностями'!$B:$B,0),5)</f>
        <v>ИПП</v>
      </c>
    </row>
    <row r="2980" spans="1:15" ht="75">
      <c r="A2980" s="3" t="s">
        <v>10</v>
      </c>
      <c r="B2980" s="3" t="s">
        <v>11</v>
      </c>
      <c r="C2980" s="4">
        <v>2026</v>
      </c>
      <c r="D2980" s="5" t="s">
        <v>2829</v>
      </c>
      <c r="E2980" s="4">
        <v>407</v>
      </c>
      <c r="F2980" s="4" t="s">
        <v>239</v>
      </c>
      <c r="G2980" s="4" t="s">
        <v>240</v>
      </c>
      <c r="H2980" s="4" t="s">
        <v>15</v>
      </c>
      <c r="I2980" s="4" t="s">
        <v>834</v>
      </c>
      <c r="J2980" s="4" t="s">
        <v>196</v>
      </c>
      <c r="K2980" s="4" t="s">
        <v>188</v>
      </c>
      <c r="L2980" s="4" t="s">
        <v>3742</v>
      </c>
      <c r="M2980" s="4" t="s">
        <v>3746</v>
      </c>
      <c r="N2980" s="4" t="s">
        <v>3747</v>
      </c>
      <c r="O2980" s="17" t="str">
        <f>INDEX('список ID из СУЭ с должностями'!$A:$F,MATCH(E2980,'список ID из СУЭ с должностями'!$B:$B,0),5)</f>
        <v>ИПП</v>
      </c>
    </row>
    <row r="2981" spans="1:15" ht="75">
      <c r="A2981" s="3" t="s">
        <v>10</v>
      </c>
      <c r="B2981" s="3" t="s">
        <v>11</v>
      </c>
      <c r="C2981" s="4">
        <v>2026</v>
      </c>
      <c r="D2981" s="5" t="s">
        <v>2829</v>
      </c>
      <c r="E2981" s="4">
        <v>407</v>
      </c>
      <c r="F2981" s="4" t="s">
        <v>239</v>
      </c>
      <c r="G2981" s="4" t="s">
        <v>240</v>
      </c>
      <c r="H2981" s="4" t="s">
        <v>15</v>
      </c>
      <c r="I2981" s="4" t="s">
        <v>1702</v>
      </c>
      <c r="J2981" s="4" t="s">
        <v>132</v>
      </c>
      <c r="K2981" s="4" t="s">
        <v>38</v>
      </c>
      <c r="L2981" s="4" t="s">
        <v>3742</v>
      </c>
      <c r="M2981" s="4" t="s">
        <v>3746</v>
      </c>
      <c r="N2981" s="4" t="s">
        <v>3747</v>
      </c>
      <c r="O2981" s="17" t="str">
        <f>INDEX('список ID из СУЭ с должностями'!$A:$F,MATCH(E2981,'список ID из СУЭ с должностями'!$B:$B,0),5)</f>
        <v>ИПП</v>
      </c>
    </row>
    <row r="2982" spans="1:15" ht="75">
      <c r="A2982" s="3" t="s">
        <v>10</v>
      </c>
      <c r="B2982" s="3" t="s">
        <v>11</v>
      </c>
      <c r="C2982" s="4">
        <v>2026</v>
      </c>
      <c r="D2982" s="5" t="s">
        <v>2829</v>
      </c>
      <c r="E2982" s="4">
        <v>407</v>
      </c>
      <c r="F2982" s="4" t="s">
        <v>239</v>
      </c>
      <c r="G2982" s="4" t="s">
        <v>240</v>
      </c>
      <c r="H2982" s="4" t="s">
        <v>15</v>
      </c>
      <c r="I2982" s="4" t="s">
        <v>1408</v>
      </c>
      <c r="J2982" s="4" t="s">
        <v>182</v>
      </c>
      <c r="K2982" s="4" t="s">
        <v>151</v>
      </c>
      <c r="L2982" s="4" t="s">
        <v>3742</v>
      </c>
      <c r="M2982" s="4" t="s">
        <v>3746</v>
      </c>
      <c r="N2982" s="4" t="s">
        <v>3747</v>
      </c>
      <c r="O2982" s="17" t="str">
        <f>INDEX('список ID из СУЭ с должностями'!$A:$F,MATCH(E2982,'список ID из СУЭ с должностями'!$B:$B,0),5)</f>
        <v>ИПП</v>
      </c>
    </row>
    <row r="2983" spans="1:15" ht="105">
      <c r="A2983" s="3" t="s">
        <v>10</v>
      </c>
      <c r="B2983" s="3" t="s">
        <v>11</v>
      </c>
      <c r="C2983" s="4">
        <v>2026</v>
      </c>
      <c r="D2983" s="5" t="s">
        <v>12</v>
      </c>
      <c r="E2983" s="4">
        <v>408</v>
      </c>
      <c r="F2983" s="4" t="s">
        <v>307</v>
      </c>
      <c r="G2983" s="4" t="s">
        <v>990</v>
      </c>
      <c r="H2983" s="4" t="s">
        <v>21</v>
      </c>
      <c r="I2983" s="4" t="s">
        <v>3046</v>
      </c>
      <c r="J2983" s="4" t="s">
        <v>3047</v>
      </c>
      <c r="K2983" s="4" t="s">
        <v>52</v>
      </c>
      <c r="L2983" s="4" t="s">
        <v>3743</v>
      </c>
      <c r="M2983" s="4" t="s">
        <v>3746</v>
      </c>
      <c r="N2983" s="4" t="s">
        <v>3747</v>
      </c>
      <c r="O2983" s="17">
        <f>INDEX('список ID из СУЭ с должностями'!$A:$F,MATCH(E2983,'список ID из СУЭ с должностями'!$B:$B,0),5)</f>
        <v>0</v>
      </c>
    </row>
    <row r="2984" spans="1:15" ht="90">
      <c r="A2984" s="3" t="s">
        <v>10</v>
      </c>
      <c r="B2984" s="3" t="s">
        <v>11</v>
      </c>
      <c r="C2984" s="4">
        <v>2026</v>
      </c>
      <c r="D2984" s="5" t="s">
        <v>12</v>
      </c>
      <c r="E2984" s="4">
        <v>408</v>
      </c>
      <c r="F2984" s="4" t="s">
        <v>307</v>
      </c>
      <c r="G2984" s="4" t="s">
        <v>990</v>
      </c>
      <c r="H2984" s="4" t="s">
        <v>21</v>
      </c>
      <c r="I2984" s="4" t="s">
        <v>3048</v>
      </c>
      <c r="J2984" s="4" t="s">
        <v>3049</v>
      </c>
      <c r="K2984" s="4" t="s">
        <v>52</v>
      </c>
      <c r="L2984" s="4" t="s">
        <v>3743</v>
      </c>
      <c r="M2984" s="4" t="s">
        <v>3746</v>
      </c>
      <c r="N2984" s="4" t="s">
        <v>3747</v>
      </c>
      <c r="O2984" s="17">
        <f>INDEX('список ID из СУЭ с должностями'!$A:$F,MATCH(E2984,'список ID из СУЭ с должностями'!$B:$B,0),5)</f>
        <v>0</v>
      </c>
    </row>
    <row r="2985" spans="1:15" ht="45">
      <c r="A2985" s="3" t="s">
        <v>10</v>
      </c>
      <c r="B2985" s="3" t="s">
        <v>11</v>
      </c>
      <c r="C2985" s="4">
        <v>2026</v>
      </c>
      <c r="D2985" s="5" t="s">
        <v>12</v>
      </c>
      <c r="E2985" s="4">
        <v>408</v>
      </c>
      <c r="F2985" s="4" t="s">
        <v>307</v>
      </c>
      <c r="G2985" s="4" t="s">
        <v>990</v>
      </c>
      <c r="H2985" s="4" t="s">
        <v>21</v>
      </c>
      <c r="I2985" s="4" t="s">
        <v>3050</v>
      </c>
      <c r="J2985" s="4" t="s">
        <v>3051</v>
      </c>
      <c r="K2985" s="4" t="s">
        <v>52</v>
      </c>
      <c r="L2985" s="4" t="s">
        <v>3743</v>
      </c>
      <c r="M2985" s="4" t="s">
        <v>3746</v>
      </c>
      <c r="N2985" s="4" t="s">
        <v>3747</v>
      </c>
      <c r="O2985" s="17">
        <f>INDEX('список ID из СУЭ с должностями'!$A:$F,MATCH(E2985,'список ID из СУЭ с должностями'!$B:$B,0),5)</f>
        <v>0</v>
      </c>
    </row>
    <row r="2986" spans="1:15" ht="409.5">
      <c r="A2986" s="3" t="s">
        <v>10</v>
      </c>
      <c r="B2986" s="3" t="s">
        <v>11</v>
      </c>
      <c r="C2986" s="4">
        <v>2026</v>
      </c>
      <c r="D2986" s="5" t="s">
        <v>12</v>
      </c>
      <c r="E2986" s="4">
        <v>408</v>
      </c>
      <c r="F2986" s="4" t="s">
        <v>307</v>
      </c>
      <c r="G2986" s="4" t="s">
        <v>990</v>
      </c>
      <c r="H2986" s="4" t="s">
        <v>21</v>
      </c>
      <c r="I2986" s="4" t="s">
        <v>1438</v>
      </c>
      <c r="J2986" s="4" t="s">
        <v>3052</v>
      </c>
      <c r="K2986" s="4" t="s">
        <v>66</v>
      </c>
      <c r="L2986" s="4" t="s">
        <v>3743</v>
      </c>
      <c r="M2986" s="4" t="s">
        <v>3746</v>
      </c>
      <c r="N2986" s="4" t="s">
        <v>3747</v>
      </c>
      <c r="O2986" s="17">
        <f>INDEX('список ID из СУЭ с должностями'!$A:$F,MATCH(E2986,'список ID из СУЭ с должностями'!$B:$B,0),5)</f>
        <v>0</v>
      </c>
    </row>
    <row r="2987" spans="1:15" ht="210">
      <c r="A2987" s="3" t="s">
        <v>10</v>
      </c>
      <c r="B2987" s="3" t="s">
        <v>11</v>
      </c>
      <c r="C2987" s="4">
        <v>2026</v>
      </c>
      <c r="D2987" s="5" t="s">
        <v>12</v>
      </c>
      <c r="E2987" s="4">
        <v>408</v>
      </c>
      <c r="F2987" s="4" t="s">
        <v>307</v>
      </c>
      <c r="G2987" s="4" t="s">
        <v>990</v>
      </c>
      <c r="H2987" s="4" t="s">
        <v>15</v>
      </c>
      <c r="I2987" s="4" t="s">
        <v>408</v>
      </c>
      <c r="J2987" s="4" t="s">
        <v>1435</v>
      </c>
      <c r="K2987" s="4" t="s">
        <v>35</v>
      </c>
      <c r="L2987" s="4" t="s">
        <v>3743</v>
      </c>
      <c r="M2987" s="4" t="s">
        <v>3746</v>
      </c>
      <c r="N2987" s="4" t="s">
        <v>3747</v>
      </c>
      <c r="O2987" s="17">
        <f>INDEX('список ID из СУЭ с должностями'!$A:$F,MATCH(E2987,'список ID из СУЭ с должностями'!$B:$B,0),5)</f>
        <v>0</v>
      </c>
    </row>
    <row r="2988" spans="1:15" ht="75">
      <c r="A2988" s="3" t="s">
        <v>10</v>
      </c>
      <c r="B2988" s="3" t="s">
        <v>11</v>
      </c>
      <c r="C2988" s="4">
        <v>2026</v>
      </c>
      <c r="D2988" s="5" t="s">
        <v>12</v>
      </c>
      <c r="E2988" s="4">
        <v>408</v>
      </c>
      <c r="F2988" s="4" t="s">
        <v>307</v>
      </c>
      <c r="G2988" s="4" t="s">
        <v>990</v>
      </c>
      <c r="H2988" s="4" t="s">
        <v>21</v>
      </c>
      <c r="I2988" s="4" t="s">
        <v>3053</v>
      </c>
      <c r="J2988" s="4" t="s">
        <v>3054</v>
      </c>
      <c r="K2988" s="4" t="s">
        <v>220</v>
      </c>
      <c r="L2988" s="4" t="s">
        <v>3743</v>
      </c>
      <c r="M2988" s="4" t="s">
        <v>3753</v>
      </c>
      <c r="N2988" s="4" t="s">
        <v>3747</v>
      </c>
      <c r="O2988" s="17">
        <f>INDEX('список ID из СУЭ с должностями'!$A:$F,MATCH(E2988,'список ID из СУЭ с должностями'!$B:$B,0),5)</f>
        <v>0</v>
      </c>
    </row>
    <row r="2989" spans="1:15" ht="409.5">
      <c r="A2989" s="3" t="s">
        <v>10</v>
      </c>
      <c r="B2989" s="3" t="s">
        <v>11</v>
      </c>
      <c r="C2989" s="4">
        <v>2026</v>
      </c>
      <c r="D2989" s="5" t="s">
        <v>12</v>
      </c>
      <c r="E2989" s="4">
        <v>408</v>
      </c>
      <c r="F2989" s="4" t="s">
        <v>307</v>
      </c>
      <c r="G2989" s="4" t="s">
        <v>990</v>
      </c>
      <c r="H2989" s="4" t="s">
        <v>21</v>
      </c>
      <c r="I2989" s="4" t="s">
        <v>899</v>
      </c>
      <c r="J2989" s="4" t="s">
        <v>3055</v>
      </c>
      <c r="K2989" s="4" t="s">
        <v>55</v>
      </c>
      <c r="L2989" s="4" t="s">
        <v>3743</v>
      </c>
      <c r="M2989" s="4" t="s">
        <v>3746</v>
      </c>
      <c r="N2989" s="4" t="s">
        <v>3747</v>
      </c>
      <c r="O2989" s="17">
        <f>INDEX('список ID из СУЭ с должностями'!$A:$F,MATCH(E2989,'список ID из СУЭ с должностями'!$B:$B,0),5)</f>
        <v>0</v>
      </c>
    </row>
    <row r="2990" spans="1:15" ht="409.5">
      <c r="A2990" s="3" t="s">
        <v>10</v>
      </c>
      <c r="B2990" s="3" t="s">
        <v>11</v>
      </c>
      <c r="C2990" s="4">
        <v>2026</v>
      </c>
      <c r="D2990" s="5" t="s">
        <v>12</v>
      </c>
      <c r="E2990" s="4">
        <v>408</v>
      </c>
      <c r="F2990" s="4" t="s">
        <v>307</v>
      </c>
      <c r="G2990" s="4" t="s">
        <v>990</v>
      </c>
      <c r="H2990" s="4" t="s">
        <v>21</v>
      </c>
      <c r="I2990" s="4" t="s">
        <v>897</v>
      </c>
      <c r="J2990" s="4" t="s">
        <v>3056</v>
      </c>
      <c r="K2990" s="4" t="s">
        <v>52</v>
      </c>
      <c r="L2990" s="4" t="s">
        <v>3743</v>
      </c>
      <c r="M2990" s="4" t="s">
        <v>3746</v>
      </c>
      <c r="N2990" s="4" t="s">
        <v>3747</v>
      </c>
      <c r="O2990" s="17">
        <f>INDEX('список ID из СУЭ с должностями'!$A:$F,MATCH(E2990,'список ID из СУЭ с должностями'!$B:$B,0),5)</f>
        <v>0</v>
      </c>
    </row>
    <row r="2991" spans="1:15" ht="120">
      <c r="A2991" s="3" t="s">
        <v>10</v>
      </c>
      <c r="B2991" s="3" t="s">
        <v>11</v>
      </c>
      <c r="C2991" s="4">
        <v>2026</v>
      </c>
      <c r="D2991" s="5" t="s">
        <v>12</v>
      </c>
      <c r="E2991" s="4">
        <v>409</v>
      </c>
      <c r="F2991" s="4" t="s">
        <v>280</v>
      </c>
      <c r="G2991" s="4" t="s">
        <v>2498</v>
      </c>
      <c r="H2991" s="4" t="s">
        <v>21</v>
      </c>
      <c r="I2991" s="4" t="s">
        <v>1674</v>
      </c>
      <c r="J2991" s="4" t="s">
        <v>1675</v>
      </c>
      <c r="K2991" s="4" t="s">
        <v>52</v>
      </c>
      <c r="L2991" s="4" t="s">
        <v>3743</v>
      </c>
      <c r="M2991" s="4" t="s">
        <v>3746</v>
      </c>
      <c r="N2991" s="4" t="s">
        <v>3747</v>
      </c>
      <c r="O2991" s="17" t="str">
        <f>INDEX('список ID из СУЭ с должностями'!$A:$F,MATCH(E2991,'список ID из СУЭ с должностями'!$B:$B,0),5)</f>
        <v>ВИП</v>
      </c>
    </row>
    <row r="2992" spans="1:15" ht="75">
      <c r="A2992" s="3" t="s">
        <v>10</v>
      </c>
      <c r="B2992" s="3" t="s">
        <v>11</v>
      </c>
      <c r="C2992" s="4">
        <v>2026</v>
      </c>
      <c r="D2992" s="5" t="s">
        <v>12</v>
      </c>
      <c r="E2992" s="4">
        <v>409</v>
      </c>
      <c r="F2992" s="4" t="s">
        <v>280</v>
      </c>
      <c r="G2992" s="4" t="s">
        <v>2498</v>
      </c>
      <c r="H2992" s="4" t="s">
        <v>15</v>
      </c>
      <c r="I2992" s="4" t="s">
        <v>2052</v>
      </c>
      <c r="J2992" s="4" t="s">
        <v>79</v>
      </c>
      <c r="K2992" s="4" t="s">
        <v>38</v>
      </c>
      <c r="L2992" s="4" t="s">
        <v>3742</v>
      </c>
      <c r="M2992" s="4" t="s">
        <v>3746</v>
      </c>
      <c r="N2992" s="4" t="s">
        <v>3747</v>
      </c>
      <c r="O2992" s="17" t="str">
        <f>INDEX('список ID из СУЭ с должностями'!$A:$F,MATCH(E2992,'список ID из СУЭ с должностями'!$B:$B,0),5)</f>
        <v>ВИП</v>
      </c>
    </row>
    <row r="2993" spans="1:15" ht="75">
      <c r="A2993" s="3" t="s">
        <v>10</v>
      </c>
      <c r="B2993" s="3" t="s">
        <v>11</v>
      </c>
      <c r="C2993" s="4">
        <v>2026</v>
      </c>
      <c r="D2993" s="5" t="s">
        <v>12</v>
      </c>
      <c r="E2993" s="4">
        <v>409</v>
      </c>
      <c r="F2993" s="4" t="s">
        <v>280</v>
      </c>
      <c r="G2993" s="4" t="s">
        <v>2498</v>
      </c>
      <c r="H2993" s="4" t="s">
        <v>41</v>
      </c>
      <c r="I2993" s="4" t="s">
        <v>62</v>
      </c>
      <c r="J2993" s="4" t="s">
        <v>2068</v>
      </c>
      <c r="K2993" s="4" t="s">
        <v>55</v>
      </c>
      <c r="L2993" s="4" t="s">
        <v>3743</v>
      </c>
      <c r="M2993" s="4" t="s">
        <v>3746</v>
      </c>
      <c r="N2993" s="4" t="s">
        <v>3747</v>
      </c>
      <c r="O2993" s="17" t="str">
        <f>INDEX('список ID из СУЭ с должностями'!$A:$F,MATCH(E2993,'список ID из СУЭ с должностями'!$B:$B,0),5)</f>
        <v>ВИП</v>
      </c>
    </row>
    <row r="2994" spans="1:15" ht="409.5">
      <c r="A2994" s="3" t="s">
        <v>10</v>
      </c>
      <c r="B2994" s="3" t="s">
        <v>11</v>
      </c>
      <c r="C2994" s="4">
        <v>2026</v>
      </c>
      <c r="D2994" s="5" t="s">
        <v>12</v>
      </c>
      <c r="E2994" s="4">
        <v>409</v>
      </c>
      <c r="F2994" s="4" t="s">
        <v>280</v>
      </c>
      <c r="G2994" s="4" t="s">
        <v>2498</v>
      </c>
      <c r="H2994" s="4" t="s">
        <v>15</v>
      </c>
      <c r="I2994" s="4" t="s">
        <v>189</v>
      </c>
      <c r="J2994" s="4" t="s">
        <v>2069</v>
      </c>
      <c r="K2994" s="4" t="s">
        <v>66</v>
      </c>
      <c r="L2994" s="4" t="s">
        <v>3743</v>
      </c>
      <c r="M2994" s="4" t="s">
        <v>3746</v>
      </c>
      <c r="N2994" s="4" t="s">
        <v>3747</v>
      </c>
      <c r="O2994" s="17" t="str">
        <f>INDEX('список ID из СУЭ с должностями'!$A:$F,MATCH(E2994,'список ID из СУЭ с должностями'!$B:$B,0),5)</f>
        <v>ВИП</v>
      </c>
    </row>
    <row r="2995" spans="1:15" ht="75">
      <c r="A2995" s="3" t="s">
        <v>10</v>
      </c>
      <c r="B2995" s="3" t="s">
        <v>11</v>
      </c>
      <c r="C2995" s="4">
        <v>2026</v>
      </c>
      <c r="D2995" s="5" t="s">
        <v>12</v>
      </c>
      <c r="E2995" s="4">
        <v>409</v>
      </c>
      <c r="F2995" s="4" t="s">
        <v>280</v>
      </c>
      <c r="G2995" s="4" t="s">
        <v>2498</v>
      </c>
      <c r="H2995" s="4" t="s">
        <v>15</v>
      </c>
      <c r="I2995" s="4" t="s">
        <v>2070</v>
      </c>
      <c r="J2995" s="4" t="s">
        <v>2071</v>
      </c>
      <c r="K2995" s="4" t="s">
        <v>52</v>
      </c>
      <c r="L2995" s="4" t="s">
        <v>3743</v>
      </c>
      <c r="M2995" s="4" t="s">
        <v>3746</v>
      </c>
      <c r="N2995" s="4" t="s">
        <v>3747</v>
      </c>
      <c r="O2995" s="17" t="str">
        <f>INDEX('список ID из СУЭ с должностями'!$A:$F,MATCH(E2995,'список ID из СУЭ с должностями'!$B:$B,0),5)</f>
        <v>ВИП</v>
      </c>
    </row>
    <row r="2996" spans="1:15" ht="75">
      <c r="A2996" s="3" t="s">
        <v>10</v>
      </c>
      <c r="B2996" s="3" t="s">
        <v>11</v>
      </c>
      <c r="C2996" s="4">
        <v>2026</v>
      </c>
      <c r="D2996" s="5" t="s">
        <v>12</v>
      </c>
      <c r="E2996" s="4">
        <v>409</v>
      </c>
      <c r="F2996" s="4" t="s">
        <v>280</v>
      </c>
      <c r="G2996" s="4" t="s">
        <v>2498</v>
      </c>
      <c r="H2996" s="4" t="s">
        <v>15</v>
      </c>
      <c r="I2996" s="4" t="s">
        <v>2048</v>
      </c>
      <c r="J2996" s="4" t="s">
        <v>2072</v>
      </c>
      <c r="K2996" s="4" t="s">
        <v>151</v>
      </c>
      <c r="L2996" s="4" t="s">
        <v>3742</v>
      </c>
      <c r="M2996" s="4" t="s">
        <v>3746</v>
      </c>
      <c r="N2996" s="4" t="s">
        <v>3747</v>
      </c>
      <c r="O2996" s="17" t="str">
        <f>INDEX('список ID из СУЭ с должностями'!$A:$F,MATCH(E2996,'список ID из СУЭ с должностями'!$B:$B,0),5)</f>
        <v>ВИП</v>
      </c>
    </row>
    <row r="2997" spans="1:15" ht="75">
      <c r="A2997" s="3" t="s">
        <v>10</v>
      </c>
      <c r="B2997" s="3" t="s">
        <v>11</v>
      </c>
      <c r="C2997" s="4">
        <v>2026</v>
      </c>
      <c r="D2997" s="5" t="s">
        <v>12</v>
      </c>
      <c r="E2997" s="4">
        <v>409</v>
      </c>
      <c r="F2997" s="4" t="s">
        <v>280</v>
      </c>
      <c r="G2997" s="4" t="s">
        <v>2498</v>
      </c>
      <c r="H2997" s="4" t="s">
        <v>15</v>
      </c>
      <c r="I2997" s="4" t="s">
        <v>191</v>
      </c>
      <c r="J2997" s="4" t="s">
        <v>200</v>
      </c>
      <c r="K2997" s="4" t="s">
        <v>66</v>
      </c>
      <c r="L2997" s="4" t="s">
        <v>3742</v>
      </c>
      <c r="M2997" s="4" t="s">
        <v>3746</v>
      </c>
      <c r="N2997" s="4" t="s">
        <v>3747</v>
      </c>
      <c r="O2997" s="17" t="str">
        <f>INDEX('список ID из СУЭ с должностями'!$A:$F,MATCH(E2997,'список ID из СУЭ с должностями'!$B:$B,0),5)</f>
        <v>ВИП</v>
      </c>
    </row>
    <row r="2998" spans="1:15" ht="285">
      <c r="A2998" s="3" t="s">
        <v>10</v>
      </c>
      <c r="B2998" s="3" t="s">
        <v>11</v>
      </c>
      <c r="C2998" s="4">
        <v>2026</v>
      </c>
      <c r="D2998" s="5" t="s">
        <v>12</v>
      </c>
      <c r="E2998" s="4">
        <v>409</v>
      </c>
      <c r="F2998" s="4" t="s">
        <v>280</v>
      </c>
      <c r="G2998" s="4" t="s">
        <v>2498</v>
      </c>
      <c r="H2998" s="4" t="s">
        <v>15</v>
      </c>
      <c r="I2998" s="4" t="s">
        <v>48</v>
      </c>
      <c r="J2998" s="4" t="s">
        <v>2067</v>
      </c>
      <c r="K2998" s="4" t="s">
        <v>35</v>
      </c>
      <c r="L2998" s="4" t="s">
        <v>3743</v>
      </c>
      <c r="M2998" s="4" t="s">
        <v>3746</v>
      </c>
      <c r="N2998" s="4" t="s">
        <v>3747</v>
      </c>
      <c r="O2998" s="17" t="str">
        <f>INDEX('список ID из СУЭ с должностями'!$A:$F,MATCH(E2998,'список ID из СУЭ с должностями'!$B:$B,0),5)</f>
        <v>ВИП</v>
      </c>
    </row>
    <row r="2999" spans="1:15" ht="75">
      <c r="A2999" s="3" t="s">
        <v>10</v>
      </c>
      <c r="B2999" s="3" t="s">
        <v>11</v>
      </c>
      <c r="C2999" s="4">
        <v>2026</v>
      </c>
      <c r="D2999" s="5" t="s">
        <v>12</v>
      </c>
      <c r="E2999" s="4">
        <v>409</v>
      </c>
      <c r="F2999" s="4" t="s">
        <v>280</v>
      </c>
      <c r="G2999" s="4" t="s">
        <v>2498</v>
      </c>
      <c r="H2999" s="4" t="s">
        <v>21</v>
      </c>
      <c r="I2999" s="4" t="s">
        <v>2073</v>
      </c>
      <c r="J2999" s="4" t="s">
        <v>2074</v>
      </c>
      <c r="K2999" s="4" t="s">
        <v>55</v>
      </c>
      <c r="L2999" s="4" t="s">
        <v>3742</v>
      </c>
      <c r="M2999" s="4" t="s">
        <v>3746</v>
      </c>
      <c r="N2999" s="4" t="s">
        <v>3747</v>
      </c>
      <c r="O2999" s="17" t="str">
        <f>INDEX('список ID из СУЭ с должностями'!$A:$F,MATCH(E2999,'список ID из СУЭ с должностями'!$B:$B,0),5)</f>
        <v>ВИП</v>
      </c>
    </row>
    <row r="3000" spans="1:15" ht="409.5">
      <c r="A3000" s="3" t="s">
        <v>10</v>
      </c>
      <c r="B3000" s="3" t="s">
        <v>11</v>
      </c>
      <c r="C3000" s="4">
        <v>2026</v>
      </c>
      <c r="D3000" s="5" t="s">
        <v>12</v>
      </c>
      <c r="E3000" s="4">
        <v>409</v>
      </c>
      <c r="F3000" s="4" t="s">
        <v>280</v>
      </c>
      <c r="G3000" s="4" t="s">
        <v>2498</v>
      </c>
      <c r="H3000" s="4" t="s">
        <v>15</v>
      </c>
      <c r="I3000" s="4" t="s">
        <v>25</v>
      </c>
      <c r="J3000" s="4" t="s">
        <v>1673</v>
      </c>
      <c r="K3000" s="4" t="s">
        <v>25</v>
      </c>
      <c r="L3000" s="4" t="s">
        <v>3743</v>
      </c>
      <c r="M3000" s="4" t="s">
        <v>3746</v>
      </c>
      <c r="N3000" s="4" t="s">
        <v>3747</v>
      </c>
      <c r="O3000" s="17" t="str">
        <f>INDEX('список ID из СУЭ с должностями'!$A:$F,MATCH(E3000,'список ID из СУЭ с должностями'!$B:$B,0),5)</f>
        <v>ВИП</v>
      </c>
    </row>
    <row r="3001" spans="1:15" ht="105">
      <c r="A3001" s="3" t="s">
        <v>10</v>
      </c>
      <c r="B3001" s="3" t="s">
        <v>11</v>
      </c>
      <c r="C3001" s="4">
        <v>2026</v>
      </c>
      <c r="D3001" s="5" t="s">
        <v>12</v>
      </c>
      <c r="E3001" s="4">
        <v>410</v>
      </c>
      <c r="F3001" s="4" t="s">
        <v>67</v>
      </c>
      <c r="G3001" s="4" t="s">
        <v>2550</v>
      </c>
      <c r="H3001" s="4" t="s">
        <v>21</v>
      </c>
      <c r="I3001" s="4" t="s">
        <v>3057</v>
      </c>
      <c r="J3001" s="4" t="s">
        <v>2552</v>
      </c>
      <c r="K3001" s="4" t="s">
        <v>2235</v>
      </c>
      <c r="L3001" s="4" t="s">
        <v>3743</v>
      </c>
      <c r="M3001" s="4" t="s">
        <v>3746</v>
      </c>
      <c r="N3001" s="4" t="s">
        <v>3775</v>
      </c>
      <c r="O3001" s="17">
        <f>INDEX('список ID из СУЭ с должностями'!$A:$F,MATCH(E3001,'список ID из СУЭ с должностями'!$B:$B,0),5)</f>
        <v>0</v>
      </c>
    </row>
    <row r="3002" spans="1:15" ht="60">
      <c r="A3002" s="3" t="s">
        <v>10</v>
      </c>
      <c r="B3002" s="3" t="s">
        <v>11</v>
      </c>
      <c r="C3002" s="4">
        <v>2026</v>
      </c>
      <c r="D3002" s="5" t="s">
        <v>12</v>
      </c>
      <c r="E3002" s="4">
        <v>410</v>
      </c>
      <c r="F3002" s="4" t="s">
        <v>67</v>
      </c>
      <c r="G3002" s="4" t="s">
        <v>2550</v>
      </c>
      <c r="H3002" s="4" t="s">
        <v>15</v>
      </c>
      <c r="I3002" s="4" t="s">
        <v>2553</v>
      </c>
      <c r="J3002" s="4" t="s">
        <v>3058</v>
      </c>
      <c r="K3002" s="4" t="s">
        <v>2232</v>
      </c>
      <c r="L3002" s="4" t="s">
        <v>3743</v>
      </c>
      <c r="M3002" s="4" t="s">
        <v>3746</v>
      </c>
      <c r="N3002" s="4" t="s">
        <v>3775</v>
      </c>
      <c r="O3002" s="17">
        <f>INDEX('список ID из СУЭ с должностями'!$A:$F,MATCH(E3002,'список ID из СУЭ с должностями'!$B:$B,0),5)</f>
        <v>0</v>
      </c>
    </row>
    <row r="3003" spans="1:15" ht="75">
      <c r="A3003" s="3" t="s">
        <v>10</v>
      </c>
      <c r="B3003" s="3" t="s">
        <v>11</v>
      </c>
      <c r="C3003" s="4">
        <v>2026</v>
      </c>
      <c r="D3003" s="5" t="s">
        <v>12</v>
      </c>
      <c r="E3003" s="4">
        <v>410</v>
      </c>
      <c r="F3003" s="4" t="s">
        <v>67</v>
      </c>
      <c r="G3003" s="4" t="s">
        <v>2550</v>
      </c>
      <c r="H3003" s="4" t="s">
        <v>15</v>
      </c>
      <c r="I3003" s="4" t="s">
        <v>2561</v>
      </c>
      <c r="J3003" s="4" t="s">
        <v>2562</v>
      </c>
      <c r="K3003" s="4" t="s">
        <v>38</v>
      </c>
      <c r="L3003" s="4" t="s">
        <v>3743</v>
      </c>
      <c r="M3003" s="4" t="s">
        <v>3746</v>
      </c>
      <c r="N3003" s="4" t="s">
        <v>3747</v>
      </c>
      <c r="O3003" s="17">
        <f>INDEX('список ID из СУЭ с должностями'!$A:$F,MATCH(E3003,'список ID из СУЭ с должностями'!$B:$B,0),5)</f>
        <v>0</v>
      </c>
    </row>
    <row r="3004" spans="1:15" ht="105">
      <c r="A3004" s="3" t="s">
        <v>10</v>
      </c>
      <c r="B3004" s="3" t="s">
        <v>11</v>
      </c>
      <c r="C3004" s="4">
        <v>2026</v>
      </c>
      <c r="D3004" s="5" t="s">
        <v>12</v>
      </c>
      <c r="E3004" s="4">
        <v>410</v>
      </c>
      <c r="F3004" s="4" t="s">
        <v>67</v>
      </c>
      <c r="G3004" s="4" t="s">
        <v>2550</v>
      </c>
      <c r="H3004" s="4" t="s">
        <v>15</v>
      </c>
      <c r="I3004" s="4" t="s">
        <v>2559</v>
      </c>
      <c r="J3004" s="4" t="s">
        <v>2560</v>
      </c>
      <c r="K3004" s="4" t="s">
        <v>2235</v>
      </c>
      <c r="L3004" s="4" t="s">
        <v>3743</v>
      </c>
      <c r="M3004" s="4" t="s">
        <v>3746</v>
      </c>
      <c r="N3004" s="4" t="s">
        <v>3775</v>
      </c>
      <c r="O3004" s="17">
        <f>INDEX('список ID из СУЭ с должностями'!$A:$F,MATCH(E3004,'список ID из СУЭ с должностями'!$B:$B,0),5)</f>
        <v>0</v>
      </c>
    </row>
    <row r="3005" spans="1:15" ht="165">
      <c r="A3005" s="3" t="s">
        <v>10</v>
      </c>
      <c r="B3005" s="3" t="s">
        <v>11</v>
      </c>
      <c r="C3005" s="4">
        <v>2026</v>
      </c>
      <c r="D3005" s="5" t="s">
        <v>12</v>
      </c>
      <c r="E3005" s="4">
        <v>410</v>
      </c>
      <c r="F3005" s="4" t="s">
        <v>67</v>
      </c>
      <c r="G3005" s="4" t="s">
        <v>2550</v>
      </c>
      <c r="H3005" s="4" t="s">
        <v>15</v>
      </c>
      <c r="I3005" s="4" t="s">
        <v>3059</v>
      </c>
      <c r="J3005" s="4" t="s">
        <v>3060</v>
      </c>
      <c r="K3005" s="4" t="s">
        <v>2232</v>
      </c>
      <c r="L3005" s="4" t="s">
        <v>3743</v>
      </c>
      <c r="M3005" s="4" t="s">
        <v>3746</v>
      </c>
      <c r="N3005" s="4" t="s">
        <v>3775</v>
      </c>
      <c r="O3005" s="17">
        <f>INDEX('список ID из СУЭ с должностями'!$A:$F,MATCH(E3005,'список ID из СУЭ с должностями'!$B:$B,0),5)</f>
        <v>0</v>
      </c>
    </row>
    <row r="3006" spans="1:15" ht="105">
      <c r="A3006" s="3" t="s">
        <v>10</v>
      </c>
      <c r="B3006" s="3" t="s">
        <v>11</v>
      </c>
      <c r="C3006" s="4">
        <v>2026</v>
      </c>
      <c r="D3006" s="5" t="s">
        <v>12</v>
      </c>
      <c r="E3006" s="4">
        <v>410</v>
      </c>
      <c r="F3006" s="4" t="s">
        <v>67</v>
      </c>
      <c r="G3006" s="4" t="s">
        <v>2550</v>
      </c>
      <c r="H3006" s="4" t="s">
        <v>15</v>
      </c>
      <c r="I3006" s="4" t="s">
        <v>2557</v>
      </c>
      <c r="J3006" s="4" t="s">
        <v>3061</v>
      </c>
      <c r="K3006" s="4" t="s">
        <v>2232</v>
      </c>
      <c r="L3006" s="4" t="s">
        <v>3743</v>
      </c>
      <c r="M3006" s="4" t="s">
        <v>3746</v>
      </c>
      <c r="N3006" s="4" t="s">
        <v>3775</v>
      </c>
      <c r="O3006" s="17">
        <f>INDEX('список ID из СУЭ с должностями'!$A:$F,MATCH(E3006,'список ID из СУЭ с должностями'!$B:$B,0),5)</f>
        <v>0</v>
      </c>
    </row>
    <row r="3007" spans="1:15" ht="120">
      <c r="A3007" s="3" t="s">
        <v>10</v>
      </c>
      <c r="B3007" s="3" t="s">
        <v>11</v>
      </c>
      <c r="C3007" s="4">
        <v>2026</v>
      </c>
      <c r="D3007" s="5" t="s">
        <v>12</v>
      </c>
      <c r="E3007" s="4">
        <v>410</v>
      </c>
      <c r="F3007" s="4" t="s">
        <v>67</v>
      </c>
      <c r="G3007" s="4" t="s">
        <v>2550</v>
      </c>
      <c r="H3007" s="4" t="s">
        <v>15</v>
      </c>
      <c r="I3007" s="4" t="s">
        <v>3062</v>
      </c>
      <c r="J3007" s="4" t="s">
        <v>3063</v>
      </c>
      <c r="K3007" s="4" t="s">
        <v>30</v>
      </c>
      <c r="L3007" s="4" t="s">
        <v>3743</v>
      </c>
      <c r="M3007" s="4" t="s">
        <v>3746</v>
      </c>
      <c r="N3007" s="4" t="s">
        <v>3747</v>
      </c>
      <c r="O3007" s="17">
        <f>INDEX('список ID из СУЭ с должностями'!$A:$F,MATCH(E3007,'список ID из СУЭ с должностями'!$B:$B,0),5)</f>
        <v>0</v>
      </c>
    </row>
    <row r="3008" spans="1:15" ht="60">
      <c r="A3008" s="3" t="s">
        <v>10</v>
      </c>
      <c r="B3008" s="3" t="s">
        <v>11</v>
      </c>
      <c r="C3008" s="4">
        <v>2026</v>
      </c>
      <c r="D3008" s="5" t="s">
        <v>12</v>
      </c>
      <c r="E3008" s="4">
        <v>411</v>
      </c>
      <c r="F3008" s="4" t="s">
        <v>193</v>
      </c>
      <c r="G3008" s="4" t="s">
        <v>651</v>
      </c>
      <c r="H3008" s="4" t="s">
        <v>15</v>
      </c>
      <c r="I3008" s="4" t="s">
        <v>695</v>
      </c>
      <c r="J3008" s="4" t="s">
        <v>3064</v>
      </c>
      <c r="K3008" s="4" t="s">
        <v>35</v>
      </c>
      <c r="L3008" s="4" t="s">
        <v>3743</v>
      </c>
      <c r="M3008" s="4" t="s">
        <v>3746</v>
      </c>
      <c r="N3008" s="4" t="s">
        <v>3747</v>
      </c>
      <c r="O3008" s="17" t="str">
        <f>INDEX('список ID из СУЭ с должностями'!$A:$F,MATCH(E3008,'список ID из СУЭ с должностями'!$B:$B,0),5)</f>
        <v>Инж смены</v>
      </c>
    </row>
    <row r="3009" spans="1:15" ht="45">
      <c r="A3009" s="3" t="s">
        <v>10</v>
      </c>
      <c r="B3009" s="3" t="s">
        <v>11</v>
      </c>
      <c r="C3009" s="4">
        <v>2026</v>
      </c>
      <c r="D3009" s="5" t="s">
        <v>12</v>
      </c>
      <c r="E3009" s="4">
        <v>411</v>
      </c>
      <c r="F3009" s="4" t="s">
        <v>193</v>
      </c>
      <c r="G3009" s="4" t="s">
        <v>651</v>
      </c>
      <c r="H3009" s="4" t="s">
        <v>15</v>
      </c>
      <c r="I3009" s="4" t="s">
        <v>1280</v>
      </c>
      <c r="J3009" s="4" t="s">
        <v>200</v>
      </c>
      <c r="K3009" s="4" t="s">
        <v>66</v>
      </c>
      <c r="L3009" s="4" t="s">
        <v>3742</v>
      </c>
      <c r="M3009" s="4" t="s">
        <v>3746</v>
      </c>
      <c r="N3009" s="4" t="s">
        <v>3747</v>
      </c>
      <c r="O3009" s="17" t="str">
        <f>INDEX('список ID из СУЭ с должностями'!$A:$F,MATCH(E3009,'список ID из СУЭ с должностями'!$B:$B,0),5)</f>
        <v>Инж смены</v>
      </c>
    </row>
    <row r="3010" spans="1:15" ht="45">
      <c r="A3010" s="3" t="s">
        <v>10</v>
      </c>
      <c r="B3010" s="3" t="s">
        <v>11</v>
      </c>
      <c r="C3010" s="4">
        <v>2026</v>
      </c>
      <c r="D3010" s="5" t="s">
        <v>12</v>
      </c>
      <c r="E3010" s="4">
        <v>411</v>
      </c>
      <c r="F3010" s="4" t="s">
        <v>193</v>
      </c>
      <c r="G3010" s="4" t="s">
        <v>651</v>
      </c>
      <c r="H3010" s="4" t="s">
        <v>15</v>
      </c>
      <c r="I3010" s="4" t="s">
        <v>596</v>
      </c>
      <c r="J3010" s="4" t="s">
        <v>1616</v>
      </c>
      <c r="K3010" s="4" t="s">
        <v>66</v>
      </c>
      <c r="L3010" s="4" t="s">
        <v>3742</v>
      </c>
      <c r="M3010" s="4" t="s">
        <v>3746</v>
      </c>
      <c r="N3010" s="4" t="s">
        <v>3747</v>
      </c>
      <c r="O3010" s="17" t="str">
        <f>INDEX('список ID из СУЭ с должностями'!$A:$F,MATCH(E3010,'список ID из СУЭ с должностями'!$B:$B,0),5)</f>
        <v>Инж смены</v>
      </c>
    </row>
    <row r="3011" spans="1:15" ht="60">
      <c r="A3011" s="3" t="s">
        <v>10</v>
      </c>
      <c r="B3011" s="3" t="s">
        <v>11</v>
      </c>
      <c r="C3011" s="4">
        <v>2026</v>
      </c>
      <c r="D3011" s="5" t="s">
        <v>12</v>
      </c>
      <c r="E3011" s="4">
        <v>411</v>
      </c>
      <c r="F3011" s="4" t="s">
        <v>193</v>
      </c>
      <c r="G3011" s="4" t="s">
        <v>651</v>
      </c>
      <c r="H3011" s="4" t="s">
        <v>15</v>
      </c>
      <c r="I3011" s="4" t="s">
        <v>1588</v>
      </c>
      <c r="J3011" s="4" t="s">
        <v>3065</v>
      </c>
      <c r="K3011" s="4" t="s">
        <v>151</v>
      </c>
      <c r="L3011" s="4" t="s">
        <v>3742</v>
      </c>
      <c r="M3011" s="4" t="s">
        <v>3746</v>
      </c>
      <c r="N3011" s="4" t="s">
        <v>3747</v>
      </c>
      <c r="O3011" s="17" t="str">
        <f>INDEX('список ID из СУЭ с должностями'!$A:$F,MATCH(E3011,'список ID из СУЭ с должностями'!$B:$B,0),5)</f>
        <v>Инж смены</v>
      </c>
    </row>
    <row r="3012" spans="1:15" ht="45">
      <c r="A3012" s="3" t="s">
        <v>10</v>
      </c>
      <c r="B3012" s="3" t="s">
        <v>11</v>
      </c>
      <c r="C3012" s="4">
        <v>2026</v>
      </c>
      <c r="D3012" s="5" t="s">
        <v>12</v>
      </c>
      <c r="E3012" s="4">
        <v>411</v>
      </c>
      <c r="F3012" s="4" t="s">
        <v>193</v>
      </c>
      <c r="G3012" s="4" t="s">
        <v>651</v>
      </c>
      <c r="H3012" s="4" t="s">
        <v>15</v>
      </c>
      <c r="I3012" s="4" t="s">
        <v>48</v>
      </c>
      <c r="J3012" s="4" t="s">
        <v>187</v>
      </c>
      <c r="K3012" s="4" t="s">
        <v>35</v>
      </c>
      <c r="L3012" s="4" t="s">
        <v>3743</v>
      </c>
      <c r="M3012" s="4" t="s">
        <v>3746</v>
      </c>
      <c r="N3012" s="4" t="s">
        <v>3747</v>
      </c>
      <c r="O3012" s="17" t="str">
        <f>INDEX('список ID из СУЭ с должностями'!$A:$F,MATCH(E3012,'список ID из СУЭ с должностями'!$B:$B,0),5)</f>
        <v>Инж смены</v>
      </c>
    </row>
    <row r="3013" spans="1:15" ht="45">
      <c r="A3013" s="3" t="s">
        <v>10</v>
      </c>
      <c r="B3013" s="3" t="s">
        <v>11</v>
      </c>
      <c r="C3013" s="4">
        <v>2026</v>
      </c>
      <c r="D3013" s="5" t="s">
        <v>12</v>
      </c>
      <c r="E3013" s="4">
        <v>411</v>
      </c>
      <c r="F3013" s="4" t="s">
        <v>193</v>
      </c>
      <c r="G3013" s="4" t="s">
        <v>651</v>
      </c>
      <c r="H3013" s="4" t="s">
        <v>15</v>
      </c>
      <c r="I3013" s="4" t="s">
        <v>3066</v>
      </c>
      <c r="J3013" s="4" t="s">
        <v>3066</v>
      </c>
      <c r="K3013" s="4" t="s">
        <v>35</v>
      </c>
      <c r="L3013" s="4" t="s">
        <v>3743</v>
      </c>
      <c r="M3013" s="4" t="s">
        <v>3746</v>
      </c>
      <c r="N3013" s="4" t="s">
        <v>3747</v>
      </c>
      <c r="O3013" s="17" t="str">
        <f>INDEX('список ID из СУЭ с должностями'!$A:$F,MATCH(E3013,'список ID из СУЭ с должностями'!$B:$B,0),5)</f>
        <v>Инж смены</v>
      </c>
    </row>
    <row r="3014" spans="1:15" ht="60">
      <c r="A3014" s="3" t="s">
        <v>10</v>
      </c>
      <c r="B3014" s="3" t="s">
        <v>11</v>
      </c>
      <c r="C3014" s="4">
        <v>2026</v>
      </c>
      <c r="D3014" s="5" t="s">
        <v>12</v>
      </c>
      <c r="E3014" s="4">
        <v>411</v>
      </c>
      <c r="F3014" s="4" t="s">
        <v>193</v>
      </c>
      <c r="G3014" s="4" t="s">
        <v>651</v>
      </c>
      <c r="H3014" s="4" t="s">
        <v>15</v>
      </c>
      <c r="I3014" s="4" t="s">
        <v>56</v>
      </c>
      <c r="J3014" s="4" t="s">
        <v>3067</v>
      </c>
      <c r="K3014" s="4" t="s">
        <v>151</v>
      </c>
      <c r="L3014" s="4" t="s">
        <v>3743</v>
      </c>
      <c r="M3014" s="4" t="s">
        <v>3746</v>
      </c>
      <c r="N3014" s="4" t="s">
        <v>3747</v>
      </c>
      <c r="O3014" s="17" t="str">
        <f>INDEX('список ID из СУЭ с должностями'!$A:$F,MATCH(E3014,'список ID из СУЭ с должностями'!$B:$B,0),5)</f>
        <v>Инж смены</v>
      </c>
    </row>
    <row r="3015" spans="1:15" ht="150">
      <c r="A3015" s="3" t="s">
        <v>10</v>
      </c>
      <c r="B3015" s="3" t="s">
        <v>11</v>
      </c>
      <c r="C3015" s="4">
        <v>2026</v>
      </c>
      <c r="D3015" s="5" t="s">
        <v>12</v>
      </c>
      <c r="E3015" s="4">
        <v>411</v>
      </c>
      <c r="F3015" s="4" t="s">
        <v>193</v>
      </c>
      <c r="G3015" s="4" t="s">
        <v>651</v>
      </c>
      <c r="H3015" s="4" t="s">
        <v>15</v>
      </c>
      <c r="I3015" s="4" t="s">
        <v>198</v>
      </c>
      <c r="J3015" s="4" t="s">
        <v>3068</v>
      </c>
      <c r="K3015" s="4" t="s">
        <v>20</v>
      </c>
      <c r="L3015" s="4" t="s">
        <v>3743</v>
      </c>
      <c r="M3015" s="4" t="s">
        <v>3746</v>
      </c>
      <c r="N3015" s="4" t="s">
        <v>3747</v>
      </c>
      <c r="O3015" s="17" t="str">
        <f>INDEX('список ID из СУЭ с должностями'!$A:$F,MATCH(E3015,'список ID из СУЭ с должностями'!$B:$B,0),5)</f>
        <v>Инж смены</v>
      </c>
    </row>
    <row r="3016" spans="1:15" ht="135">
      <c r="A3016" s="3" t="s">
        <v>10</v>
      </c>
      <c r="B3016" s="3" t="s">
        <v>11</v>
      </c>
      <c r="C3016" s="4">
        <v>2026</v>
      </c>
      <c r="D3016" s="5" t="s">
        <v>12</v>
      </c>
      <c r="E3016" s="4">
        <v>412</v>
      </c>
      <c r="F3016" s="4" t="s">
        <v>67</v>
      </c>
      <c r="G3016" s="4" t="s">
        <v>1347</v>
      </c>
      <c r="H3016" s="4" t="s">
        <v>15</v>
      </c>
      <c r="I3016" s="4" t="s">
        <v>2952</v>
      </c>
      <c r="J3016" s="4" t="s">
        <v>2959</v>
      </c>
      <c r="K3016" s="4" t="s">
        <v>30</v>
      </c>
      <c r="L3016" s="4" t="s">
        <v>3743</v>
      </c>
      <c r="M3016" s="4" t="s">
        <v>3746</v>
      </c>
      <c r="N3016" s="4" t="s">
        <v>3747</v>
      </c>
      <c r="O3016" s="17">
        <f>INDEX('список ID из СУЭ с должностями'!$A:$F,MATCH(E3016,'список ID из СУЭ с должностями'!$B:$B,0),5)</f>
        <v>0</v>
      </c>
    </row>
    <row r="3017" spans="1:15" ht="75">
      <c r="A3017" s="3" t="s">
        <v>10</v>
      </c>
      <c r="B3017" s="3" t="s">
        <v>11</v>
      </c>
      <c r="C3017" s="4">
        <v>2026</v>
      </c>
      <c r="D3017" s="5" t="s">
        <v>12</v>
      </c>
      <c r="E3017" s="4">
        <v>412</v>
      </c>
      <c r="F3017" s="4" t="s">
        <v>67</v>
      </c>
      <c r="G3017" s="4" t="s">
        <v>1347</v>
      </c>
      <c r="H3017" s="4" t="s">
        <v>15</v>
      </c>
      <c r="I3017" s="4" t="s">
        <v>26</v>
      </c>
      <c r="J3017" s="4" t="s">
        <v>27</v>
      </c>
      <c r="K3017" s="4" t="s">
        <v>25</v>
      </c>
      <c r="L3017" s="4" t="s">
        <v>3743</v>
      </c>
      <c r="M3017" s="4" t="s">
        <v>3746</v>
      </c>
      <c r="N3017" s="4" t="s">
        <v>3747</v>
      </c>
      <c r="O3017" s="17">
        <f>INDEX('список ID из СУЭ с должностями'!$A:$F,MATCH(E3017,'список ID из СУЭ с должностями'!$B:$B,0),5)</f>
        <v>0</v>
      </c>
    </row>
    <row r="3018" spans="1:15" ht="210">
      <c r="A3018" s="3" t="s">
        <v>10</v>
      </c>
      <c r="B3018" s="3" t="s">
        <v>11</v>
      </c>
      <c r="C3018" s="4">
        <v>2026</v>
      </c>
      <c r="D3018" s="5" t="s">
        <v>12</v>
      </c>
      <c r="E3018" s="4">
        <v>412</v>
      </c>
      <c r="F3018" s="4" t="s">
        <v>67</v>
      </c>
      <c r="G3018" s="4" t="s">
        <v>1347</v>
      </c>
      <c r="H3018" s="4" t="s">
        <v>15</v>
      </c>
      <c r="I3018" s="4" t="s">
        <v>1350</v>
      </c>
      <c r="J3018" s="4" t="s">
        <v>1351</v>
      </c>
      <c r="K3018" s="4" t="s">
        <v>35</v>
      </c>
      <c r="L3018" s="4" t="s">
        <v>3743</v>
      </c>
      <c r="M3018" s="4" t="s">
        <v>3746</v>
      </c>
      <c r="N3018" s="4" t="s">
        <v>3747</v>
      </c>
      <c r="O3018" s="17">
        <f>INDEX('список ID из СУЭ с должностями'!$A:$F,MATCH(E3018,'список ID из СУЭ с должностями'!$B:$B,0),5)</f>
        <v>0</v>
      </c>
    </row>
    <row r="3019" spans="1:15" ht="195">
      <c r="A3019" s="3" t="s">
        <v>10</v>
      </c>
      <c r="B3019" s="3" t="s">
        <v>11</v>
      </c>
      <c r="C3019" s="4">
        <v>2026</v>
      </c>
      <c r="D3019" s="5" t="s">
        <v>12</v>
      </c>
      <c r="E3019" s="4">
        <v>412</v>
      </c>
      <c r="F3019" s="4" t="s">
        <v>67</v>
      </c>
      <c r="G3019" s="4" t="s">
        <v>1347</v>
      </c>
      <c r="H3019" s="4" t="s">
        <v>15</v>
      </c>
      <c r="I3019" s="4" t="s">
        <v>3069</v>
      </c>
      <c r="J3019" s="4" t="s">
        <v>3070</v>
      </c>
      <c r="K3019" s="4" t="s">
        <v>30</v>
      </c>
      <c r="L3019" s="4" t="s">
        <v>3743</v>
      </c>
      <c r="M3019" s="4" t="s">
        <v>3746</v>
      </c>
      <c r="N3019" s="4" t="s">
        <v>3747</v>
      </c>
      <c r="O3019" s="17">
        <f>INDEX('список ID из СУЭ с должностями'!$A:$F,MATCH(E3019,'список ID из СУЭ с должностями'!$B:$B,0),5)</f>
        <v>0</v>
      </c>
    </row>
    <row r="3020" spans="1:15" ht="75">
      <c r="A3020" s="3" t="s">
        <v>10</v>
      </c>
      <c r="B3020" s="3" t="s">
        <v>11</v>
      </c>
      <c r="C3020" s="4">
        <v>2026</v>
      </c>
      <c r="D3020" s="5" t="s">
        <v>12</v>
      </c>
      <c r="E3020" s="4">
        <v>412</v>
      </c>
      <c r="F3020" s="4" t="s">
        <v>67</v>
      </c>
      <c r="G3020" s="4" t="s">
        <v>1347</v>
      </c>
      <c r="H3020" s="4" t="s">
        <v>15</v>
      </c>
      <c r="I3020" s="4" t="s">
        <v>2783</v>
      </c>
      <c r="J3020" s="4" t="s">
        <v>109</v>
      </c>
      <c r="K3020" s="4" t="s">
        <v>30</v>
      </c>
      <c r="L3020" s="4" t="s">
        <v>3742</v>
      </c>
      <c r="M3020" s="4" t="s">
        <v>3746</v>
      </c>
      <c r="N3020" s="4" t="s">
        <v>3747</v>
      </c>
      <c r="O3020" s="17">
        <f>INDEX('список ID из СУЭ с должностями'!$A:$F,MATCH(E3020,'список ID из СУЭ с должностями'!$B:$B,0),5)</f>
        <v>0</v>
      </c>
    </row>
    <row r="3021" spans="1:15" ht="409.5">
      <c r="A3021" s="3" t="s">
        <v>10</v>
      </c>
      <c r="B3021" s="3" t="s">
        <v>11</v>
      </c>
      <c r="C3021" s="4">
        <v>2026</v>
      </c>
      <c r="D3021" s="5" t="s">
        <v>12</v>
      </c>
      <c r="E3021" s="4">
        <v>412</v>
      </c>
      <c r="F3021" s="4" t="s">
        <v>67</v>
      </c>
      <c r="G3021" s="4" t="s">
        <v>1347</v>
      </c>
      <c r="H3021" s="4" t="s">
        <v>15</v>
      </c>
      <c r="I3021" s="4" t="s">
        <v>1354</v>
      </c>
      <c r="J3021" s="4" t="s">
        <v>2780</v>
      </c>
      <c r="K3021" s="4" t="s">
        <v>35</v>
      </c>
      <c r="L3021" s="4" t="s">
        <v>3743</v>
      </c>
      <c r="M3021" s="4" t="s">
        <v>3746</v>
      </c>
      <c r="N3021" s="4" t="s">
        <v>3747</v>
      </c>
      <c r="O3021" s="17">
        <f>INDEX('список ID из СУЭ с должностями'!$A:$F,MATCH(E3021,'список ID из СУЭ с должностями'!$B:$B,0),5)</f>
        <v>0</v>
      </c>
    </row>
    <row r="3022" spans="1:15" ht="75">
      <c r="A3022" s="3" t="s">
        <v>10</v>
      </c>
      <c r="B3022" s="3" t="s">
        <v>11</v>
      </c>
      <c r="C3022" s="4">
        <v>2026</v>
      </c>
      <c r="D3022" s="5" t="s">
        <v>12</v>
      </c>
      <c r="E3022" s="4">
        <v>412</v>
      </c>
      <c r="F3022" s="4" t="s">
        <v>67</v>
      </c>
      <c r="G3022" s="4" t="s">
        <v>1347</v>
      </c>
      <c r="H3022" s="4" t="s">
        <v>41</v>
      </c>
      <c r="I3022" s="4" t="s">
        <v>3071</v>
      </c>
      <c r="J3022" s="4" t="s">
        <v>378</v>
      </c>
      <c r="K3022" s="4" t="s">
        <v>30</v>
      </c>
      <c r="L3022" s="4" t="s">
        <v>3742</v>
      </c>
      <c r="M3022" s="4" t="s">
        <v>3746</v>
      </c>
      <c r="N3022" s="4" t="s">
        <v>3747</v>
      </c>
      <c r="O3022" s="17">
        <f>INDEX('список ID из СУЭ с должностями'!$A:$F,MATCH(E3022,'список ID из СУЭ с должностями'!$B:$B,0),5)</f>
        <v>0</v>
      </c>
    </row>
    <row r="3023" spans="1:15" ht="75">
      <c r="A3023" s="3" t="s">
        <v>10</v>
      </c>
      <c r="B3023" s="3" t="s">
        <v>11</v>
      </c>
      <c r="C3023" s="4">
        <v>2026</v>
      </c>
      <c r="D3023" s="5" t="s">
        <v>12</v>
      </c>
      <c r="E3023" s="4">
        <v>413</v>
      </c>
      <c r="F3023" s="4" t="s">
        <v>2719</v>
      </c>
      <c r="G3023" s="4" t="s">
        <v>558</v>
      </c>
      <c r="H3023" s="4" t="s">
        <v>15</v>
      </c>
      <c r="I3023" s="4" t="s">
        <v>35</v>
      </c>
      <c r="J3023" s="4">
        <v>0</v>
      </c>
      <c r="K3023" s="4" t="s">
        <v>35</v>
      </c>
      <c r="L3023" s="4" t="s">
        <v>3743</v>
      </c>
      <c r="M3023" s="4" t="s">
        <v>3746</v>
      </c>
      <c r="N3023" s="4" t="s">
        <v>3747</v>
      </c>
      <c r="O3023" s="17">
        <f>INDEX('список ID из СУЭ с должностями'!$A:$F,MATCH(E3023,'список ID из СУЭ с должностями'!$B:$B,0),5)</f>
        <v>0</v>
      </c>
    </row>
    <row r="3024" spans="1:15" ht="75">
      <c r="A3024" s="3" t="s">
        <v>10</v>
      </c>
      <c r="B3024" s="3" t="s">
        <v>11</v>
      </c>
      <c r="C3024" s="4">
        <v>2026</v>
      </c>
      <c r="D3024" s="5" t="s">
        <v>12</v>
      </c>
      <c r="E3024" s="4">
        <v>413</v>
      </c>
      <c r="F3024" s="4" t="s">
        <v>2719</v>
      </c>
      <c r="G3024" s="4" t="s">
        <v>558</v>
      </c>
      <c r="H3024" s="4" t="s">
        <v>41</v>
      </c>
      <c r="I3024" s="4" t="s">
        <v>66</v>
      </c>
      <c r="J3024" s="4" t="s">
        <v>3072</v>
      </c>
      <c r="K3024" s="4" t="s">
        <v>66</v>
      </c>
      <c r="L3024" s="4" t="s">
        <v>3743</v>
      </c>
      <c r="M3024" s="4" t="s">
        <v>3746</v>
      </c>
      <c r="N3024" s="4" t="s">
        <v>3747</v>
      </c>
      <c r="O3024" s="17">
        <f>INDEX('список ID из СУЭ с должностями'!$A:$F,MATCH(E3024,'список ID из СУЭ с должностями'!$B:$B,0),5)</f>
        <v>0</v>
      </c>
    </row>
    <row r="3025" spans="1:15" ht="75">
      <c r="A3025" s="3" t="s">
        <v>10</v>
      </c>
      <c r="B3025" s="3" t="s">
        <v>11</v>
      </c>
      <c r="C3025" s="4">
        <v>2026</v>
      </c>
      <c r="D3025" s="5" t="s">
        <v>12</v>
      </c>
      <c r="E3025" s="4">
        <v>413</v>
      </c>
      <c r="F3025" s="4" t="s">
        <v>2719</v>
      </c>
      <c r="G3025" s="4" t="s">
        <v>558</v>
      </c>
      <c r="H3025" s="4" t="s">
        <v>41</v>
      </c>
      <c r="I3025" s="4" t="s">
        <v>2720</v>
      </c>
      <c r="J3025" s="4" t="s">
        <v>2721</v>
      </c>
      <c r="K3025" s="4" t="s">
        <v>23</v>
      </c>
      <c r="L3025" s="4" t="s">
        <v>3743</v>
      </c>
      <c r="M3025" s="4" t="s">
        <v>3748</v>
      </c>
      <c r="N3025" s="4" t="s">
        <v>3749</v>
      </c>
      <c r="O3025" s="17">
        <f>INDEX('список ID из СУЭ с должностями'!$A:$F,MATCH(E3025,'список ID из СУЭ с должностями'!$B:$B,0),5)</f>
        <v>0</v>
      </c>
    </row>
    <row r="3026" spans="1:15" ht="75">
      <c r="A3026" s="3" t="s">
        <v>10</v>
      </c>
      <c r="B3026" s="3" t="s">
        <v>11</v>
      </c>
      <c r="C3026" s="4">
        <v>2026</v>
      </c>
      <c r="D3026" s="5" t="s">
        <v>12</v>
      </c>
      <c r="E3026" s="4">
        <v>413</v>
      </c>
      <c r="F3026" s="4" t="s">
        <v>2719</v>
      </c>
      <c r="G3026" s="4" t="s">
        <v>558</v>
      </c>
      <c r="H3026" s="4" t="s">
        <v>15</v>
      </c>
      <c r="I3026" s="4" t="s">
        <v>188</v>
      </c>
      <c r="J3026" s="4">
        <v>0</v>
      </c>
      <c r="K3026" s="4" t="s">
        <v>188</v>
      </c>
      <c r="L3026" s="4" t="s">
        <v>3743</v>
      </c>
      <c r="M3026" s="4" t="s">
        <v>3746</v>
      </c>
      <c r="N3026" s="4" t="s">
        <v>3747</v>
      </c>
      <c r="O3026" s="17">
        <f>INDEX('список ID из СУЭ с должностями'!$A:$F,MATCH(E3026,'список ID из СУЭ с должностями'!$B:$B,0),5)</f>
        <v>0</v>
      </c>
    </row>
    <row r="3027" spans="1:15" ht="75">
      <c r="A3027" s="3" t="s">
        <v>10</v>
      </c>
      <c r="B3027" s="3" t="s">
        <v>11</v>
      </c>
      <c r="C3027" s="4">
        <v>2026</v>
      </c>
      <c r="D3027" s="5" t="s">
        <v>12</v>
      </c>
      <c r="E3027" s="4">
        <v>413</v>
      </c>
      <c r="F3027" s="4" t="s">
        <v>2719</v>
      </c>
      <c r="G3027" s="4" t="s">
        <v>558</v>
      </c>
      <c r="H3027" s="4" t="s">
        <v>21</v>
      </c>
      <c r="I3027" s="4" t="s">
        <v>559</v>
      </c>
      <c r="J3027" s="4" t="s">
        <v>560</v>
      </c>
      <c r="K3027" s="4" t="s">
        <v>25</v>
      </c>
      <c r="L3027" s="4" t="s">
        <v>3743</v>
      </c>
      <c r="M3027" s="4" t="s">
        <v>3746</v>
      </c>
      <c r="N3027" s="4" t="s">
        <v>3747</v>
      </c>
      <c r="O3027" s="17">
        <f>INDEX('список ID из СУЭ с должностями'!$A:$F,MATCH(E3027,'список ID из СУЭ с должностями'!$B:$B,0),5)</f>
        <v>0</v>
      </c>
    </row>
    <row r="3028" spans="1:15" ht="75">
      <c r="A3028" s="3" t="s">
        <v>10</v>
      </c>
      <c r="B3028" s="3" t="s">
        <v>11</v>
      </c>
      <c r="C3028" s="4">
        <v>2026</v>
      </c>
      <c r="D3028" s="5" t="s">
        <v>12</v>
      </c>
      <c r="E3028" s="4">
        <v>413</v>
      </c>
      <c r="F3028" s="4" t="s">
        <v>2719</v>
      </c>
      <c r="G3028" s="4" t="s">
        <v>558</v>
      </c>
      <c r="H3028" s="4" t="s">
        <v>21</v>
      </c>
      <c r="I3028" s="4" t="s">
        <v>3073</v>
      </c>
      <c r="J3028" s="4" t="s">
        <v>3074</v>
      </c>
      <c r="K3028" s="4" t="s">
        <v>20</v>
      </c>
      <c r="L3028" s="4" t="s">
        <v>3743</v>
      </c>
      <c r="M3028" s="4" t="s">
        <v>3746</v>
      </c>
      <c r="N3028" s="4" t="s">
        <v>3747</v>
      </c>
      <c r="O3028" s="17">
        <f>INDEX('список ID из СУЭ с должностями'!$A:$F,MATCH(E3028,'список ID из СУЭ с должностями'!$B:$B,0),5)</f>
        <v>0</v>
      </c>
    </row>
    <row r="3029" spans="1:15" ht="60">
      <c r="A3029" s="3" t="s">
        <v>10</v>
      </c>
      <c r="B3029" s="3" t="s">
        <v>11</v>
      </c>
      <c r="C3029" s="4">
        <v>2026</v>
      </c>
      <c r="D3029" s="5" t="s">
        <v>12</v>
      </c>
      <c r="E3029" s="4">
        <v>414</v>
      </c>
      <c r="F3029" s="4" t="s">
        <v>239</v>
      </c>
      <c r="G3029" s="4" t="s">
        <v>2813</v>
      </c>
      <c r="H3029" s="4" t="s">
        <v>41</v>
      </c>
      <c r="I3029" s="4" t="s">
        <v>243</v>
      </c>
      <c r="J3029" s="4" t="s">
        <v>2867</v>
      </c>
      <c r="K3029" s="4" t="s">
        <v>38</v>
      </c>
      <c r="L3029" s="4" t="s">
        <v>3742</v>
      </c>
      <c r="M3029" s="4" t="s">
        <v>3746</v>
      </c>
      <c r="N3029" s="4" t="s">
        <v>3747</v>
      </c>
      <c r="O3029" s="17" t="str">
        <f>INDEX('список ID из СУЭ с должностями'!$A:$F,MATCH(E3029,'список ID из СУЭ с должностями'!$B:$B,0),5)</f>
        <v>ИПП</v>
      </c>
    </row>
    <row r="3030" spans="1:15" ht="150">
      <c r="A3030" s="3" t="s">
        <v>10</v>
      </c>
      <c r="B3030" s="3" t="s">
        <v>11</v>
      </c>
      <c r="C3030" s="4">
        <v>2026</v>
      </c>
      <c r="D3030" s="5" t="s">
        <v>12</v>
      </c>
      <c r="E3030" s="4">
        <v>414</v>
      </c>
      <c r="F3030" s="4" t="s">
        <v>239</v>
      </c>
      <c r="G3030" s="4" t="s">
        <v>2813</v>
      </c>
      <c r="H3030" s="4" t="s">
        <v>15</v>
      </c>
      <c r="I3030" s="4" t="s">
        <v>203</v>
      </c>
      <c r="J3030" s="4" t="s">
        <v>2856</v>
      </c>
      <c r="K3030" s="4" t="s">
        <v>35</v>
      </c>
      <c r="L3030" s="4" t="s">
        <v>3743</v>
      </c>
      <c r="M3030" s="4" t="s">
        <v>3746</v>
      </c>
      <c r="N3030" s="4" t="s">
        <v>3747</v>
      </c>
      <c r="O3030" s="17" t="str">
        <f>INDEX('список ID из СУЭ с должностями'!$A:$F,MATCH(E3030,'список ID из СУЭ с должностями'!$B:$B,0),5)</f>
        <v>ИПП</v>
      </c>
    </row>
    <row r="3031" spans="1:15" ht="225">
      <c r="A3031" s="3" t="s">
        <v>10</v>
      </c>
      <c r="B3031" s="3" t="s">
        <v>11</v>
      </c>
      <c r="C3031" s="4">
        <v>2026</v>
      </c>
      <c r="D3031" s="5" t="s">
        <v>12</v>
      </c>
      <c r="E3031" s="4">
        <v>414</v>
      </c>
      <c r="F3031" s="4" t="s">
        <v>239</v>
      </c>
      <c r="G3031" s="4" t="s">
        <v>2813</v>
      </c>
      <c r="H3031" s="4" t="s">
        <v>15</v>
      </c>
      <c r="I3031" s="4" t="s">
        <v>46</v>
      </c>
      <c r="J3031" s="4" t="s">
        <v>2859</v>
      </c>
      <c r="K3031" s="4" t="s">
        <v>20</v>
      </c>
      <c r="L3031" s="4" t="s">
        <v>3743</v>
      </c>
      <c r="M3031" s="4" t="s">
        <v>3746</v>
      </c>
      <c r="N3031" s="4" t="s">
        <v>3747</v>
      </c>
      <c r="O3031" s="17" t="str">
        <f>INDEX('список ID из СУЭ с должностями'!$A:$F,MATCH(E3031,'список ID из СУЭ с должностями'!$B:$B,0),5)</f>
        <v>ИПП</v>
      </c>
    </row>
    <row r="3032" spans="1:15" ht="330">
      <c r="A3032" s="3" t="s">
        <v>10</v>
      </c>
      <c r="B3032" s="3" t="s">
        <v>11</v>
      </c>
      <c r="C3032" s="4">
        <v>2026</v>
      </c>
      <c r="D3032" s="5" t="s">
        <v>12</v>
      </c>
      <c r="E3032" s="4">
        <v>414</v>
      </c>
      <c r="F3032" s="4" t="s">
        <v>239</v>
      </c>
      <c r="G3032" s="4" t="s">
        <v>2813</v>
      </c>
      <c r="H3032" s="4" t="s">
        <v>21</v>
      </c>
      <c r="I3032" s="4" t="s">
        <v>2860</v>
      </c>
      <c r="J3032" s="4" t="s">
        <v>2861</v>
      </c>
      <c r="K3032" s="4" t="s">
        <v>188</v>
      </c>
      <c r="L3032" s="4" t="s">
        <v>3743</v>
      </c>
      <c r="M3032" s="4" t="s">
        <v>3746</v>
      </c>
      <c r="N3032" s="4" t="s">
        <v>3747</v>
      </c>
      <c r="O3032" s="17" t="str">
        <f>INDEX('список ID из СУЭ с должностями'!$A:$F,MATCH(E3032,'список ID из СУЭ с должностями'!$B:$B,0),5)</f>
        <v>ИПП</v>
      </c>
    </row>
    <row r="3033" spans="1:15" ht="90">
      <c r="A3033" s="3" t="s">
        <v>10</v>
      </c>
      <c r="B3033" s="3" t="s">
        <v>11</v>
      </c>
      <c r="C3033" s="4">
        <v>2026</v>
      </c>
      <c r="D3033" s="5" t="s">
        <v>12</v>
      </c>
      <c r="E3033" s="4">
        <v>414</v>
      </c>
      <c r="F3033" s="4" t="s">
        <v>239</v>
      </c>
      <c r="G3033" s="4" t="s">
        <v>2813</v>
      </c>
      <c r="H3033" s="4" t="s">
        <v>15</v>
      </c>
      <c r="I3033" s="4" t="s">
        <v>2857</v>
      </c>
      <c r="J3033" s="4" t="s">
        <v>2858</v>
      </c>
      <c r="K3033" s="4" t="s">
        <v>66</v>
      </c>
      <c r="L3033" s="4" t="s">
        <v>3743</v>
      </c>
      <c r="M3033" s="4" t="s">
        <v>3746</v>
      </c>
      <c r="N3033" s="4" t="s">
        <v>3747</v>
      </c>
      <c r="O3033" s="17" t="str">
        <f>INDEX('список ID из СУЭ с должностями'!$A:$F,MATCH(E3033,'список ID из СУЭ с должностями'!$B:$B,0),5)</f>
        <v>ИПП</v>
      </c>
    </row>
    <row r="3034" spans="1:15" ht="60">
      <c r="A3034" s="3" t="s">
        <v>10</v>
      </c>
      <c r="B3034" s="3" t="s">
        <v>11</v>
      </c>
      <c r="C3034" s="4">
        <v>2026</v>
      </c>
      <c r="D3034" s="5" t="s">
        <v>12</v>
      </c>
      <c r="E3034" s="4">
        <v>414</v>
      </c>
      <c r="F3034" s="4" t="s">
        <v>239</v>
      </c>
      <c r="G3034" s="4" t="s">
        <v>2813</v>
      </c>
      <c r="H3034" s="4" t="s">
        <v>21</v>
      </c>
      <c r="I3034" s="4" t="s">
        <v>2862</v>
      </c>
      <c r="J3034" s="4" t="s">
        <v>2863</v>
      </c>
      <c r="K3034" s="4" t="s">
        <v>25</v>
      </c>
      <c r="L3034" s="4" t="s">
        <v>3743</v>
      </c>
      <c r="M3034" s="4" t="s">
        <v>3746</v>
      </c>
      <c r="N3034" s="4" t="s">
        <v>3747</v>
      </c>
      <c r="O3034" s="17" t="str">
        <f>INDEX('список ID из СУЭ с должностями'!$A:$F,MATCH(E3034,'список ID из СУЭ с должностями'!$B:$B,0),5)</f>
        <v>ИПП</v>
      </c>
    </row>
    <row r="3035" spans="1:15" ht="60">
      <c r="A3035" s="3" t="s">
        <v>10</v>
      </c>
      <c r="B3035" s="3" t="s">
        <v>11</v>
      </c>
      <c r="C3035" s="4">
        <v>2026</v>
      </c>
      <c r="D3035" s="5" t="s">
        <v>12</v>
      </c>
      <c r="E3035" s="4">
        <v>414</v>
      </c>
      <c r="F3035" s="4" t="s">
        <v>239</v>
      </c>
      <c r="G3035" s="4" t="s">
        <v>2813</v>
      </c>
      <c r="H3035" s="4" t="s">
        <v>15</v>
      </c>
      <c r="I3035" s="4" t="s">
        <v>2864</v>
      </c>
      <c r="J3035" s="4" t="s">
        <v>182</v>
      </c>
      <c r="K3035" s="4" t="s">
        <v>30</v>
      </c>
      <c r="L3035" s="4" t="s">
        <v>3742</v>
      </c>
      <c r="M3035" s="4" t="s">
        <v>3746</v>
      </c>
      <c r="N3035" s="4" t="s">
        <v>3747</v>
      </c>
      <c r="O3035" s="17" t="str">
        <f>INDEX('список ID из СУЭ с должностями'!$A:$F,MATCH(E3035,'список ID из СУЭ с должностями'!$B:$B,0),5)</f>
        <v>ИПП</v>
      </c>
    </row>
    <row r="3036" spans="1:15" ht="75">
      <c r="A3036" s="3" t="s">
        <v>10</v>
      </c>
      <c r="B3036" s="3" t="s">
        <v>11</v>
      </c>
      <c r="C3036" s="4">
        <v>2026</v>
      </c>
      <c r="D3036" s="5" t="s">
        <v>12</v>
      </c>
      <c r="E3036" s="4">
        <v>414</v>
      </c>
      <c r="F3036" s="4" t="s">
        <v>239</v>
      </c>
      <c r="G3036" s="4" t="s">
        <v>2813</v>
      </c>
      <c r="H3036" s="4" t="s">
        <v>15</v>
      </c>
      <c r="I3036" s="4" t="s">
        <v>2865</v>
      </c>
      <c r="J3036" s="4" t="s">
        <v>2866</v>
      </c>
      <c r="K3036" s="4" t="s">
        <v>35</v>
      </c>
      <c r="L3036" s="4" t="s">
        <v>3743</v>
      </c>
      <c r="M3036" s="4" t="s">
        <v>3746</v>
      </c>
      <c r="N3036" s="4" t="s">
        <v>3747</v>
      </c>
      <c r="O3036" s="17" t="str">
        <f>INDEX('список ID из СУЭ с должностями'!$A:$F,MATCH(E3036,'список ID из СУЭ с должностями'!$B:$B,0),5)</f>
        <v>ИПП</v>
      </c>
    </row>
    <row r="3037" spans="1:15" ht="60">
      <c r="A3037" s="3" t="s">
        <v>10</v>
      </c>
      <c r="B3037" s="3" t="s">
        <v>11</v>
      </c>
      <c r="C3037" s="4">
        <v>2026</v>
      </c>
      <c r="D3037" s="5" t="s">
        <v>12</v>
      </c>
      <c r="E3037" s="4">
        <v>415</v>
      </c>
      <c r="F3037" s="4" t="s">
        <v>3075</v>
      </c>
      <c r="G3037" s="4" t="s">
        <v>1362</v>
      </c>
      <c r="H3037" s="4" t="s">
        <v>15</v>
      </c>
      <c r="I3037" s="4" t="s">
        <v>3076</v>
      </c>
      <c r="J3037" s="4" t="s">
        <v>3077</v>
      </c>
      <c r="K3037" s="4" t="s">
        <v>30</v>
      </c>
      <c r="L3037" s="4" t="s">
        <v>3743</v>
      </c>
      <c r="M3037" s="4" t="s">
        <v>3746</v>
      </c>
      <c r="N3037" s="4" t="s">
        <v>3747</v>
      </c>
      <c r="O3037" s="17">
        <f>INDEX('список ID из СУЭ с должностями'!$A:$F,MATCH(E3037,'список ID из СУЭ с должностями'!$B:$B,0),5)</f>
        <v>0</v>
      </c>
    </row>
    <row r="3038" spans="1:15" ht="45">
      <c r="A3038" s="3" t="s">
        <v>10</v>
      </c>
      <c r="B3038" s="3" t="s">
        <v>11</v>
      </c>
      <c r="C3038" s="4">
        <v>2026</v>
      </c>
      <c r="D3038" s="5" t="s">
        <v>12</v>
      </c>
      <c r="E3038" s="4">
        <v>415</v>
      </c>
      <c r="F3038" s="4" t="s">
        <v>3075</v>
      </c>
      <c r="G3038" s="4" t="s">
        <v>1362</v>
      </c>
      <c r="H3038" s="4" t="s">
        <v>41</v>
      </c>
      <c r="I3038" s="4" t="s">
        <v>3078</v>
      </c>
      <c r="J3038" s="4" t="s">
        <v>3079</v>
      </c>
      <c r="K3038" s="4" t="s">
        <v>23</v>
      </c>
      <c r="L3038" s="4" t="s">
        <v>3743</v>
      </c>
      <c r="M3038" s="4" t="s">
        <v>3748</v>
      </c>
      <c r="N3038" s="4" t="s">
        <v>3752</v>
      </c>
      <c r="O3038" s="17">
        <f>INDEX('список ID из СУЭ с должностями'!$A:$F,MATCH(E3038,'список ID из СУЭ с должностями'!$B:$B,0),5)</f>
        <v>0</v>
      </c>
    </row>
    <row r="3039" spans="1:15" ht="45">
      <c r="A3039" s="3" t="s">
        <v>10</v>
      </c>
      <c r="B3039" s="3" t="s">
        <v>11</v>
      </c>
      <c r="C3039" s="4">
        <v>2026</v>
      </c>
      <c r="D3039" s="5" t="s">
        <v>12</v>
      </c>
      <c r="E3039" s="4">
        <v>415</v>
      </c>
      <c r="F3039" s="4" t="s">
        <v>3075</v>
      </c>
      <c r="G3039" s="4" t="s">
        <v>1362</v>
      </c>
      <c r="H3039" s="4" t="s">
        <v>15</v>
      </c>
      <c r="I3039" s="4" t="s">
        <v>3080</v>
      </c>
      <c r="J3039" s="4" t="s">
        <v>3081</v>
      </c>
      <c r="K3039" s="4" t="s">
        <v>35</v>
      </c>
      <c r="L3039" s="4" t="s">
        <v>3742</v>
      </c>
      <c r="M3039" s="4" t="s">
        <v>3746</v>
      </c>
      <c r="N3039" s="4" t="s">
        <v>3747</v>
      </c>
      <c r="O3039" s="17">
        <f>INDEX('список ID из СУЭ с должностями'!$A:$F,MATCH(E3039,'список ID из СУЭ с должностями'!$B:$B,0),5)</f>
        <v>0</v>
      </c>
    </row>
    <row r="3040" spans="1:15" ht="45">
      <c r="A3040" s="3" t="s">
        <v>10</v>
      </c>
      <c r="B3040" s="3" t="s">
        <v>11</v>
      </c>
      <c r="C3040" s="4">
        <v>2026</v>
      </c>
      <c r="D3040" s="5" t="s">
        <v>12</v>
      </c>
      <c r="E3040" s="4">
        <v>415</v>
      </c>
      <c r="F3040" s="4" t="s">
        <v>3075</v>
      </c>
      <c r="G3040" s="4" t="s">
        <v>1362</v>
      </c>
      <c r="H3040" s="4" t="s">
        <v>15</v>
      </c>
      <c r="I3040" s="4" t="s">
        <v>3082</v>
      </c>
      <c r="J3040" s="4" t="s">
        <v>3083</v>
      </c>
      <c r="K3040" s="4" t="s">
        <v>2144</v>
      </c>
      <c r="L3040" s="4" t="s">
        <v>3742</v>
      </c>
      <c r="M3040" s="4" t="s">
        <v>3746</v>
      </c>
      <c r="N3040" s="4" t="s">
        <v>3768</v>
      </c>
      <c r="O3040" s="17">
        <f>INDEX('список ID из СУЭ с должностями'!$A:$F,MATCH(E3040,'список ID из СУЭ с должностями'!$B:$B,0),5)</f>
        <v>0</v>
      </c>
    </row>
    <row r="3041" spans="1:15" ht="45">
      <c r="A3041" s="3" t="s">
        <v>10</v>
      </c>
      <c r="B3041" s="3" t="s">
        <v>11</v>
      </c>
      <c r="C3041" s="4">
        <v>2026</v>
      </c>
      <c r="D3041" s="5" t="s">
        <v>12</v>
      </c>
      <c r="E3041" s="4">
        <v>415</v>
      </c>
      <c r="F3041" s="4" t="s">
        <v>3075</v>
      </c>
      <c r="G3041" s="4" t="s">
        <v>1362</v>
      </c>
      <c r="H3041" s="4" t="s">
        <v>15</v>
      </c>
      <c r="I3041" s="4" t="s">
        <v>3084</v>
      </c>
      <c r="J3041" s="4" t="s">
        <v>1038</v>
      </c>
      <c r="K3041" s="4" t="s">
        <v>2144</v>
      </c>
      <c r="L3041" s="4" t="s">
        <v>3742</v>
      </c>
      <c r="M3041" s="4" t="s">
        <v>3746</v>
      </c>
      <c r="N3041" s="4" t="s">
        <v>3768</v>
      </c>
      <c r="O3041" s="17">
        <f>INDEX('список ID из СУЭ с должностями'!$A:$F,MATCH(E3041,'список ID из СУЭ с должностями'!$B:$B,0),5)</f>
        <v>0</v>
      </c>
    </row>
    <row r="3042" spans="1:15" ht="45">
      <c r="A3042" s="3" t="s">
        <v>10</v>
      </c>
      <c r="B3042" s="3" t="s">
        <v>11</v>
      </c>
      <c r="C3042" s="4">
        <v>2026</v>
      </c>
      <c r="D3042" s="5" t="s">
        <v>12</v>
      </c>
      <c r="E3042" s="4">
        <v>415</v>
      </c>
      <c r="F3042" s="4" t="s">
        <v>3075</v>
      </c>
      <c r="G3042" s="4" t="s">
        <v>1362</v>
      </c>
      <c r="H3042" s="4" t="s">
        <v>15</v>
      </c>
      <c r="I3042" s="4" t="s">
        <v>3085</v>
      </c>
      <c r="J3042" s="4" t="s">
        <v>79</v>
      </c>
      <c r="K3042" s="4" t="s">
        <v>2144</v>
      </c>
      <c r="L3042" s="4" t="s">
        <v>3742</v>
      </c>
      <c r="M3042" s="4" t="s">
        <v>3746</v>
      </c>
      <c r="N3042" s="4" t="s">
        <v>3768</v>
      </c>
      <c r="O3042" s="17">
        <f>INDEX('список ID из СУЭ с должностями'!$A:$F,MATCH(E3042,'список ID из СУЭ с должностями'!$B:$B,0),5)</f>
        <v>0</v>
      </c>
    </row>
    <row r="3043" spans="1:15" ht="135">
      <c r="A3043" s="3" t="s">
        <v>10</v>
      </c>
      <c r="B3043" s="3" t="s">
        <v>11</v>
      </c>
      <c r="C3043" s="4">
        <v>2026</v>
      </c>
      <c r="D3043" s="5" t="s">
        <v>12</v>
      </c>
      <c r="E3043" s="4">
        <v>415</v>
      </c>
      <c r="F3043" s="4" t="s">
        <v>3075</v>
      </c>
      <c r="G3043" s="4" t="s">
        <v>1362</v>
      </c>
      <c r="H3043" s="4" t="s">
        <v>21</v>
      </c>
      <c r="I3043" s="4" t="s">
        <v>3086</v>
      </c>
      <c r="J3043" s="4" t="s">
        <v>3087</v>
      </c>
      <c r="K3043" s="4" t="s">
        <v>2146</v>
      </c>
      <c r="L3043" s="4" t="s">
        <v>3743</v>
      </c>
      <c r="M3043" s="4" t="s">
        <v>3746</v>
      </c>
      <c r="N3043" s="4" t="s">
        <v>3768</v>
      </c>
      <c r="O3043" s="17">
        <f>INDEX('список ID из СУЭ с должностями'!$A:$F,MATCH(E3043,'список ID из СУЭ с должностями'!$B:$B,0),5)</f>
        <v>0</v>
      </c>
    </row>
    <row r="3044" spans="1:15" ht="60">
      <c r="A3044" s="3" t="s">
        <v>10</v>
      </c>
      <c r="B3044" s="3" t="s">
        <v>11</v>
      </c>
      <c r="C3044" s="4">
        <v>2026</v>
      </c>
      <c r="D3044" s="5" t="s">
        <v>12</v>
      </c>
      <c r="E3044" s="4">
        <v>415</v>
      </c>
      <c r="F3044" s="4" t="s">
        <v>3075</v>
      </c>
      <c r="G3044" s="4" t="s">
        <v>1362</v>
      </c>
      <c r="H3044" s="4" t="s">
        <v>21</v>
      </c>
      <c r="I3044" s="4" t="s">
        <v>3088</v>
      </c>
      <c r="J3044" s="4" t="s">
        <v>3089</v>
      </c>
      <c r="K3044" s="4" t="s">
        <v>25</v>
      </c>
      <c r="L3044" s="4" t="s">
        <v>3743</v>
      </c>
      <c r="M3044" s="4" t="s">
        <v>3746</v>
      </c>
      <c r="N3044" s="4" t="s">
        <v>3747</v>
      </c>
      <c r="O3044" s="17">
        <f>INDEX('список ID из СУЭ с должностями'!$A:$F,MATCH(E3044,'список ID из СУЭ с должностями'!$B:$B,0),5)</f>
        <v>0</v>
      </c>
    </row>
    <row r="3045" spans="1:15" ht="60">
      <c r="A3045" s="3" t="s">
        <v>10</v>
      </c>
      <c r="B3045" s="3" t="s">
        <v>11</v>
      </c>
      <c r="C3045" s="4">
        <v>2026</v>
      </c>
      <c r="D3045" s="5" t="s">
        <v>12</v>
      </c>
      <c r="E3045" s="4">
        <v>415</v>
      </c>
      <c r="F3045" s="4" t="s">
        <v>3075</v>
      </c>
      <c r="G3045" s="4" t="s">
        <v>1362</v>
      </c>
      <c r="H3045" s="4" t="s">
        <v>21</v>
      </c>
      <c r="I3045" s="4" t="s">
        <v>3090</v>
      </c>
      <c r="J3045" s="4" t="s">
        <v>3091</v>
      </c>
      <c r="K3045" s="4" t="s">
        <v>30</v>
      </c>
      <c r="L3045" s="4" t="s">
        <v>3743</v>
      </c>
      <c r="M3045" s="4" t="s">
        <v>3746</v>
      </c>
      <c r="N3045" s="4" t="s">
        <v>3747</v>
      </c>
      <c r="O3045" s="17">
        <f>INDEX('список ID из СУЭ с должностями'!$A:$F,MATCH(E3045,'список ID из СУЭ с должностями'!$B:$B,0),5)</f>
        <v>0</v>
      </c>
    </row>
    <row r="3046" spans="1:15" ht="60">
      <c r="A3046" s="3" t="s">
        <v>10</v>
      </c>
      <c r="B3046" s="3" t="s">
        <v>11</v>
      </c>
      <c r="C3046" s="4">
        <v>2026</v>
      </c>
      <c r="D3046" s="5" t="s">
        <v>12</v>
      </c>
      <c r="E3046" s="4">
        <v>415</v>
      </c>
      <c r="F3046" s="4" t="s">
        <v>3075</v>
      </c>
      <c r="G3046" s="4" t="s">
        <v>1362</v>
      </c>
      <c r="H3046" s="4" t="s">
        <v>15</v>
      </c>
      <c r="I3046" s="4" t="s">
        <v>3092</v>
      </c>
      <c r="J3046" s="4" t="s">
        <v>3093</v>
      </c>
      <c r="K3046" s="4" t="s">
        <v>30</v>
      </c>
      <c r="L3046" s="4" t="s">
        <v>3742</v>
      </c>
      <c r="M3046" s="4" t="s">
        <v>3746</v>
      </c>
      <c r="N3046" s="4" t="s">
        <v>3747</v>
      </c>
      <c r="O3046" s="17">
        <f>INDEX('список ID из СУЭ с должностями'!$A:$F,MATCH(E3046,'список ID из СУЭ с должностями'!$B:$B,0),5)</f>
        <v>0</v>
      </c>
    </row>
    <row r="3047" spans="1:15" ht="195">
      <c r="A3047" s="3" t="s">
        <v>10</v>
      </c>
      <c r="B3047" s="3" t="s">
        <v>11</v>
      </c>
      <c r="C3047" s="4">
        <v>2026</v>
      </c>
      <c r="D3047" s="5" t="s">
        <v>12</v>
      </c>
      <c r="E3047" s="4">
        <v>416</v>
      </c>
      <c r="F3047" s="4" t="s">
        <v>39</v>
      </c>
      <c r="G3047" s="4" t="s">
        <v>665</v>
      </c>
      <c r="H3047" s="4" t="s">
        <v>21</v>
      </c>
      <c r="I3047" s="4" t="s">
        <v>2027</v>
      </c>
      <c r="J3047" s="4" t="s">
        <v>3094</v>
      </c>
      <c r="K3047" s="4" t="s">
        <v>66</v>
      </c>
      <c r="L3047" s="4" t="s">
        <v>3743</v>
      </c>
      <c r="M3047" s="4" t="s">
        <v>3746</v>
      </c>
      <c r="N3047" s="4" t="s">
        <v>3747</v>
      </c>
      <c r="O3047" s="17" t="str">
        <f>INDEX('список ID из СУЭ с должностями'!$A:$F,MATCH(E3047,'список ID из СУЭ с должностями'!$B:$B,0),5)</f>
        <v>НС</v>
      </c>
    </row>
    <row r="3048" spans="1:15" ht="315">
      <c r="A3048" s="3" t="s">
        <v>10</v>
      </c>
      <c r="B3048" s="3" t="s">
        <v>11</v>
      </c>
      <c r="C3048" s="4">
        <v>2026</v>
      </c>
      <c r="D3048" s="5" t="s">
        <v>12</v>
      </c>
      <c r="E3048" s="4">
        <v>416</v>
      </c>
      <c r="F3048" s="4" t="s">
        <v>39</v>
      </c>
      <c r="G3048" s="4" t="s">
        <v>665</v>
      </c>
      <c r="H3048" s="4" t="s">
        <v>15</v>
      </c>
      <c r="I3048" s="4" t="s">
        <v>2031</v>
      </c>
      <c r="J3048" s="4" t="s">
        <v>3095</v>
      </c>
      <c r="K3048" s="4" t="s">
        <v>38</v>
      </c>
      <c r="L3048" s="4" t="s">
        <v>3743</v>
      </c>
      <c r="M3048" s="4" t="s">
        <v>3746</v>
      </c>
      <c r="N3048" s="4" t="s">
        <v>3747</v>
      </c>
      <c r="O3048" s="17" t="str">
        <f>INDEX('список ID из СУЭ с должностями'!$A:$F,MATCH(E3048,'список ID из СУЭ с должностями'!$B:$B,0),5)</f>
        <v>НС</v>
      </c>
    </row>
    <row r="3049" spans="1:15" ht="285">
      <c r="A3049" s="3" t="s">
        <v>10</v>
      </c>
      <c r="B3049" s="3" t="s">
        <v>11</v>
      </c>
      <c r="C3049" s="4">
        <v>2026</v>
      </c>
      <c r="D3049" s="5" t="s">
        <v>12</v>
      </c>
      <c r="E3049" s="4">
        <v>416</v>
      </c>
      <c r="F3049" s="4" t="s">
        <v>39</v>
      </c>
      <c r="G3049" s="4" t="s">
        <v>665</v>
      </c>
      <c r="H3049" s="4" t="s">
        <v>21</v>
      </c>
      <c r="I3049" s="4" t="s">
        <v>2025</v>
      </c>
      <c r="J3049" s="4" t="s">
        <v>2026</v>
      </c>
      <c r="K3049" s="4" t="s">
        <v>25</v>
      </c>
      <c r="L3049" s="4" t="s">
        <v>3743</v>
      </c>
      <c r="M3049" s="4" t="s">
        <v>3746</v>
      </c>
      <c r="N3049" s="4" t="s">
        <v>3747</v>
      </c>
      <c r="O3049" s="17" t="str">
        <f>INDEX('список ID из СУЭ с должностями'!$A:$F,MATCH(E3049,'список ID из СУЭ с должностями'!$B:$B,0),5)</f>
        <v>НС</v>
      </c>
    </row>
    <row r="3050" spans="1:15" ht="285">
      <c r="A3050" s="3" t="s">
        <v>10</v>
      </c>
      <c r="B3050" s="3" t="s">
        <v>11</v>
      </c>
      <c r="C3050" s="4">
        <v>2026</v>
      </c>
      <c r="D3050" s="5" t="s">
        <v>12</v>
      </c>
      <c r="E3050" s="4">
        <v>416</v>
      </c>
      <c r="F3050" s="4" t="s">
        <v>39</v>
      </c>
      <c r="G3050" s="4" t="s">
        <v>665</v>
      </c>
      <c r="H3050" s="4" t="s">
        <v>21</v>
      </c>
      <c r="I3050" s="4" t="s">
        <v>2029</v>
      </c>
      <c r="J3050" s="4" t="s">
        <v>3096</v>
      </c>
      <c r="K3050" s="4" t="s">
        <v>30</v>
      </c>
      <c r="L3050" s="4" t="s">
        <v>3743</v>
      </c>
      <c r="M3050" s="4" t="s">
        <v>3746</v>
      </c>
      <c r="N3050" s="4" t="s">
        <v>3747</v>
      </c>
      <c r="O3050" s="17" t="str">
        <f>INDEX('список ID из СУЭ с должностями'!$A:$F,MATCH(E3050,'список ID из СУЭ с должностями'!$B:$B,0),5)</f>
        <v>НС</v>
      </c>
    </row>
    <row r="3051" spans="1:15" ht="135">
      <c r="A3051" s="3" t="s">
        <v>10</v>
      </c>
      <c r="B3051" s="3" t="s">
        <v>11</v>
      </c>
      <c r="C3051" s="4">
        <v>2026</v>
      </c>
      <c r="D3051" s="5" t="s">
        <v>12</v>
      </c>
      <c r="E3051" s="4">
        <v>416</v>
      </c>
      <c r="F3051" s="4" t="s">
        <v>39</v>
      </c>
      <c r="G3051" s="4" t="s">
        <v>665</v>
      </c>
      <c r="H3051" s="4" t="s">
        <v>15</v>
      </c>
      <c r="I3051" s="4" t="s">
        <v>46</v>
      </c>
      <c r="J3051" s="4" t="s">
        <v>3097</v>
      </c>
      <c r="K3051" s="4" t="s">
        <v>20</v>
      </c>
      <c r="L3051" s="4" t="s">
        <v>3743</v>
      </c>
      <c r="M3051" s="4" t="s">
        <v>3746</v>
      </c>
      <c r="N3051" s="4" t="s">
        <v>3747</v>
      </c>
      <c r="O3051" s="17" t="str">
        <f>INDEX('список ID из СУЭ с должностями'!$A:$F,MATCH(E3051,'список ID из СУЭ с должностями'!$B:$B,0),5)</f>
        <v>НС</v>
      </c>
    </row>
    <row r="3052" spans="1:15" ht="195">
      <c r="A3052" s="3" t="s">
        <v>10</v>
      </c>
      <c r="B3052" s="3" t="s">
        <v>11</v>
      </c>
      <c r="C3052" s="4">
        <v>2026</v>
      </c>
      <c r="D3052" s="5" t="s">
        <v>12</v>
      </c>
      <c r="E3052" s="4">
        <v>416</v>
      </c>
      <c r="F3052" s="4" t="s">
        <v>39</v>
      </c>
      <c r="G3052" s="4" t="s">
        <v>665</v>
      </c>
      <c r="H3052" s="4" t="s">
        <v>15</v>
      </c>
      <c r="I3052" s="4" t="s">
        <v>984</v>
      </c>
      <c r="J3052" s="4" t="s">
        <v>3098</v>
      </c>
      <c r="K3052" s="4" t="s">
        <v>66</v>
      </c>
      <c r="L3052" s="4" t="s">
        <v>3743</v>
      </c>
      <c r="M3052" s="4" t="s">
        <v>3746</v>
      </c>
      <c r="N3052" s="4" t="s">
        <v>3747</v>
      </c>
      <c r="O3052" s="17" t="str">
        <f>INDEX('список ID из СУЭ с должностями'!$A:$F,MATCH(E3052,'список ID из СУЭ с должностями'!$B:$B,0),5)</f>
        <v>НС</v>
      </c>
    </row>
    <row r="3053" spans="1:15" ht="105">
      <c r="A3053" s="3" t="s">
        <v>10</v>
      </c>
      <c r="B3053" s="3" t="s">
        <v>11</v>
      </c>
      <c r="C3053" s="4">
        <v>2026</v>
      </c>
      <c r="D3053" s="5" t="s">
        <v>12</v>
      </c>
      <c r="E3053" s="4">
        <v>416</v>
      </c>
      <c r="F3053" s="4" t="s">
        <v>39</v>
      </c>
      <c r="G3053" s="4" t="s">
        <v>665</v>
      </c>
      <c r="H3053" s="4" t="s">
        <v>15</v>
      </c>
      <c r="I3053" s="4" t="s">
        <v>3099</v>
      </c>
      <c r="J3053" s="4" t="s">
        <v>3100</v>
      </c>
      <c r="K3053" s="4" t="s">
        <v>66</v>
      </c>
      <c r="L3053" s="4" t="s">
        <v>3743</v>
      </c>
      <c r="M3053" s="4" t="s">
        <v>3746</v>
      </c>
      <c r="N3053" s="4" t="s">
        <v>3747</v>
      </c>
      <c r="O3053" s="17" t="str">
        <f>INDEX('список ID из СУЭ с должностями'!$A:$F,MATCH(E3053,'список ID из СУЭ с должностями'!$B:$B,0),5)</f>
        <v>НС</v>
      </c>
    </row>
    <row r="3054" spans="1:15" ht="409.5">
      <c r="A3054" s="3" t="s">
        <v>10</v>
      </c>
      <c r="B3054" s="3" t="s">
        <v>11</v>
      </c>
      <c r="C3054" s="4">
        <v>2026</v>
      </c>
      <c r="D3054" s="5" t="s">
        <v>12</v>
      </c>
      <c r="E3054" s="4">
        <v>416</v>
      </c>
      <c r="F3054" s="4" t="s">
        <v>39</v>
      </c>
      <c r="G3054" s="4" t="s">
        <v>665</v>
      </c>
      <c r="H3054" s="4" t="s">
        <v>15</v>
      </c>
      <c r="I3054" s="4" t="s">
        <v>2023</v>
      </c>
      <c r="J3054" s="4" t="s">
        <v>3101</v>
      </c>
      <c r="K3054" s="4" t="s">
        <v>35</v>
      </c>
      <c r="L3054" s="4" t="s">
        <v>3743</v>
      </c>
      <c r="M3054" s="4" t="s">
        <v>3746</v>
      </c>
      <c r="N3054" s="4" t="s">
        <v>3747</v>
      </c>
      <c r="O3054" s="17" t="str">
        <f>INDEX('список ID из СУЭ с должностями'!$A:$F,MATCH(E3054,'список ID из СУЭ с должностями'!$B:$B,0),5)</f>
        <v>НС</v>
      </c>
    </row>
    <row r="3055" spans="1:15" ht="75">
      <c r="A3055" s="3" t="s">
        <v>10</v>
      </c>
      <c r="B3055" s="3" t="s">
        <v>11</v>
      </c>
      <c r="C3055" s="4">
        <v>2026</v>
      </c>
      <c r="D3055" s="5" t="s">
        <v>12</v>
      </c>
      <c r="E3055" s="4">
        <v>417</v>
      </c>
      <c r="F3055" s="4" t="s">
        <v>316</v>
      </c>
      <c r="G3055" s="4" t="s">
        <v>909</v>
      </c>
      <c r="H3055" s="4" t="s">
        <v>15</v>
      </c>
      <c r="I3055" s="4" t="s">
        <v>3102</v>
      </c>
      <c r="J3055" s="4" t="s">
        <v>132</v>
      </c>
      <c r="K3055" s="4" t="s">
        <v>3103</v>
      </c>
      <c r="L3055" s="4" t="s">
        <v>3742</v>
      </c>
      <c r="M3055" s="4" t="s">
        <v>3750</v>
      </c>
      <c r="N3055" s="4" t="s">
        <v>3782</v>
      </c>
      <c r="O3055" s="17">
        <f>INDEX('список ID из СУЭ с должностями'!$A:$F,MATCH(E3055,'список ID из СУЭ с должностями'!$B:$B,0),5)</f>
        <v>0</v>
      </c>
    </row>
    <row r="3056" spans="1:15" ht="105">
      <c r="A3056" s="3" t="s">
        <v>10</v>
      </c>
      <c r="B3056" s="3" t="s">
        <v>11</v>
      </c>
      <c r="C3056" s="4">
        <v>2026</v>
      </c>
      <c r="D3056" s="5" t="s">
        <v>12</v>
      </c>
      <c r="E3056" s="4">
        <v>417</v>
      </c>
      <c r="F3056" s="4" t="s">
        <v>316</v>
      </c>
      <c r="G3056" s="4" t="s">
        <v>909</v>
      </c>
      <c r="H3056" s="4" t="s">
        <v>15</v>
      </c>
      <c r="I3056" s="4" t="s">
        <v>3104</v>
      </c>
      <c r="J3056" s="4" t="s">
        <v>923</v>
      </c>
      <c r="K3056" s="4" t="s">
        <v>25</v>
      </c>
      <c r="L3056" s="4" t="s">
        <v>3743</v>
      </c>
      <c r="M3056" s="4" t="s">
        <v>3746</v>
      </c>
      <c r="N3056" s="4" t="s">
        <v>3747</v>
      </c>
      <c r="O3056" s="17">
        <f>INDEX('список ID из СУЭ с должностями'!$A:$F,MATCH(E3056,'список ID из СУЭ с должностями'!$B:$B,0),5)</f>
        <v>0</v>
      </c>
    </row>
    <row r="3057" spans="1:15" ht="90">
      <c r="A3057" s="3" t="s">
        <v>10</v>
      </c>
      <c r="B3057" s="3" t="s">
        <v>11</v>
      </c>
      <c r="C3057" s="4">
        <v>2026</v>
      </c>
      <c r="D3057" s="5" t="s">
        <v>12</v>
      </c>
      <c r="E3057" s="4">
        <v>417</v>
      </c>
      <c r="F3057" s="4" t="s">
        <v>316</v>
      </c>
      <c r="G3057" s="4" t="s">
        <v>909</v>
      </c>
      <c r="H3057" s="4" t="s">
        <v>41</v>
      </c>
      <c r="I3057" s="4" t="s">
        <v>25</v>
      </c>
      <c r="J3057" s="4" t="s">
        <v>760</v>
      </c>
      <c r="K3057" s="4" t="s">
        <v>25</v>
      </c>
      <c r="L3057" s="4" t="s">
        <v>3743</v>
      </c>
      <c r="M3057" s="4" t="s">
        <v>3746</v>
      </c>
      <c r="N3057" s="4" t="s">
        <v>3747</v>
      </c>
      <c r="O3057" s="17">
        <f>INDEX('список ID из СУЭ с должностями'!$A:$F,MATCH(E3057,'список ID из СУЭ с должностями'!$B:$B,0),5)</f>
        <v>0</v>
      </c>
    </row>
    <row r="3058" spans="1:15" ht="75">
      <c r="A3058" s="3" t="s">
        <v>10</v>
      </c>
      <c r="B3058" s="3" t="s">
        <v>11</v>
      </c>
      <c r="C3058" s="4">
        <v>2026</v>
      </c>
      <c r="D3058" s="5" t="s">
        <v>12</v>
      </c>
      <c r="E3058" s="4">
        <v>417</v>
      </c>
      <c r="F3058" s="4" t="s">
        <v>316</v>
      </c>
      <c r="G3058" s="4" t="s">
        <v>909</v>
      </c>
      <c r="H3058" s="4" t="s">
        <v>21</v>
      </c>
      <c r="I3058" s="4" t="s">
        <v>35</v>
      </c>
      <c r="J3058" s="4" t="s">
        <v>3105</v>
      </c>
      <c r="K3058" s="4" t="s">
        <v>35</v>
      </c>
      <c r="L3058" s="4" t="s">
        <v>3743</v>
      </c>
      <c r="M3058" s="4" t="s">
        <v>3746</v>
      </c>
      <c r="N3058" s="4" t="s">
        <v>3747</v>
      </c>
      <c r="O3058" s="17">
        <f>INDEX('список ID из СУЭ с должностями'!$A:$F,MATCH(E3058,'список ID из СУЭ с должностями'!$B:$B,0),5)</f>
        <v>0</v>
      </c>
    </row>
    <row r="3059" spans="1:15" ht="360">
      <c r="A3059" s="3" t="s">
        <v>10</v>
      </c>
      <c r="B3059" s="3" t="s">
        <v>11</v>
      </c>
      <c r="C3059" s="4">
        <v>2026</v>
      </c>
      <c r="D3059" s="5" t="s">
        <v>12</v>
      </c>
      <c r="E3059" s="4">
        <v>418</v>
      </c>
      <c r="F3059" s="4" t="s">
        <v>780</v>
      </c>
      <c r="G3059" s="4" t="s">
        <v>781</v>
      </c>
      <c r="H3059" s="4" t="s">
        <v>15</v>
      </c>
      <c r="I3059" s="4" t="s">
        <v>52</v>
      </c>
      <c r="J3059" s="4" t="s">
        <v>3106</v>
      </c>
      <c r="K3059" s="4" t="s">
        <v>52</v>
      </c>
      <c r="L3059" s="4" t="s">
        <v>3743</v>
      </c>
      <c r="M3059" s="4" t="s">
        <v>3746</v>
      </c>
      <c r="N3059" s="4" t="s">
        <v>3747</v>
      </c>
      <c r="O3059" s="17">
        <f>INDEX('список ID из СУЭ с должностями'!$A:$F,MATCH(E3059,'список ID из СУЭ с должностями'!$B:$B,0),5)</f>
        <v>0</v>
      </c>
    </row>
    <row r="3060" spans="1:15" ht="75">
      <c r="A3060" s="3" t="s">
        <v>10</v>
      </c>
      <c r="B3060" s="3" t="s">
        <v>11</v>
      </c>
      <c r="C3060" s="4">
        <v>2026</v>
      </c>
      <c r="D3060" s="5" t="s">
        <v>12</v>
      </c>
      <c r="E3060" s="4">
        <v>418</v>
      </c>
      <c r="F3060" s="4" t="s">
        <v>780</v>
      </c>
      <c r="G3060" s="4" t="s">
        <v>781</v>
      </c>
      <c r="H3060" s="4" t="s">
        <v>21</v>
      </c>
      <c r="I3060" s="4" t="s">
        <v>3107</v>
      </c>
      <c r="J3060" s="4" t="s">
        <v>3108</v>
      </c>
      <c r="K3060" s="4" t="s">
        <v>35</v>
      </c>
      <c r="L3060" s="4" t="s">
        <v>3743</v>
      </c>
      <c r="M3060" s="4" t="s">
        <v>3746</v>
      </c>
      <c r="N3060" s="4" t="s">
        <v>3747</v>
      </c>
      <c r="O3060" s="17">
        <f>INDEX('список ID из СУЭ с должностями'!$A:$F,MATCH(E3060,'список ID из СУЭ с должностями'!$B:$B,0),5)</f>
        <v>0</v>
      </c>
    </row>
    <row r="3061" spans="1:15" ht="75">
      <c r="A3061" s="3" t="s">
        <v>10</v>
      </c>
      <c r="B3061" s="3" t="s">
        <v>11</v>
      </c>
      <c r="C3061" s="4">
        <v>2026</v>
      </c>
      <c r="D3061" s="5" t="s">
        <v>12</v>
      </c>
      <c r="E3061" s="4">
        <v>418</v>
      </c>
      <c r="F3061" s="4" t="s">
        <v>780</v>
      </c>
      <c r="G3061" s="4" t="s">
        <v>781</v>
      </c>
      <c r="H3061" s="4" t="s">
        <v>21</v>
      </c>
      <c r="I3061" s="4" t="s">
        <v>3109</v>
      </c>
      <c r="J3061" s="4" t="s">
        <v>3110</v>
      </c>
      <c r="K3061" s="4" t="s">
        <v>20</v>
      </c>
      <c r="L3061" s="4" t="s">
        <v>3743</v>
      </c>
      <c r="M3061" s="4" t="s">
        <v>3746</v>
      </c>
      <c r="N3061" s="4" t="s">
        <v>3747</v>
      </c>
      <c r="O3061" s="17">
        <f>INDEX('список ID из СУЭ с должностями'!$A:$F,MATCH(E3061,'список ID из СУЭ с должностями'!$B:$B,0),5)</f>
        <v>0</v>
      </c>
    </row>
    <row r="3062" spans="1:15" ht="165">
      <c r="A3062" s="3" t="s">
        <v>10</v>
      </c>
      <c r="B3062" s="3" t="s">
        <v>11</v>
      </c>
      <c r="C3062" s="4">
        <v>2026</v>
      </c>
      <c r="D3062" s="5" t="s">
        <v>12</v>
      </c>
      <c r="E3062" s="4">
        <v>418</v>
      </c>
      <c r="F3062" s="4" t="s">
        <v>780</v>
      </c>
      <c r="G3062" s="4" t="s">
        <v>781</v>
      </c>
      <c r="H3062" s="4" t="s">
        <v>41</v>
      </c>
      <c r="I3062" s="4" t="s">
        <v>788</v>
      </c>
      <c r="J3062" s="4" t="s">
        <v>789</v>
      </c>
      <c r="K3062" s="4" t="s">
        <v>30</v>
      </c>
      <c r="L3062" s="4" t="s">
        <v>3743</v>
      </c>
      <c r="M3062" s="4" t="s">
        <v>3746</v>
      </c>
      <c r="N3062" s="4" t="s">
        <v>3747</v>
      </c>
      <c r="O3062" s="17">
        <f>INDEX('список ID из СУЭ с должностями'!$A:$F,MATCH(E3062,'список ID из СУЭ с должностями'!$B:$B,0),5)</f>
        <v>0</v>
      </c>
    </row>
    <row r="3063" spans="1:15" ht="75">
      <c r="A3063" s="3" t="s">
        <v>10</v>
      </c>
      <c r="B3063" s="3" t="s">
        <v>11</v>
      </c>
      <c r="C3063" s="4">
        <v>2026</v>
      </c>
      <c r="D3063" s="5" t="s">
        <v>12</v>
      </c>
      <c r="E3063" s="4">
        <v>419</v>
      </c>
      <c r="F3063" s="4" t="s">
        <v>88</v>
      </c>
      <c r="G3063" s="4" t="s">
        <v>1488</v>
      </c>
      <c r="H3063" s="4" t="s">
        <v>15</v>
      </c>
      <c r="I3063" s="4" t="s">
        <v>1489</v>
      </c>
      <c r="J3063" s="4" t="s">
        <v>1490</v>
      </c>
      <c r="K3063" s="4" t="s">
        <v>35</v>
      </c>
      <c r="L3063" s="4" t="s">
        <v>3743</v>
      </c>
      <c r="M3063" s="4" t="s">
        <v>3746</v>
      </c>
      <c r="N3063" s="4" t="s">
        <v>3747</v>
      </c>
      <c r="O3063" s="17">
        <f>INDEX('список ID из СУЭ с должностями'!$A:$F,MATCH(E3063,'список ID из СУЭ с должностями'!$B:$B,0),5)</f>
        <v>0</v>
      </c>
    </row>
    <row r="3064" spans="1:15" ht="105">
      <c r="A3064" s="3" t="s">
        <v>10</v>
      </c>
      <c r="B3064" s="3" t="s">
        <v>11</v>
      </c>
      <c r="C3064" s="4">
        <v>2026</v>
      </c>
      <c r="D3064" s="5" t="s">
        <v>12</v>
      </c>
      <c r="E3064" s="4">
        <v>419</v>
      </c>
      <c r="F3064" s="4" t="s">
        <v>88</v>
      </c>
      <c r="G3064" s="4" t="s">
        <v>1488</v>
      </c>
      <c r="H3064" s="4" t="s">
        <v>15</v>
      </c>
      <c r="I3064" s="4" t="s">
        <v>2749</v>
      </c>
      <c r="J3064" s="4" t="s">
        <v>3111</v>
      </c>
      <c r="K3064" s="4" t="s">
        <v>35</v>
      </c>
      <c r="L3064" s="4" t="s">
        <v>3743</v>
      </c>
      <c r="M3064" s="4" t="s">
        <v>3746</v>
      </c>
      <c r="N3064" s="4" t="s">
        <v>3747</v>
      </c>
      <c r="O3064" s="17">
        <f>INDEX('список ID из СУЭ с должностями'!$A:$F,MATCH(E3064,'список ID из СУЭ с должностями'!$B:$B,0),5)</f>
        <v>0</v>
      </c>
    </row>
    <row r="3065" spans="1:15" ht="270">
      <c r="A3065" s="3" t="s">
        <v>10</v>
      </c>
      <c r="B3065" s="3" t="s">
        <v>11</v>
      </c>
      <c r="C3065" s="4">
        <v>2026</v>
      </c>
      <c r="D3065" s="5" t="s">
        <v>12</v>
      </c>
      <c r="E3065" s="4">
        <v>419</v>
      </c>
      <c r="F3065" s="4" t="s">
        <v>88</v>
      </c>
      <c r="G3065" s="4" t="s">
        <v>1488</v>
      </c>
      <c r="H3065" s="4" t="s">
        <v>15</v>
      </c>
      <c r="I3065" s="4" t="s">
        <v>1495</v>
      </c>
      <c r="J3065" s="4" t="s">
        <v>3112</v>
      </c>
      <c r="K3065" s="4" t="s">
        <v>35</v>
      </c>
      <c r="L3065" s="4" t="s">
        <v>3743</v>
      </c>
      <c r="M3065" s="4" t="s">
        <v>3746</v>
      </c>
      <c r="N3065" s="4" t="s">
        <v>3747</v>
      </c>
      <c r="O3065" s="17">
        <f>INDEX('список ID из СУЭ с должностями'!$A:$F,MATCH(E3065,'список ID из СУЭ с должностями'!$B:$B,0),5)</f>
        <v>0</v>
      </c>
    </row>
    <row r="3066" spans="1:15" ht="255">
      <c r="A3066" s="3" t="s">
        <v>10</v>
      </c>
      <c r="B3066" s="3" t="s">
        <v>11</v>
      </c>
      <c r="C3066" s="4">
        <v>2026</v>
      </c>
      <c r="D3066" s="5" t="s">
        <v>12</v>
      </c>
      <c r="E3066" s="4">
        <v>419</v>
      </c>
      <c r="F3066" s="4" t="s">
        <v>88</v>
      </c>
      <c r="G3066" s="4" t="s">
        <v>1488</v>
      </c>
      <c r="H3066" s="4" t="s">
        <v>15</v>
      </c>
      <c r="I3066" s="4" t="s">
        <v>2737</v>
      </c>
      <c r="J3066" s="4" t="s">
        <v>3113</v>
      </c>
      <c r="K3066" s="4" t="s">
        <v>2741</v>
      </c>
      <c r="L3066" s="4" t="s">
        <v>3743</v>
      </c>
      <c r="M3066" s="4" t="s">
        <v>3746</v>
      </c>
      <c r="N3066" s="4" t="s">
        <v>3778</v>
      </c>
      <c r="O3066" s="17">
        <f>INDEX('список ID из СУЭ с должностями'!$A:$F,MATCH(E3066,'список ID из СУЭ с должностями'!$B:$B,0),5)</f>
        <v>0</v>
      </c>
    </row>
    <row r="3067" spans="1:15" ht="105">
      <c r="A3067" s="3" t="s">
        <v>10</v>
      </c>
      <c r="B3067" s="3" t="s">
        <v>11</v>
      </c>
      <c r="C3067" s="4">
        <v>2026</v>
      </c>
      <c r="D3067" s="5" t="s">
        <v>12</v>
      </c>
      <c r="E3067" s="4">
        <v>419</v>
      </c>
      <c r="F3067" s="4" t="s">
        <v>88</v>
      </c>
      <c r="G3067" s="4" t="s">
        <v>1488</v>
      </c>
      <c r="H3067" s="4" t="s">
        <v>15</v>
      </c>
      <c r="I3067" s="4" t="s">
        <v>1493</v>
      </c>
      <c r="J3067" s="4" t="s">
        <v>2751</v>
      </c>
      <c r="K3067" s="4" t="s">
        <v>188</v>
      </c>
      <c r="L3067" s="4" t="s">
        <v>3743</v>
      </c>
      <c r="M3067" s="4" t="s">
        <v>3746</v>
      </c>
      <c r="N3067" s="4" t="s">
        <v>3747</v>
      </c>
      <c r="O3067" s="17">
        <f>INDEX('список ID из СУЭ с должностями'!$A:$F,MATCH(E3067,'список ID из СУЭ с должностями'!$B:$B,0),5)</f>
        <v>0</v>
      </c>
    </row>
    <row r="3068" spans="1:15" ht="90">
      <c r="A3068" s="3" t="s">
        <v>10</v>
      </c>
      <c r="B3068" s="3" t="s">
        <v>11</v>
      </c>
      <c r="C3068" s="4">
        <v>2026</v>
      </c>
      <c r="D3068" s="5" t="s">
        <v>12</v>
      </c>
      <c r="E3068" s="4">
        <v>419</v>
      </c>
      <c r="F3068" s="4" t="s">
        <v>88</v>
      </c>
      <c r="G3068" s="4" t="s">
        <v>1488</v>
      </c>
      <c r="H3068" s="4" t="s">
        <v>41</v>
      </c>
      <c r="I3068" s="4" t="s">
        <v>3114</v>
      </c>
      <c r="J3068" s="4" t="s">
        <v>3115</v>
      </c>
      <c r="K3068" s="4" t="s">
        <v>188</v>
      </c>
      <c r="L3068" s="4" t="s">
        <v>3743</v>
      </c>
      <c r="M3068" s="4" t="s">
        <v>3746</v>
      </c>
      <c r="N3068" s="4" t="s">
        <v>3747</v>
      </c>
      <c r="O3068" s="17">
        <f>INDEX('список ID из СУЭ с должностями'!$A:$F,MATCH(E3068,'список ID из СУЭ с должностями'!$B:$B,0),5)</f>
        <v>0</v>
      </c>
    </row>
    <row r="3069" spans="1:15" ht="195">
      <c r="A3069" s="3" t="s">
        <v>10</v>
      </c>
      <c r="B3069" s="3" t="s">
        <v>11</v>
      </c>
      <c r="C3069" s="4">
        <v>2026</v>
      </c>
      <c r="D3069" s="5" t="s">
        <v>12</v>
      </c>
      <c r="E3069" s="4">
        <v>419</v>
      </c>
      <c r="F3069" s="4" t="s">
        <v>88</v>
      </c>
      <c r="G3069" s="4" t="s">
        <v>1488</v>
      </c>
      <c r="H3069" s="4" t="s">
        <v>21</v>
      </c>
      <c r="I3069" s="4" t="s">
        <v>3116</v>
      </c>
      <c r="J3069" s="4" t="s">
        <v>3117</v>
      </c>
      <c r="K3069" s="4" t="s">
        <v>35</v>
      </c>
      <c r="L3069" s="4" t="s">
        <v>3743</v>
      </c>
      <c r="M3069" s="4" t="s">
        <v>3746</v>
      </c>
      <c r="N3069" s="4" t="s">
        <v>3747</v>
      </c>
      <c r="O3069" s="17">
        <f>INDEX('список ID из СУЭ с должностями'!$A:$F,MATCH(E3069,'список ID из СУЭ с должностями'!$B:$B,0),5)</f>
        <v>0</v>
      </c>
    </row>
    <row r="3070" spans="1:15" ht="285">
      <c r="A3070" s="3" t="s">
        <v>10</v>
      </c>
      <c r="B3070" s="3" t="s">
        <v>11</v>
      </c>
      <c r="C3070" s="4">
        <v>2026</v>
      </c>
      <c r="D3070" s="5" t="s">
        <v>12</v>
      </c>
      <c r="E3070" s="4">
        <v>419</v>
      </c>
      <c r="F3070" s="4" t="s">
        <v>88</v>
      </c>
      <c r="G3070" s="4" t="s">
        <v>1488</v>
      </c>
      <c r="H3070" s="4" t="s">
        <v>15</v>
      </c>
      <c r="I3070" s="4" t="s">
        <v>1499</v>
      </c>
      <c r="J3070" s="4" t="s">
        <v>3118</v>
      </c>
      <c r="K3070" s="4" t="s">
        <v>35</v>
      </c>
      <c r="L3070" s="4" t="s">
        <v>3743</v>
      </c>
      <c r="M3070" s="4" t="s">
        <v>3746</v>
      </c>
      <c r="N3070" s="4" t="s">
        <v>3747</v>
      </c>
      <c r="O3070" s="17">
        <f>INDEX('список ID из СУЭ с должностями'!$A:$F,MATCH(E3070,'список ID из СУЭ с должностями'!$B:$B,0),5)</f>
        <v>0</v>
      </c>
    </row>
    <row r="3071" spans="1:15" ht="75">
      <c r="A3071" s="3" t="s">
        <v>10</v>
      </c>
      <c r="B3071" s="3" t="s">
        <v>11</v>
      </c>
      <c r="C3071" s="4">
        <v>2026</v>
      </c>
      <c r="D3071" s="5" t="s">
        <v>12</v>
      </c>
      <c r="E3071" s="4">
        <v>419</v>
      </c>
      <c r="F3071" s="4" t="s">
        <v>88</v>
      </c>
      <c r="G3071" s="4" t="s">
        <v>1488</v>
      </c>
      <c r="H3071" s="4" t="s">
        <v>21</v>
      </c>
      <c r="I3071" s="4" t="s">
        <v>1497</v>
      </c>
      <c r="J3071" s="4" t="s">
        <v>3119</v>
      </c>
      <c r="K3071" s="4" t="s">
        <v>23</v>
      </c>
      <c r="L3071" s="4" t="s">
        <v>3743</v>
      </c>
      <c r="M3071" s="4" t="s">
        <v>3748</v>
      </c>
      <c r="N3071" s="4" t="s">
        <v>3752</v>
      </c>
      <c r="O3071" s="17">
        <f>INDEX('список ID из СУЭ с должностями'!$A:$F,MATCH(E3071,'список ID из СУЭ с должностями'!$B:$B,0),5)</f>
        <v>0</v>
      </c>
    </row>
    <row r="3072" spans="1:15" ht="315">
      <c r="A3072" s="3" t="s">
        <v>10</v>
      </c>
      <c r="B3072" s="3" t="s">
        <v>11</v>
      </c>
      <c r="C3072" s="4">
        <v>2026</v>
      </c>
      <c r="D3072" s="5" t="s">
        <v>12</v>
      </c>
      <c r="E3072" s="4">
        <v>419</v>
      </c>
      <c r="F3072" s="4" t="s">
        <v>88</v>
      </c>
      <c r="G3072" s="4" t="s">
        <v>1488</v>
      </c>
      <c r="H3072" s="4" t="s">
        <v>15</v>
      </c>
      <c r="I3072" s="4" t="s">
        <v>3120</v>
      </c>
      <c r="J3072" s="4" t="s">
        <v>3121</v>
      </c>
      <c r="K3072" s="4" t="s">
        <v>3120</v>
      </c>
      <c r="L3072" s="4" t="s">
        <v>3743</v>
      </c>
      <c r="M3072" s="4" t="s">
        <v>3746</v>
      </c>
      <c r="N3072" s="4" t="s">
        <v>3778</v>
      </c>
      <c r="O3072" s="17">
        <f>INDEX('список ID из СУЭ с должностями'!$A:$F,MATCH(E3072,'список ID из СУЭ с должностями'!$B:$B,0),5)</f>
        <v>0</v>
      </c>
    </row>
    <row r="3073" spans="1:15" ht="120">
      <c r="A3073" s="3" t="s">
        <v>10</v>
      </c>
      <c r="B3073" s="3" t="s">
        <v>11</v>
      </c>
      <c r="C3073" s="4">
        <v>2026</v>
      </c>
      <c r="D3073" s="5" t="s">
        <v>12</v>
      </c>
      <c r="E3073" s="4">
        <v>420</v>
      </c>
      <c r="F3073" s="4" t="s">
        <v>2426</v>
      </c>
      <c r="G3073" s="4" t="s">
        <v>2427</v>
      </c>
      <c r="H3073" s="4" t="s">
        <v>15</v>
      </c>
      <c r="I3073" s="4" t="s">
        <v>460</v>
      </c>
      <c r="J3073" s="4" t="s">
        <v>2428</v>
      </c>
      <c r="K3073" s="4" t="s">
        <v>38</v>
      </c>
      <c r="L3073" s="4" t="s">
        <v>3743</v>
      </c>
      <c r="M3073" s="4" t="s">
        <v>3746</v>
      </c>
      <c r="N3073" s="4" t="s">
        <v>3747</v>
      </c>
      <c r="O3073" s="17">
        <f>INDEX('список ID из СУЭ с должностями'!$A:$F,MATCH(E3073,'список ID из СУЭ с должностями'!$B:$B,0),5)</f>
        <v>0</v>
      </c>
    </row>
    <row r="3074" spans="1:15" ht="120">
      <c r="A3074" s="3" t="s">
        <v>10</v>
      </c>
      <c r="B3074" s="3" t="s">
        <v>11</v>
      </c>
      <c r="C3074" s="4">
        <v>2026</v>
      </c>
      <c r="D3074" s="5" t="s">
        <v>12</v>
      </c>
      <c r="E3074" s="4">
        <v>420</v>
      </c>
      <c r="F3074" s="4" t="s">
        <v>2426</v>
      </c>
      <c r="G3074" s="4" t="s">
        <v>2427</v>
      </c>
      <c r="H3074" s="4" t="s">
        <v>41</v>
      </c>
      <c r="I3074" s="4" t="s">
        <v>2430</v>
      </c>
      <c r="J3074" s="4" t="s">
        <v>2431</v>
      </c>
      <c r="K3074" s="4" t="s">
        <v>20</v>
      </c>
      <c r="L3074" s="4" t="s">
        <v>3743</v>
      </c>
      <c r="M3074" s="4" t="s">
        <v>3746</v>
      </c>
      <c r="N3074" s="4" t="s">
        <v>3747</v>
      </c>
      <c r="O3074" s="17">
        <f>INDEX('список ID из СУЭ с должностями'!$A:$F,MATCH(E3074,'список ID из СУЭ с должностями'!$B:$B,0),5)</f>
        <v>0</v>
      </c>
    </row>
    <row r="3075" spans="1:15" ht="120">
      <c r="A3075" s="3" t="s">
        <v>10</v>
      </c>
      <c r="B3075" s="3" t="s">
        <v>11</v>
      </c>
      <c r="C3075" s="4">
        <v>2026</v>
      </c>
      <c r="D3075" s="5" t="s">
        <v>12</v>
      </c>
      <c r="E3075" s="4">
        <v>420</v>
      </c>
      <c r="F3075" s="4" t="s">
        <v>2426</v>
      </c>
      <c r="G3075" s="4" t="s">
        <v>2427</v>
      </c>
      <c r="H3075" s="4" t="s">
        <v>21</v>
      </c>
      <c r="I3075" s="4" t="s">
        <v>2432</v>
      </c>
      <c r="J3075" s="4" t="s">
        <v>2433</v>
      </c>
      <c r="K3075" s="4" t="s">
        <v>25</v>
      </c>
      <c r="L3075" s="4" t="s">
        <v>3743</v>
      </c>
      <c r="M3075" s="4" t="s">
        <v>3746</v>
      </c>
      <c r="N3075" s="4" t="s">
        <v>3747</v>
      </c>
      <c r="O3075" s="17">
        <f>INDEX('список ID из СУЭ с должностями'!$A:$F,MATCH(E3075,'список ID из СУЭ с должностями'!$B:$B,0),5)</f>
        <v>0</v>
      </c>
    </row>
    <row r="3076" spans="1:15" ht="120">
      <c r="A3076" s="3" t="s">
        <v>10</v>
      </c>
      <c r="B3076" s="3" t="s">
        <v>11</v>
      </c>
      <c r="C3076" s="4">
        <v>2026</v>
      </c>
      <c r="D3076" s="5" t="s">
        <v>12</v>
      </c>
      <c r="E3076" s="4">
        <v>420</v>
      </c>
      <c r="F3076" s="4" t="s">
        <v>2426</v>
      </c>
      <c r="G3076" s="4" t="s">
        <v>2427</v>
      </c>
      <c r="H3076" s="4" t="s">
        <v>15</v>
      </c>
      <c r="I3076" s="4" t="s">
        <v>2434</v>
      </c>
      <c r="J3076" s="4" t="s">
        <v>2435</v>
      </c>
      <c r="K3076" s="4" t="s">
        <v>66</v>
      </c>
      <c r="L3076" s="4" t="s">
        <v>3743</v>
      </c>
      <c r="M3076" s="4" t="s">
        <v>3746</v>
      </c>
      <c r="N3076" s="4" t="s">
        <v>3747</v>
      </c>
      <c r="O3076" s="17">
        <f>INDEX('список ID из СУЭ с должностями'!$A:$F,MATCH(E3076,'список ID из СУЭ с должностями'!$B:$B,0),5)</f>
        <v>0</v>
      </c>
    </row>
    <row r="3077" spans="1:15" ht="120">
      <c r="A3077" s="3" t="s">
        <v>10</v>
      </c>
      <c r="B3077" s="3" t="s">
        <v>11</v>
      </c>
      <c r="C3077" s="4">
        <v>2026</v>
      </c>
      <c r="D3077" s="5" t="s">
        <v>12</v>
      </c>
      <c r="E3077" s="4">
        <v>420</v>
      </c>
      <c r="F3077" s="4" t="s">
        <v>2426</v>
      </c>
      <c r="G3077" s="4" t="s">
        <v>2427</v>
      </c>
      <c r="H3077" s="4" t="s">
        <v>41</v>
      </c>
      <c r="I3077" s="4" t="s">
        <v>2436</v>
      </c>
      <c r="J3077" s="4" t="s">
        <v>2437</v>
      </c>
      <c r="K3077" s="4" t="s">
        <v>66</v>
      </c>
      <c r="L3077" s="4" t="s">
        <v>3743</v>
      </c>
      <c r="M3077" s="4" t="s">
        <v>3746</v>
      </c>
      <c r="N3077" s="4" t="s">
        <v>3747</v>
      </c>
      <c r="O3077" s="17">
        <f>INDEX('список ID из СУЭ с должностями'!$A:$F,MATCH(E3077,'список ID из СУЭ с должностями'!$B:$B,0),5)</f>
        <v>0</v>
      </c>
    </row>
    <row r="3078" spans="1:15" ht="195">
      <c r="A3078" s="3" t="s">
        <v>10</v>
      </c>
      <c r="B3078" s="3" t="s">
        <v>11</v>
      </c>
      <c r="C3078" s="4">
        <v>2026</v>
      </c>
      <c r="D3078" s="5" t="s">
        <v>12</v>
      </c>
      <c r="E3078" s="4">
        <v>420</v>
      </c>
      <c r="F3078" s="4" t="s">
        <v>2426</v>
      </c>
      <c r="G3078" s="4" t="s">
        <v>2427</v>
      </c>
      <c r="H3078" s="4" t="s">
        <v>41</v>
      </c>
      <c r="I3078" s="4" t="s">
        <v>147</v>
      </c>
      <c r="J3078" s="4" t="s">
        <v>2438</v>
      </c>
      <c r="K3078" s="4" t="s">
        <v>35</v>
      </c>
      <c r="L3078" s="4" t="s">
        <v>3743</v>
      </c>
      <c r="M3078" s="4" t="s">
        <v>3746</v>
      </c>
      <c r="N3078" s="4" t="s">
        <v>3747</v>
      </c>
      <c r="O3078" s="17">
        <f>INDEX('список ID из СУЭ с должностями'!$A:$F,MATCH(E3078,'список ID из СУЭ с должностями'!$B:$B,0),5)</f>
        <v>0</v>
      </c>
    </row>
    <row r="3079" spans="1:15" ht="315">
      <c r="A3079" s="3" t="s">
        <v>10</v>
      </c>
      <c r="B3079" s="3" t="s">
        <v>11</v>
      </c>
      <c r="C3079" s="4">
        <v>2026</v>
      </c>
      <c r="D3079" s="5" t="s">
        <v>12</v>
      </c>
      <c r="E3079" s="4">
        <v>420</v>
      </c>
      <c r="F3079" s="4" t="s">
        <v>2426</v>
      </c>
      <c r="G3079" s="4" t="s">
        <v>2427</v>
      </c>
      <c r="H3079" s="4" t="s">
        <v>15</v>
      </c>
      <c r="I3079" s="4" t="s">
        <v>2439</v>
      </c>
      <c r="J3079" s="4" t="s">
        <v>2440</v>
      </c>
      <c r="K3079" s="4" t="s">
        <v>66</v>
      </c>
      <c r="L3079" s="4" t="s">
        <v>3743</v>
      </c>
      <c r="M3079" s="4" t="s">
        <v>3746</v>
      </c>
      <c r="N3079" s="4" t="s">
        <v>3747</v>
      </c>
      <c r="O3079" s="17">
        <f>INDEX('список ID из СУЭ с должностями'!$A:$F,MATCH(E3079,'список ID из СУЭ с должностями'!$B:$B,0),5)</f>
        <v>0</v>
      </c>
    </row>
    <row r="3080" spans="1:15" ht="105">
      <c r="A3080" s="3" t="s">
        <v>10</v>
      </c>
      <c r="B3080" s="3" t="s">
        <v>11</v>
      </c>
      <c r="C3080" s="4">
        <v>2026</v>
      </c>
      <c r="D3080" s="5" t="s">
        <v>12</v>
      </c>
      <c r="E3080" s="4">
        <v>421</v>
      </c>
      <c r="F3080" s="4" t="s">
        <v>1377</v>
      </c>
      <c r="G3080" s="4" t="s">
        <v>143</v>
      </c>
      <c r="H3080" s="4" t="s">
        <v>15</v>
      </c>
      <c r="I3080" s="4" t="s">
        <v>144</v>
      </c>
      <c r="J3080" s="4" t="s">
        <v>145</v>
      </c>
      <c r="K3080" s="4" t="s">
        <v>52</v>
      </c>
      <c r="L3080" s="4" t="s">
        <v>3743</v>
      </c>
      <c r="M3080" s="4" t="s">
        <v>3746</v>
      </c>
      <c r="N3080" s="4" t="s">
        <v>3747</v>
      </c>
      <c r="O3080" s="17">
        <f>INDEX('список ID из СУЭ с должностями'!$A:$F,MATCH(E3080,'список ID из СУЭ с должностями'!$B:$B,0),5)</f>
        <v>0</v>
      </c>
    </row>
    <row r="3081" spans="1:15" ht="105">
      <c r="A3081" s="3" t="s">
        <v>10</v>
      </c>
      <c r="B3081" s="3" t="s">
        <v>11</v>
      </c>
      <c r="C3081" s="4">
        <v>2026</v>
      </c>
      <c r="D3081" s="5" t="s">
        <v>12</v>
      </c>
      <c r="E3081" s="4">
        <v>421</v>
      </c>
      <c r="F3081" s="4" t="s">
        <v>1377</v>
      </c>
      <c r="G3081" s="4" t="s">
        <v>143</v>
      </c>
      <c r="H3081" s="4" t="s">
        <v>15</v>
      </c>
      <c r="I3081" s="4" t="s">
        <v>147</v>
      </c>
      <c r="J3081" s="4" t="s">
        <v>2419</v>
      </c>
      <c r="K3081" s="4" t="s">
        <v>35</v>
      </c>
      <c r="L3081" s="4" t="s">
        <v>3743</v>
      </c>
      <c r="M3081" s="4" t="s">
        <v>3746</v>
      </c>
      <c r="N3081" s="4" t="s">
        <v>3747</v>
      </c>
      <c r="O3081" s="17">
        <f>INDEX('список ID из СУЭ с должностями'!$A:$F,MATCH(E3081,'список ID из СУЭ с должностями'!$B:$B,0),5)</f>
        <v>0</v>
      </c>
    </row>
    <row r="3082" spans="1:15" ht="330">
      <c r="A3082" s="3" t="s">
        <v>10</v>
      </c>
      <c r="B3082" s="3" t="s">
        <v>11</v>
      </c>
      <c r="C3082" s="4">
        <v>2026</v>
      </c>
      <c r="D3082" s="5" t="s">
        <v>12</v>
      </c>
      <c r="E3082" s="4">
        <v>421</v>
      </c>
      <c r="F3082" s="4" t="s">
        <v>1377</v>
      </c>
      <c r="G3082" s="4" t="s">
        <v>143</v>
      </c>
      <c r="H3082" s="4" t="s">
        <v>15</v>
      </c>
      <c r="I3082" s="4" t="s">
        <v>149</v>
      </c>
      <c r="J3082" s="4" t="s">
        <v>3122</v>
      </c>
      <c r="K3082" s="4" t="s">
        <v>151</v>
      </c>
      <c r="L3082" s="4" t="s">
        <v>3743</v>
      </c>
      <c r="M3082" s="4" t="s">
        <v>3746</v>
      </c>
      <c r="N3082" s="4" t="s">
        <v>3747</v>
      </c>
      <c r="O3082" s="17">
        <f>INDEX('список ID из СУЭ с должностями'!$A:$F,MATCH(E3082,'список ID из СУЭ с должностями'!$B:$B,0),5)</f>
        <v>0</v>
      </c>
    </row>
    <row r="3083" spans="1:15" ht="60">
      <c r="A3083" s="3" t="s">
        <v>10</v>
      </c>
      <c r="B3083" s="3" t="s">
        <v>11</v>
      </c>
      <c r="C3083" s="4">
        <v>2026</v>
      </c>
      <c r="D3083" s="5" t="s">
        <v>12</v>
      </c>
      <c r="E3083" s="4">
        <v>422</v>
      </c>
      <c r="F3083" s="4" t="s">
        <v>385</v>
      </c>
      <c r="G3083" s="4" t="s">
        <v>386</v>
      </c>
      <c r="H3083" s="4" t="s">
        <v>15</v>
      </c>
      <c r="I3083" s="4" t="s">
        <v>3123</v>
      </c>
      <c r="J3083" s="4" t="s">
        <v>3124</v>
      </c>
      <c r="K3083" s="4" t="s">
        <v>25</v>
      </c>
      <c r="L3083" s="4" t="s">
        <v>3743</v>
      </c>
      <c r="M3083" s="4" t="s">
        <v>3746</v>
      </c>
      <c r="N3083" s="4" t="s">
        <v>3747</v>
      </c>
      <c r="O3083" s="17">
        <f>INDEX('список ID из СУЭ с должностями'!$A:$F,MATCH(E3083,'список ID из СУЭ с должностями'!$B:$B,0),5)</f>
        <v>0</v>
      </c>
    </row>
    <row r="3084" spans="1:15" ht="45">
      <c r="A3084" s="3" t="s">
        <v>10</v>
      </c>
      <c r="B3084" s="3" t="s">
        <v>11</v>
      </c>
      <c r="C3084" s="4">
        <v>2026</v>
      </c>
      <c r="D3084" s="5" t="s">
        <v>12</v>
      </c>
      <c r="E3084" s="4">
        <v>422</v>
      </c>
      <c r="F3084" s="4" t="s">
        <v>385</v>
      </c>
      <c r="G3084" s="4" t="s">
        <v>386</v>
      </c>
      <c r="H3084" s="4" t="s">
        <v>41</v>
      </c>
      <c r="I3084" s="4" t="s">
        <v>401</v>
      </c>
      <c r="J3084" s="4" t="s">
        <v>402</v>
      </c>
      <c r="K3084" s="4" t="s">
        <v>66</v>
      </c>
      <c r="L3084" s="4" t="s">
        <v>3742</v>
      </c>
      <c r="M3084" s="4" t="s">
        <v>3746</v>
      </c>
      <c r="N3084" s="4" t="s">
        <v>3747</v>
      </c>
      <c r="O3084" s="17">
        <f>INDEX('список ID из СУЭ с должностями'!$A:$F,MATCH(E3084,'список ID из СУЭ с должностями'!$B:$B,0),5)</f>
        <v>0</v>
      </c>
    </row>
    <row r="3085" spans="1:15" ht="45">
      <c r="A3085" s="3" t="s">
        <v>10</v>
      </c>
      <c r="B3085" s="3" t="s">
        <v>11</v>
      </c>
      <c r="C3085" s="4">
        <v>2026</v>
      </c>
      <c r="D3085" s="5" t="s">
        <v>12</v>
      </c>
      <c r="E3085" s="4">
        <v>422</v>
      </c>
      <c r="F3085" s="4" t="s">
        <v>385</v>
      </c>
      <c r="G3085" s="4" t="s">
        <v>386</v>
      </c>
      <c r="H3085" s="4" t="s">
        <v>15</v>
      </c>
      <c r="I3085" s="4" t="s">
        <v>2518</v>
      </c>
      <c r="J3085" s="4" t="s">
        <v>388</v>
      </c>
      <c r="K3085" s="4" t="s">
        <v>66</v>
      </c>
      <c r="L3085" s="4" t="s">
        <v>3742</v>
      </c>
      <c r="M3085" s="4" t="s">
        <v>3746</v>
      </c>
      <c r="N3085" s="4" t="s">
        <v>3747</v>
      </c>
      <c r="O3085" s="17">
        <f>INDEX('список ID из СУЭ с должностями'!$A:$F,MATCH(E3085,'список ID из СУЭ с должностями'!$B:$B,0),5)</f>
        <v>0</v>
      </c>
    </row>
    <row r="3086" spans="1:15" ht="45">
      <c r="A3086" s="3" t="s">
        <v>10</v>
      </c>
      <c r="B3086" s="3" t="s">
        <v>11</v>
      </c>
      <c r="C3086" s="4">
        <v>2026</v>
      </c>
      <c r="D3086" s="5" t="s">
        <v>12</v>
      </c>
      <c r="E3086" s="4">
        <v>422</v>
      </c>
      <c r="F3086" s="4" t="s">
        <v>385</v>
      </c>
      <c r="G3086" s="4" t="s">
        <v>386</v>
      </c>
      <c r="H3086" s="4" t="s">
        <v>15</v>
      </c>
      <c r="I3086" s="4" t="s">
        <v>956</v>
      </c>
      <c r="J3086" s="4" t="s">
        <v>2519</v>
      </c>
      <c r="K3086" s="4" t="s">
        <v>35</v>
      </c>
      <c r="L3086" s="4" t="s">
        <v>3742</v>
      </c>
      <c r="M3086" s="4" t="s">
        <v>3746</v>
      </c>
      <c r="N3086" s="4" t="s">
        <v>3747</v>
      </c>
      <c r="O3086" s="17">
        <f>INDEX('список ID из СУЭ с должностями'!$A:$F,MATCH(E3086,'список ID из СУЭ с должностями'!$B:$B,0),5)</f>
        <v>0</v>
      </c>
    </row>
    <row r="3087" spans="1:15" ht="60">
      <c r="A3087" s="3" t="s">
        <v>10</v>
      </c>
      <c r="B3087" s="3" t="s">
        <v>11</v>
      </c>
      <c r="C3087" s="4">
        <v>2026</v>
      </c>
      <c r="D3087" s="5" t="s">
        <v>12</v>
      </c>
      <c r="E3087" s="4">
        <v>422</v>
      </c>
      <c r="F3087" s="4" t="s">
        <v>385</v>
      </c>
      <c r="G3087" s="4" t="s">
        <v>386</v>
      </c>
      <c r="H3087" s="4" t="s">
        <v>21</v>
      </c>
      <c r="I3087" s="4" t="s">
        <v>1561</v>
      </c>
      <c r="J3087" s="4" t="s">
        <v>394</v>
      </c>
      <c r="K3087" s="4" t="s">
        <v>151</v>
      </c>
      <c r="L3087" s="4" t="s">
        <v>3742</v>
      </c>
      <c r="M3087" s="4" t="s">
        <v>3746</v>
      </c>
      <c r="N3087" s="4" t="s">
        <v>3747</v>
      </c>
      <c r="O3087" s="17">
        <f>INDEX('список ID из СУЭ с должностями'!$A:$F,MATCH(E3087,'список ID из СУЭ с должностями'!$B:$B,0),5)</f>
        <v>0</v>
      </c>
    </row>
    <row r="3088" spans="1:15" ht="45">
      <c r="A3088" s="3" t="s">
        <v>10</v>
      </c>
      <c r="B3088" s="3" t="s">
        <v>11</v>
      </c>
      <c r="C3088" s="4">
        <v>2026</v>
      </c>
      <c r="D3088" s="5" t="s">
        <v>12</v>
      </c>
      <c r="E3088" s="4">
        <v>422</v>
      </c>
      <c r="F3088" s="4" t="s">
        <v>385</v>
      </c>
      <c r="G3088" s="4" t="s">
        <v>386</v>
      </c>
      <c r="H3088" s="4" t="s">
        <v>15</v>
      </c>
      <c r="I3088" s="4" t="s">
        <v>395</v>
      </c>
      <c r="J3088" s="4" t="s">
        <v>565</v>
      </c>
      <c r="K3088" s="4" t="s">
        <v>23</v>
      </c>
      <c r="L3088" s="4" t="s">
        <v>3742</v>
      </c>
      <c r="M3088" s="4" t="s">
        <v>3748</v>
      </c>
      <c r="N3088" s="4" t="s">
        <v>3752</v>
      </c>
      <c r="O3088" s="17">
        <f>INDEX('список ID из СУЭ с должностями'!$A:$F,MATCH(E3088,'список ID из СУЭ с должностями'!$B:$B,0),5)</f>
        <v>0</v>
      </c>
    </row>
    <row r="3089" spans="1:15" ht="45">
      <c r="A3089" s="3" t="s">
        <v>10</v>
      </c>
      <c r="B3089" s="3" t="s">
        <v>11</v>
      </c>
      <c r="C3089" s="4">
        <v>2026</v>
      </c>
      <c r="D3089" s="5" t="s">
        <v>12</v>
      </c>
      <c r="E3089" s="4">
        <v>422</v>
      </c>
      <c r="F3089" s="4" t="s">
        <v>385</v>
      </c>
      <c r="G3089" s="4" t="s">
        <v>386</v>
      </c>
      <c r="H3089" s="4" t="s">
        <v>21</v>
      </c>
      <c r="I3089" s="4" t="s">
        <v>2520</v>
      </c>
      <c r="J3089" s="4" t="s">
        <v>132</v>
      </c>
      <c r="K3089" s="4" t="s">
        <v>66</v>
      </c>
      <c r="L3089" s="4" t="s">
        <v>3742</v>
      </c>
      <c r="M3089" s="4" t="s">
        <v>3746</v>
      </c>
      <c r="N3089" s="4" t="s">
        <v>3747</v>
      </c>
      <c r="O3089" s="17">
        <f>INDEX('список ID из СУЭ с должностями'!$A:$F,MATCH(E3089,'список ID из СУЭ с должностями'!$B:$B,0),5)</f>
        <v>0</v>
      </c>
    </row>
    <row r="3090" spans="1:15" ht="45">
      <c r="A3090" s="3" t="s">
        <v>10</v>
      </c>
      <c r="B3090" s="3" t="s">
        <v>11</v>
      </c>
      <c r="C3090" s="4">
        <v>2026</v>
      </c>
      <c r="D3090" s="5" t="s">
        <v>12</v>
      </c>
      <c r="E3090" s="4">
        <v>422</v>
      </c>
      <c r="F3090" s="4" t="s">
        <v>385</v>
      </c>
      <c r="G3090" s="4" t="s">
        <v>386</v>
      </c>
      <c r="H3090" s="4" t="s">
        <v>15</v>
      </c>
      <c r="I3090" s="4" t="s">
        <v>3125</v>
      </c>
      <c r="J3090" s="4" t="s">
        <v>182</v>
      </c>
      <c r="K3090" s="4" t="s">
        <v>23</v>
      </c>
      <c r="L3090" s="4" t="s">
        <v>3742</v>
      </c>
      <c r="M3090" s="4" t="s">
        <v>3748</v>
      </c>
      <c r="N3090" s="4" t="s">
        <v>3749</v>
      </c>
      <c r="O3090" s="17">
        <f>INDEX('список ID из СУЭ с должностями'!$A:$F,MATCH(E3090,'список ID из СУЭ с должностями'!$B:$B,0),5)</f>
        <v>0</v>
      </c>
    </row>
    <row r="3091" spans="1:15" ht="45">
      <c r="A3091" s="3" t="s">
        <v>10</v>
      </c>
      <c r="B3091" s="3" t="s">
        <v>11</v>
      </c>
      <c r="C3091" s="4">
        <v>2026</v>
      </c>
      <c r="D3091" s="5" t="s">
        <v>12</v>
      </c>
      <c r="E3091" s="4">
        <v>422</v>
      </c>
      <c r="F3091" s="4" t="s">
        <v>385</v>
      </c>
      <c r="G3091" s="4" t="s">
        <v>386</v>
      </c>
      <c r="H3091" s="4" t="s">
        <v>21</v>
      </c>
      <c r="I3091" s="4" t="s">
        <v>3126</v>
      </c>
      <c r="J3091" s="4" t="s">
        <v>182</v>
      </c>
      <c r="K3091" s="4" t="s">
        <v>66</v>
      </c>
      <c r="L3091" s="4" t="s">
        <v>3742</v>
      </c>
      <c r="M3091" s="4" t="s">
        <v>3746</v>
      </c>
      <c r="N3091" s="4" t="s">
        <v>3747</v>
      </c>
      <c r="O3091" s="17">
        <f>INDEX('список ID из СУЭ с должностями'!$A:$F,MATCH(E3091,'список ID из СУЭ с должностями'!$B:$B,0),5)</f>
        <v>0</v>
      </c>
    </row>
    <row r="3092" spans="1:15" ht="135">
      <c r="A3092" s="3" t="s">
        <v>10</v>
      </c>
      <c r="B3092" s="3" t="s">
        <v>11</v>
      </c>
      <c r="C3092" s="4">
        <v>2026</v>
      </c>
      <c r="D3092" s="5" t="s">
        <v>12</v>
      </c>
      <c r="E3092" s="4">
        <v>423</v>
      </c>
      <c r="F3092" s="4" t="s">
        <v>2472</v>
      </c>
      <c r="G3092" s="4" t="s">
        <v>2429</v>
      </c>
      <c r="H3092" s="4" t="s">
        <v>21</v>
      </c>
      <c r="I3092" s="4" t="s">
        <v>2432</v>
      </c>
      <c r="J3092" s="4" t="s">
        <v>2433</v>
      </c>
      <c r="K3092" s="4" t="s">
        <v>25</v>
      </c>
      <c r="L3092" s="4" t="s">
        <v>3743</v>
      </c>
      <c r="M3092" s="4" t="s">
        <v>3746</v>
      </c>
      <c r="N3092" s="4" t="s">
        <v>3747</v>
      </c>
      <c r="O3092" s="17">
        <f>INDEX('список ID из СУЭ с должностями'!$A:$F,MATCH(E3092,'список ID из СУЭ с должностями'!$B:$B,0),5)</f>
        <v>0</v>
      </c>
    </row>
    <row r="3093" spans="1:15" ht="165">
      <c r="A3093" s="3" t="s">
        <v>10</v>
      </c>
      <c r="B3093" s="3" t="s">
        <v>11</v>
      </c>
      <c r="C3093" s="4">
        <v>2026</v>
      </c>
      <c r="D3093" s="5" t="s">
        <v>12</v>
      </c>
      <c r="E3093" s="4">
        <v>423</v>
      </c>
      <c r="F3093" s="4" t="s">
        <v>2472</v>
      </c>
      <c r="G3093" s="4" t="s">
        <v>2429</v>
      </c>
      <c r="H3093" s="4" t="s">
        <v>15</v>
      </c>
      <c r="I3093" s="4" t="s">
        <v>147</v>
      </c>
      <c r="J3093" s="4" t="s">
        <v>3127</v>
      </c>
      <c r="K3093" s="4" t="s">
        <v>35</v>
      </c>
      <c r="L3093" s="4" t="s">
        <v>3743</v>
      </c>
      <c r="M3093" s="4" t="s">
        <v>3746</v>
      </c>
      <c r="N3093" s="4" t="s">
        <v>3747</v>
      </c>
      <c r="O3093" s="17">
        <f>INDEX('список ID из СУЭ с должностями'!$A:$F,MATCH(E3093,'список ID из СУЭ с должностями'!$B:$B,0),5)</f>
        <v>0</v>
      </c>
    </row>
    <row r="3094" spans="1:15" ht="165">
      <c r="A3094" s="3" t="s">
        <v>10</v>
      </c>
      <c r="B3094" s="3" t="s">
        <v>11</v>
      </c>
      <c r="C3094" s="4">
        <v>2026</v>
      </c>
      <c r="D3094" s="5" t="s">
        <v>12</v>
      </c>
      <c r="E3094" s="4">
        <v>423</v>
      </c>
      <c r="F3094" s="4" t="s">
        <v>2472</v>
      </c>
      <c r="G3094" s="4" t="s">
        <v>2429</v>
      </c>
      <c r="H3094" s="4" t="s">
        <v>41</v>
      </c>
      <c r="I3094" s="4" t="s">
        <v>2473</v>
      </c>
      <c r="J3094" s="4" t="s">
        <v>2474</v>
      </c>
      <c r="K3094" s="4" t="s">
        <v>20</v>
      </c>
      <c r="L3094" s="4" t="s">
        <v>3743</v>
      </c>
      <c r="M3094" s="4" t="s">
        <v>3746</v>
      </c>
      <c r="N3094" s="4" t="s">
        <v>3747</v>
      </c>
      <c r="O3094" s="17">
        <f>INDEX('список ID из СУЭ с должностями'!$A:$F,MATCH(E3094,'список ID из СУЭ с должностями'!$B:$B,0),5)</f>
        <v>0</v>
      </c>
    </row>
    <row r="3095" spans="1:15" ht="135">
      <c r="A3095" s="3" t="s">
        <v>10</v>
      </c>
      <c r="B3095" s="3" t="s">
        <v>11</v>
      </c>
      <c r="C3095" s="4">
        <v>2026</v>
      </c>
      <c r="D3095" s="5" t="s">
        <v>12</v>
      </c>
      <c r="E3095" s="4">
        <v>423</v>
      </c>
      <c r="F3095" s="4" t="s">
        <v>2472</v>
      </c>
      <c r="G3095" s="4" t="s">
        <v>2429</v>
      </c>
      <c r="H3095" s="4" t="s">
        <v>15</v>
      </c>
      <c r="I3095" s="4" t="s">
        <v>358</v>
      </c>
      <c r="J3095" s="4" t="s">
        <v>2475</v>
      </c>
      <c r="K3095" s="4" t="s">
        <v>151</v>
      </c>
      <c r="L3095" s="4" t="s">
        <v>3743</v>
      </c>
      <c r="M3095" s="4" t="s">
        <v>3746</v>
      </c>
      <c r="N3095" s="4" t="s">
        <v>3747</v>
      </c>
      <c r="O3095" s="17">
        <f>INDEX('список ID из СУЭ с должностями'!$A:$F,MATCH(E3095,'список ID из СУЭ с должностями'!$B:$B,0),5)</f>
        <v>0</v>
      </c>
    </row>
    <row r="3096" spans="1:15" ht="135">
      <c r="A3096" s="3" t="s">
        <v>10</v>
      </c>
      <c r="B3096" s="3" t="s">
        <v>11</v>
      </c>
      <c r="C3096" s="4">
        <v>2026</v>
      </c>
      <c r="D3096" s="5" t="s">
        <v>12</v>
      </c>
      <c r="E3096" s="4">
        <v>423</v>
      </c>
      <c r="F3096" s="4" t="s">
        <v>2472</v>
      </c>
      <c r="G3096" s="4" t="s">
        <v>2429</v>
      </c>
      <c r="H3096" s="4" t="s">
        <v>15</v>
      </c>
      <c r="I3096" s="4" t="s">
        <v>149</v>
      </c>
      <c r="J3096" s="4" t="s">
        <v>3128</v>
      </c>
      <c r="K3096" s="4" t="s">
        <v>151</v>
      </c>
      <c r="L3096" s="4" t="s">
        <v>3743</v>
      </c>
      <c r="M3096" s="4" t="s">
        <v>3746</v>
      </c>
      <c r="N3096" s="4" t="s">
        <v>3747</v>
      </c>
      <c r="O3096" s="17">
        <f>INDEX('список ID из СУЭ с должностями'!$A:$F,MATCH(E3096,'список ID из СУЭ с должностями'!$B:$B,0),5)</f>
        <v>0</v>
      </c>
    </row>
    <row r="3097" spans="1:15" ht="135">
      <c r="A3097" s="3" t="s">
        <v>10</v>
      </c>
      <c r="B3097" s="3" t="s">
        <v>11</v>
      </c>
      <c r="C3097" s="4">
        <v>2026</v>
      </c>
      <c r="D3097" s="5" t="s">
        <v>12</v>
      </c>
      <c r="E3097" s="4">
        <v>423</v>
      </c>
      <c r="F3097" s="4" t="s">
        <v>2472</v>
      </c>
      <c r="G3097" s="4" t="s">
        <v>2429</v>
      </c>
      <c r="H3097" s="4" t="s">
        <v>15</v>
      </c>
      <c r="I3097" s="4" t="s">
        <v>460</v>
      </c>
      <c r="J3097" s="4" t="s">
        <v>3129</v>
      </c>
      <c r="K3097" s="4" t="s">
        <v>38</v>
      </c>
      <c r="L3097" s="4" t="s">
        <v>3743</v>
      </c>
      <c r="M3097" s="4" t="s">
        <v>3746</v>
      </c>
      <c r="N3097" s="4" t="s">
        <v>3747</v>
      </c>
      <c r="O3097" s="17">
        <f>INDEX('список ID из СУЭ с должностями'!$A:$F,MATCH(E3097,'список ID из СУЭ с должностями'!$B:$B,0),5)</f>
        <v>0</v>
      </c>
    </row>
    <row r="3098" spans="1:15" ht="195">
      <c r="A3098" s="3" t="s">
        <v>10</v>
      </c>
      <c r="B3098" s="3" t="s">
        <v>11</v>
      </c>
      <c r="C3098" s="4">
        <v>2026</v>
      </c>
      <c r="D3098" s="5" t="s">
        <v>12</v>
      </c>
      <c r="E3098" s="4">
        <v>423</v>
      </c>
      <c r="F3098" s="4" t="s">
        <v>2472</v>
      </c>
      <c r="G3098" s="4" t="s">
        <v>2429</v>
      </c>
      <c r="H3098" s="4" t="s">
        <v>15</v>
      </c>
      <c r="I3098" s="4" t="s">
        <v>303</v>
      </c>
      <c r="J3098" s="4" t="s">
        <v>3130</v>
      </c>
      <c r="K3098" s="4" t="s">
        <v>151</v>
      </c>
      <c r="L3098" s="4" t="s">
        <v>3743</v>
      </c>
      <c r="M3098" s="4" t="s">
        <v>3746</v>
      </c>
      <c r="N3098" s="4" t="s">
        <v>3747</v>
      </c>
      <c r="O3098" s="17">
        <f>INDEX('список ID из СУЭ с должностями'!$A:$F,MATCH(E3098,'список ID из СУЭ с должностями'!$B:$B,0),5)</f>
        <v>0</v>
      </c>
    </row>
    <row r="3099" spans="1:15" ht="90">
      <c r="A3099" s="3" t="s">
        <v>10</v>
      </c>
      <c r="B3099" s="3" t="s">
        <v>11</v>
      </c>
      <c r="C3099" s="4">
        <v>2026</v>
      </c>
      <c r="D3099" s="5" t="s">
        <v>12</v>
      </c>
      <c r="E3099" s="4">
        <v>424</v>
      </c>
      <c r="F3099" s="4" t="s">
        <v>88</v>
      </c>
      <c r="G3099" s="4" t="s">
        <v>1347</v>
      </c>
      <c r="H3099" s="4" t="s">
        <v>15</v>
      </c>
      <c r="I3099" s="4" t="s">
        <v>36</v>
      </c>
      <c r="J3099" s="4" t="s">
        <v>3131</v>
      </c>
      <c r="K3099" s="4" t="s">
        <v>38</v>
      </c>
      <c r="L3099" s="4" t="s">
        <v>3743</v>
      </c>
      <c r="M3099" s="4" t="s">
        <v>3746</v>
      </c>
      <c r="N3099" s="4" t="s">
        <v>3747</v>
      </c>
      <c r="O3099" s="17">
        <f>INDEX('список ID из СУЭ с должностями'!$A:$F,MATCH(E3099,'список ID из СУЭ с должностями'!$B:$B,0),5)</f>
        <v>0</v>
      </c>
    </row>
    <row r="3100" spans="1:15" ht="409.5">
      <c r="A3100" s="3" t="s">
        <v>10</v>
      </c>
      <c r="B3100" s="3" t="s">
        <v>11</v>
      </c>
      <c r="C3100" s="4">
        <v>2026</v>
      </c>
      <c r="D3100" s="5" t="s">
        <v>12</v>
      </c>
      <c r="E3100" s="4">
        <v>424</v>
      </c>
      <c r="F3100" s="4" t="s">
        <v>88</v>
      </c>
      <c r="G3100" s="4" t="s">
        <v>1347</v>
      </c>
      <c r="H3100" s="4" t="s">
        <v>15</v>
      </c>
      <c r="I3100" s="4" t="s">
        <v>2955</v>
      </c>
      <c r="J3100" s="4" t="s">
        <v>3132</v>
      </c>
      <c r="K3100" s="4" t="s">
        <v>35</v>
      </c>
      <c r="L3100" s="4" t="s">
        <v>3743</v>
      </c>
      <c r="M3100" s="4" t="s">
        <v>3746</v>
      </c>
      <c r="N3100" s="4" t="s">
        <v>3747</v>
      </c>
      <c r="O3100" s="17">
        <f>INDEX('список ID из СУЭ с должностями'!$A:$F,MATCH(E3100,'список ID из СУЭ с должностями'!$B:$B,0),5)</f>
        <v>0</v>
      </c>
    </row>
    <row r="3101" spans="1:15" ht="165">
      <c r="A3101" s="3" t="s">
        <v>10</v>
      </c>
      <c r="B3101" s="3" t="s">
        <v>11</v>
      </c>
      <c r="C3101" s="4">
        <v>2026</v>
      </c>
      <c r="D3101" s="5" t="s">
        <v>12</v>
      </c>
      <c r="E3101" s="4">
        <v>424</v>
      </c>
      <c r="F3101" s="4" t="s">
        <v>88</v>
      </c>
      <c r="G3101" s="4" t="s">
        <v>1347</v>
      </c>
      <c r="H3101" s="4" t="s">
        <v>41</v>
      </c>
      <c r="I3101" s="4" t="s">
        <v>3133</v>
      </c>
      <c r="J3101" s="4" t="s">
        <v>3134</v>
      </c>
      <c r="K3101" s="4" t="s">
        <v>23</v>
      </c>
      <c r="L3101" s="4" t="s">
        <v>3743</v>
      </c>
      <c r="M3101" s="4" t="s">
        <v>3748</v>
      </c>
      <c r="N3101" s="4" t="s">
        <v>3752</v>
      </c>
      <c r="O3101" s="17">
        <f>INDEX('список ID из СУЭ с должностями'!$A:$F,MATCH(E3101,'список ID из СУЭ с должностями'!$B:$B,0),5)</f>
        <v>0</v>
      </c>
    </row>
    <row r="3102" spans="1:15" ht="225">
      <c r="A3102" s="3" t="s">
        <v>10</v>
      </c>
      <c r="B3102" s="3" t="s">
        <v>11</v>
      </c>
      <c r="C3102" s="4">
        <v>2026</v>
      </c>
      <c r="D3102" s="5" t="s">
        <v>12</v>
      </c>
      <c r="E3102" s="4">
        <v>424</v>
      </c>
      <c r="F3102" s="4" t="s">
        <v>88</v>
      </c>
      <c r="G3102" s="4" t="s">
        <v>1347</v>
      </c>
      <c r="H3102" s="4" t="s">
        <v>15</v>
      </c>
      <c r="I3102" s="4" t="s">
        <v>3069</v>
      </c>
      <c r="J3102" s="4" t="s">
        <v>3135</v>
      </c>
      <c r="K3102" s="4" t="s">
        <v>30</v>
      </c>
      <c r="L3102" s="4" t="s">
        <v>3743</v>
      </c>
      <c r="M3102" s="4" t="s">
        <v>3746</v>
      </c>
      <c r="N3102" s="4" t="s">
        <v>3747</v>
      </c>
      <c r="O3102" s="17">
        <f>INDEX('список ID из СУЭ с должностями'!$A:$F,MATCH(E3102,'список ID из СУЭ с должностями'!$B:$B,0),5)</f>
        <v>0</v>
      </c>
    </row>
    <row r="3103" spans="1:15" ht="75">
      <c r="A3103" s="3" t="s">
        <v>10</v>
      </c>
      <c r="B3103" s="3" t="s">
        <v>11</v>
      </c>
      <c r="C3103" s="4">
        <v>2026</v>
      </c>
      <c r="D3103" s="5" t="s">
        <v>12</v>
      </c>
      <c r="E3103" s="4">
        <v>424</v>
      </c>
      <c r="F3103" s="4" t="s">
        <v>88</v>
      </c>
      <c r="G3103" s="4" t="s">
        <v>1347</v>
      </c>
      <c r="H3103" s="4" t="s">
        <v>15</v>
      </c>
      <c r="I3103" s="4" t="s">
        <v>2783</v>
      </c>
      <c r="J3103" s="4" t="s">
        <v>182</v>
      </c>
      <c r="K3103" s="4" t="s">
        <v>52</v>
      </c>
      <c r="L3103" s="4" t="s">
        <v>3742</v>
      </c>
      <c r="M3103" s="4" t="s">
        <v>3746</v>
      </c>
      <c r="N3103" s="4" t="s">
        <v>3747</v>
      </c>
      <c r="O3103" s="17">
        <f>INDEX('список ID из СУЭ с должностями'!$A:$F,MATCH(E3103,'список ID из СУЭ с должностями'!$B:$B,0),5)</f>
        <v>0</v>
      </c>
    </row>
    <row r="3104" spans="1:15" ht="345">
      <c r="A3104" s="3" t="s">
        <v>10</v>
      </c>
      <c r="B3104" s="3" t="s">
        <v>11</v>
      </c>
      <c r="C3104" s="4">
        <v>2026</v>
      </c>
      <c r="D3104" s="5" t="s">
        <v>12</v>
      </c>
      <c r="E3104" s="4">
        <v>424</v>
      </c>
      <c r="F3104" s="4" t="s">
        <v>88</v>
      </c>
      <c r="G3104" s="4" t="s">
        <v>1347</v>
      </c>
      <c r="H3104" s="4" t="s">
        <v>15</v>
      </c>
      <c r="I3104" s="4" t="s">
        <v>1368</v>
      </c>
      <c r="J3104" s="4" t="s">
        <v>2957</v>
      </c>
      <c r="K3104" s="4" t="s">
        <v>35</v>
      </c>
      <c r="L3104" s="4" t="s">
        <v>3743</v>
      </c>
      <c r="M3104" s="4" t="s">
        <v>3746</v>
      </c>
      <c r="N3104" s="4" t="s">
        <v>3747</v>
      </c>
      <c r="O3104" s="17">
        <f>INDEX('список ID из СУЭ с должностями'!$A:$F,MATCH(E3104,'список ID из СУЭ с должностями'!$B:$B,0),5)</f>
        <v>0</v>
      </c>
    </row>
    <row r="3105" spans="1:15" ht="75">
      <c r="A3105" s="3" t="s">
        <v>10</v>
      </c>
      <c r="B3105" s="3" t="s">
        <v>11</v>
      </c>
      <c r="C3105" s="4">
        <v>2026</v>
      </c>
      <c r="D3105" s="5" t="s">
        <v>12</v>
      </c>
      <c r="E3105" s="4">
        <v>424</v>
      </c>
      <c r="F3105" s="4" t="s">
        <v>88</v>
      </c>
      <c r="G3105" s="4" t="s">
        <v>1347</v>
      </c>
      <c r="H3105" s="4" t="s">
        <v>15</v>
      </c>
      <c r="I3105" s="4" t="s">
        <v>2958</v>
      </c>
      <c r="J3105" s="4" t="s">
        <v>378</v>
      </c>
      <c r="K3105" s="4" t="s">
        <v>30</v>
      </c>
      <c r="L3105" s="4" t="s">
        <v>3742</v>
      </c>
      <c r="M3105" s="4" t="s">
        <v>3746</v>
      </c>
      <c r="N3105" s="4" t="s">
        <v>3747</v>
      </c>
      <c r="O3105" s="17">
        <f>INDEX('список ID из СУЭ с должностями'!$A:$F,MATCH(E3105,'список ID из СУЭ с должностями'!$B:$B,0),5)</f>
        <v>0</v>
      </c>
    </row>
    <row r="3106" spans="1:15" ht="135">
      <c r="A3106" s="3" t="s">
        <v>10</v>
      </c>
      <c r="B3106" s="3" t="s">
        <v>11</v>
      </c>
      <c r="C3106" s="4">
        <v>2026</v>
      </c>
      <c r="D3106" s="5" t="s">
        <v>12</v>
      </c>
      <c r="E3106" s="4">
        <v>424</v>
      </c>
      <c r="F3106" s="4" t="s">
        <v>88</v>
      </c>
      <c r="G3106" s="4" t="s">
        <v>1347</v>
      </c>
      <c r="H3106" s="4" t="s">
        <v>15</v>
      </c>
      <c r="I3106" s="4" t="s">
        <v>2952</v>
      </c>
      <c r="J3106" s="4" t="s">
        <v>2959</v>
      </c>
      <c r="K3106" s="4" t="s">
        <v>30</v>
      </c>
      <c r="L3106" s="4" t="s">
        <v>3743</v>
      </c>
      <c r="M3106" s="4" t="s">
        <v>3746</v>
      </c>
      <c r="N3106" s="4" t="s">
        <v>3747</v>
      </c>
      <c r="O3106" s="17">
        <f>INDEX('список ID из СУЭ с должностями'!$A:$F,MATCH(E3106,'список ID из СУЭ с должностями'!$B:$B,0),5)</f>
        <v>0</v>
      </c>
    </row>
    <row r="3107" spans="1:15" ht="75">
      <c r="A3107" s="3" t="s">
        <v>10</v>
      </c>
      <c r="B3107" s="3" t="s">
        <v>11</v>
      </c>
      <c r="C3107" s="4">
        <v>2026</v>
      </c>
      <c r="D3107" s="5" t="s">
        <v>12</v>
      </c>
      <c r="E3107" s="4">
        <v>424</v>
      </c>
      <c r="F3107" s="4" t="s">
        <v>88</v>
      </c>
      <c r="G3107" s="4" t="s">
        <v>1347</v>
      </c>
      <c r="H3107" s="4" t="s">
        <v>15</v>
      </c>
      <c r="I3107" s="4" t="s">
        <v>26</v>
      </c>
      <c r="J3107" s="4" t="s">
        <v>27</v>
      </c>
      <c r="K3107" s="4" t="s">
        <v>25</v>
      </c>
      <c r="L3107" s="4" t="s">
        <v>3743</v>
      </c>
      <c r="M3107" s="4" t="s">
        <v>3746</v>
      </c>
      <c r="N3107" s="4" t="s">
        <v>3747</v>
      </c>
      <c r="O3107" s="17">
        <f>INDEX('список ID из СУЭ с должностями'!$A:$F,MATCH(E3107,'список ID из СУЭ с должностями'!$B:$B,0),5)</f>
        <v>0</v>
      </c>
    </row>
    <row r="3108" spans="1:15" ht="45">
      <c r="A3108" s="3" t="s">
        <v>10</v>
      </c>
      <c r="B3108" s="3" t="s">
        <v>11</v>
      </c>
      <c r="C3108" s="4">
        <v>2026</v>
      </c>
      <c r="D3108" s="5" t="s">
        <v>12</v>
      </c>
      <c r="E3108" s="4">
        <v>425</v>
      </c>
      <c r="F3108" s="4" t="s">
        <v>39</v>
      </c>
      <c r="G3108" s="4" t="s">
        <v>651</v>
      </c>
      <c r="H3108" s="4" t="s">
        <v>15</v>
      </c>
      <c r="I3108" s="4" t="s">
        <v>1280</v>
      </c>
      <c r="J3108" s="4" t="s">
        <v>200</v>
      </c>
      <c r="K3108" s="4" t="s">
        <v>66</v>
      </c>
      <c r="L3108" s="4" t="s">
        <v>3742</v>
      </c>
      <c r="M3108" s="4" t="s">
        <v>3746</v>
      </c>
      <c r="N3108" s="4" t="s">
        <v>3747</v>
      </c>
      <c r="O3108" s="17" t="str">
        <f>INDEX('список ID из СУЭ с должностями'!$A:$F,MATCH(E3108,'список ID из СУЭ с должностями'!$B:$B,0),5)</f>
        <v>НС</v>
      </c>
    </row>
    <row r="3109" spans="1:15" ht="60">
      <c r="A3109" s="3" t="s">
        <v>10</v>
      </c>
      <c r="B3109" s="3" t="s">
        <v>11</v>
      </c>
      <c r="C3109" s="4">
        <v>2026</v>
      </c>
      <c r="D3109" s="5" t="s">
        <v>12</v>
      </c>
      <c r="E3109" s="4">
        <v>425</v>
      </c>
      <c r="F3109" s="4" t="s">
        <v>39</v>
      </c>
      <c r="G3109" s="4" t="s">
        <v>651</v>
      </c>
      <c r="H3109" s="4" t="s">
        <v>15</v>
      </c>
      <c r="I3109" s="4" t="s">
        <v>62</v>
      </c>
      <c r="J3109" s="4" t="s">
        <v>3136</v>
      </c>
      <c r="K3109" s="4" t="s">
        <v>151</v>
      </c>
      <c r="L3109" s="4" t="s">
        <v>3743</v>
      </c>
      <c r="M3109" s="4" t="s">
        <v>3746</v>
      </c>
      <c r="N3109" s="4" t="s">
        <v>3747</v>
      </c>
      <c r="O3109" s="17" t="str">
        <f>INDEX('список ID из СУЭ с должностями'!$A:$F,MATCH(E3109,'список ID из СУЭ с должностями'!$B:$B,0),5)</f>
        <v>НС</v>
      </c>
    </row>
    <row r="3110" spans="1:15" ht="60">
      <c r="A3110" s="3" t="s">
        <v>10</v>
      </c>
      <c r="B3110" s="3" t="s">
        <v>11</v>
      </c>
      <c r="C3110" s="4">
        <v>2026</v>
      </c>
      <c r="D3110" s="5" t="s">
        <v>12</v>
      </c>
      <c r="E3110" s="4">
        <v>425</v>
      </c>
      <c r="F3110" s="4" t="s">
        <v>39</v>
      </c>
      <c r="G3110" s="4" t="s">
        <v>651</v>
      </c>
      <c r="H3110" s="4" t="s">
        <v>15</v>
      </c>
      <c r="I3110" s="4" t="s">
        <v>56</v>
      </c>
      <c r="J3110" s="4" t="s">
        <v>3137</v>
      </c>
      <c r="K3110" s="4" t="s">
        <v>151</v>
      </c>
      <c r="L3110" s="4" t="s">
        <v>3743</v>
      </c>
      <c r="M3110" s="4" t="s">
        <v>3746</v>
      </c>
      <c r="N3110" s="4" t="s">
        <v>3747</v>
      </c>
      <c r="O3110" s="17" t="str">
        <f>INDEX('список ID из СУЭ с должностями'!$A:$F,MATCH(E3110,'список ID из СУЭ с должностями'!$B:$B,0),5)</f>
        <v>НС</v>
      </c>
    </row>
    <row r="3111" spans="1:15" ht="45">
      <c r="A3111" s="3" t="s">
        <v>10</v>
      </c>
      <c r="B3111" s="3" t="s">
        <v>11</v>
      </c>
      <c r="C3111" s="4">
        <v>2026</v>
      </c>
      <c r="D3111" s="5" t="s">
        <v>12</v>
      </c>
      <c r="E3111" s="4">
        <v>425</v>
      </c>
      <c r="F3111" s="4" t="s">
        <v>39</v>
      </c>
      <c r="G3111" s="4" t="s">
        <v>651</v>
      </c>
      <c r="H3111" s="4" t="s">
        <v>15</v>
      </c>
      <c r="I3111" s="4" t="s">
        <v>48</v>
      </c>
      <c r="J3111" s="4" t="s">
        <v>187</v>
      </c>
      <c r="K3111" s="4" t="s">
        <v>35</v>
      </c>
      <c r="L3111" s="4" t="s">
        <v>3743</v>
      </c>
      <c r="M3111" s="4" t="s">
        <v>3746</v>
      </c>
      <c r="N3111" s="4" t="s">
        <v>3747</v>
      </c>
      <c r="O3111" s="17" t="str">
        <f>INDEX('список ID из СУЭ с должностями'!$A:$F,MATCH(E3111,'список ID из СУЭ с должностями'!$B:$B,0),5)</f>
        <v>НС</v>
      </c>
    </row>
    <row r="3112" spans="1:15" ht="165">
      <c r="A3112" s="3" t="s">
        <v>10</v>
      </c>
      <c r="B3112" s="3" t="s">
        <v>11</v>
      </c>
      <c r="C3112" s="4">
        <v>2026</v>
      </c>
      <c r="D3112" s="5" t="s">
        <v>12</v>
      </c>
      <c r="E3112" s="4">
        <v>425</v>
      </c>
      <c r="F3112" s="4" t="s">
        <v>39</v>
      </c>
      <c r="G3112" s="4" t="s">
        <v>651</v>
      </c>
      <c r="H3112" s="4" t="s">
        <v>15</v>
      </c>
      <c r="I3112" s="4" t="s">
        <v>189</v>
      </c>
      <c r="J3112" s="4" t="s">
        <v>2960</v>
      </c>
      <c r="K3112" s="4" t="s">
        <v>151</v>
      </c>
      <c r="L3112" s="4" t="s">
        <v>3743</v>
      </c>
      <c r="M3112" s="4" t="s">
        <v>3746</v>
      </c>
      <c r="N3112" s="4" t="s">
        <v>3747</v>
      </c>
      <c r="O3112" s="17" t="str">
        <f>INDEX('список ID из СУЭ с должностями'!$A:$F,MATCH(E3112,'список ID из СУЭ с должностями'!$B:$B,0),5)</f>
        <v>НС</v>
      </c>
    </row>
    <row r="3113" spans="1:15" ht="45">
      <c r="A3113" s="3" t="s">
        <v>10</v>
      </c>
      <c r="B3113" s="3" t="s">
        <v>11</v>
      </c>
      <c r="C3113" s="4">
        <v>2026</v>
      </c>
      <c r="D3113" s="5" t="s">
        <v>12</v>
      </c>
      <c r="E3113" s="4">
        <v>425</v>
      </c>
      <c r="F3113" s="4" t="s">
        <v>39</v>
      </c>
      <c r="G3113" s="4" t="s">
        <v>651</v>
      </c>
      <c r="H3113" s="4" t="s">
        <v>15</v>
      </c>
      <c r="I3113" s="4" t="s">
        <v>596</v>
      </c>
      <c r="J3113" s="4" t="s">
        <v>1616</v>
      </c>
      <c r="K3113" s="4" t="s">
        <v>66</v>
      </c>
      <c r="L3113" s="4" t="s">
        <v>3742</v>
      </c>
      <c r="M3113" s="4" t="s">
        <v>3746</v>
      </c>
      <c r="N3113" s="4" t="s">
        <v>3747</v>
      </c>
      <c r="O3113" s="17" t="str">
        <f>INDEX('список ID из СУЭ с должностями'!$A:$F,MATCH(E3113,'список ID из СУЭ с должностями'!$B:$B,0),5)</f>
        <v>НС</v>
      </c>
    </row>
    <row r="3114" spans="1:15" ht="60">
      <c r="A3114" s="3" t="s">
        <v>10</v>
      </c>
      <c r="B3114" s="3" t="s">
        <v>11</v>
      </c>
      <c r="C3114" s="4">
        <v>2026</v>
      </c>
      <c r="D3114" s="5" t="s">
        <v>12</v>
      </c>
      <c r="E3114" s="4">
        <v>425</v>
      </c>
      <c r="F3114" s="4" t="s">
        <v>39</v>
      </c>
      <c r="G3114" s="4" t="s">
        <v>651</v>
      </c>
      <c r="H3114" s="4" t="s">
        <v>15</v>
      </c>
      <c r="I3114" s="4" t="s">
        <v>1612</v>
      </c>
      <c r="J3114" s="4" t="s">
        <v>604</v>
      </c>
      <c r="K3114" s="4" t="s">
        <v>151</v>
      </c>
      <c r="L3114" s="4" t="s">
        <v>3742</v>
      </c>
      <c r="M3114" s="4" t="s">
        <v>3746</v>
      </c>
      <c r="N3114" s="4" t="s">
        <v>3747</v>
      </c>
      <c r="O3114" s="17" t="str">
        <f>INDEX('список ID из СУЭ с должностями'!$A:$F,MATCH(E3114,'список ID из СУЭ с должностями'!$B:$B,0),5)</f>
        <v>НС</v>
      </c>
    </row>
    <row r="3115" spans="1:15" ht="60">
      <c r="A3115" s="3" t="s">
        <v>10</v>
      </c>
      <c r="B3115" s="3" t="s">
        <v>11</v>
      </c>
      <c r="C3115" s="4">
        <v>2026</v>
      </c>
      <c r="D3115" s="5" t="s">
        <v>12</v>
      </c>
      <c r="E3115" s="4">
        <v>425</v>
      </c>
      <c r="F3115" s="4" t="s">
        <v>39</v>
      </c>
      <c r="G3115" s="4" t="s">
        <v>651</v>
      </c>
      <c r="H3115" s="4" t="s">
        <v>15</v>
      </c>
      <c r="I3115" s="4" t="s">
        <v>1588</v>
      </c>
      <c r="J3115" s="4" t="s">
        <v>3065</v>
      </c>
      <c r="K3115" s="4" t="s">
        <v>151</v>
      </c>
      <c r="L3115" s="4" t="s">
        <v>3742</v>
      </c>
      <c r="M3115" s="4" t="s">
        <v>3746</v>
      </c>
      <c r="N3115" s="4" t="s">
        <v>3747</v>
      </c>
      <c r="O3115" s="17" t="str">
        <f>INDEX('список ID из СУЭ с должностями'!$A:$F,MATCH(E3115,'список ID из СУЭ с должностями'!$B:$B,0),5)</f>
        <v>НС</v>
      </c>
    </row>
    <row r="3116" spans="1:15" ht="75">
      <c r="A3116" s="3" t="s">
        <v>10</v>
      </c>
      <c r="B3116" s="3" t="s">
        <v>11</v>
      </c>
      <c r="C3116" s="4">
        <v>2026</v>
      </c>
      <c r="D3116" s="5" t="s">
        <v>3138</v>
      </c>
      <c r="E3116" s="4">
        <v>426</v>
      </c>
      <c r="F3116" s="4" t="s">
        <v>766</v>
      </c>
      <c r="G3116" s="4" t="s">
        <v>909</v>
      </c>
      <c r="H3116" s="4" t="s">
        <v>21</v>
      </c>
      <c r="I3116" s="4" t="s">
        <v>1770</v>
      </c>
      <c r="J3116" s="4" t="s">
        <v>79</v>
      </c>
      <c r="K3116" s="4" t="s">
        <v>25</v>
      </c>
      <c r="L3116" s="4" t="s">
        <v>3742</v>
      </c>
      <c r="M3116" s="4" t="s">
        <v>3746</v>
      </c>
      <c r="N3116" s="4" t="s">
        <v>3747</v>
      </c>
      <c r="O3116" s="17">
        <f>INDEX('список ID из СУЭ с должностями'!$A:$F,MATCH(E3116,'список ID из СУЭ с должностями'!$B:$B,0),5)</f>
        <v>0</v>
      </c>
    </row>
    <row r="3117" spans="1:15" ht="75">
      <c r="A3117" s="3" t="s">
        <v>10</v>
      </c>
      <c r="B3117" s="3" t="s">
        <v>11</v>
      </c>
      <c r="C3117" s="4">
        <v>2026</v>
      </c>
      <c r="D3117" s="5" t="s">
        <v>3138</v>
      </c>
      <c r="E3117" s="4">
        <v>426</v>
      </c>
      <c r="F3117" s="4" t="s">
        <v>766</v>
      </c>
      <c r="G3117" s="4" t="s">
        <v>909</v>
      </c>
      <c r="H3117" s="4" t="s">
        <v>15</v>
      </c>
      <c r="I3117" s="4" t="s">
        <v>1772</v>
      </c>
      <c r="J3117" s="4" t="s">
        <v>1773</v>
      </c>
      <c r="K3117" s="4" t="s">
        <v>25</v>
      </c>
      <c r="L3117" s="4" t="s">
        <v>3742</v>
      </c>
      <c r="M3117" s="4" t="s">
        <v>3746</v>
      </c>
      <c r="N3117" s="4" t="s">
        <v>3747</v>
      </c>
      <c r="O3117" s="17">
        <f>INDEX('список ID из СУЭ с должностями'!$A:$F,MATCH(E3117,'список ID из СУЭ с должностями'!$B:$B,0),5)</f>
        <v>0</v>
      </c>
    </row>
    <row r="3118" spans="1:15" ht="75">
      <c r="A3118" s="3" t="s">
        <v>10</v>
      </c>
      <c r="B3118" s="3" t="s">
        <v>11</v>
      </c>
      <c r="C3118" s="4">
        <v>2026</v>
      </c>
      <c r="D3118" s="5" t="s">
        <v>3138</v>
      </c>
      <c r="E3118" s="4">
        <v>426</v>
      </c>
      <c r="F3118" s="4" t="s">
        <v>766</v>
      </c>
      <c r="G3118" s="4" t="s">
        <v>909</v>
      </c>
      <c r="H3118" s="4" t="s">
        <v>15</v>
      </c>
      <c r="I3118" s="4" t="s">
        <v>1767</v>
      </c>
      <c r="J3118" s="4" t="s">
        <v>132</v>
      </c>
      <c r="K3118" s="4" t="s">
        <v>25</v>
      </c>
      <c r="L3118" s="4" t="s">
        <v>3742</v>
      </c>
      <c r="M3118" s="4" t="s">
        <v>3746</v>
      </c>
      <c r="N3118" s="4" t="s">
        <v>3747</v>
      </c>
      <c r="O3118" s="17">
        <f>INDEX('список ID из СУЭ с должностями'!$A:$F,MATCH(E3118,'список ID из СУЭ с должностями'!$B:$B,0),5)</f>
        <v>0</v>
      </c>
    </row>
    <row r="3119" spans="1:15" ht="75">
      <c r="A3119" s="3" t="s">
        <v>10</v>
      </c>
      <c r="B3119" s="3" t="s">
        <v>11</v>
      </c>
      <c r="C3119" s="4">
        <v>2026</v>
      </c>
      <c r="D3119" s="5" t="s">
        <v>3138</v>
      </c>
      <c r="E3119" s="4">
        <v>426</v>
      </c>
      <c r="F3119" s="4" t="s">
        <v>766</v>
      </c>
      <c r="G3119" s="4" t="s">
        <v>909</v>
      </c>
      <c r="H3119" s="4" t="s">
        <v>15</v>
      </c>
      <c r="I3119" s="4" t="s">
        <v>3139</v>
      </c>
      <c r="J3119" s="4" t="s">
        <v>115</v>
      </c>
      <c r="K3119" s="4" t="s">
        <v>25</v>
      </c>
      <c r="L3119" s="4" t="s">
        <v>3742</v>
      </c>
      <c r="M3119" s="4" t="s">
        <v>3746</v>
      </c>
      <c r="N3119" s="4" t="s">
        <v>3747</v>
      </c>
      <c r="O3119" s="17">
        <f>INDEX('список ID из СУЭ с должностями'!$A:$F,MATCH(E3119,'список ID из СУЭ с должностями'!$B:$B,0),5)</f>
        <v>0</v>
      </c>
    </row>
    <row r="3120" spans="1:15" ht="75">
      <c r="A3120" s="3" t="s">
        <v>10</v>
      </c>
      <c r="B3120" s="3" t="s">
        <v>11</v>
      </c>
      <c r="C3120" s="4">
        <v>2026</v>
      </c>
      <c r="D3120" s="5" t="s">
        <v>3138</v>
      </c>
      <c r="E3120" s="4">
        <v>426</v>
      </c>
      <c r="F3120" s="4" t="s">
        <v>766</v>
      </c>
      <c r="G3120" s="4" t="s">
        <v>909</v>
      </c>
      <c r="H3120" s="4" t="s">
        <v>21</v>
      </c>
      <c r="I3120" s="4" t="s">
        <v>1768</v>
      </c>
      <c r="J3120" s="4" t="s">
        <v>1769</v>
      </c>
      <c r="K3120" s="4" t="s">
        <v>25</v>
      </c>
      <c r="L3120" s="4" t="s">
        <v>3742</v>
      </c>
      <c r="M3120" s="4" t="s">
        <v>3746</v>
      </c>
      <c r="N3120" s="4" t="s">
        <v>3747</v>
      </c>
      <c r="O3120" s="17">
        <f>INDEX('список ID из СУЭ с должностями'!$A:$F,MATCH(E3120,'список ID из СУЭ с должностями'!$B:$B,0),5)</f>
        <v>0</v>
      </c>
    </row>
    <row r="3121" spans="1:15" ht="105">
      <c r="A3121" s="3" t="s">
        <v>10</v>
      </c>
      <c r="B3121" s="3" t="s">
        <v>11</v>
      </c>
      <c r="C3121" s="4">
        <v>2026</v>
      </c>
      <c r="D3121" s="5" t="s">
        <v>3138</v>
      </c>
      <c r="E3121" s="4">
        <v>426</v>
      </c>
      <c r="F3121" s="4" t="s">
        <v>766</v>
      </c>
      <c r="G3121" s="4" t="s">
        <v>909</v>
      </c>
      <c r="H3121" s="4" t="s">
        <v>15</v>
      </c>
      <c r="I3121" s="4" t="s">
        <v>1368</v>
      </c>
      <c r="J3121" s="4" t="s">
        <v>3140</v>
      </c>
      <c r="K3121" s="4" t="s">
        <v>35</v>
      </c>
      <c r="L3121" s="4" t="s">
        <v>3743</v>
      </c>
      <c r="M3121" s="4" t="s">
        <v>3746</v>
      </c>
      <c r="N3121" s="4" t="s">
        <v>3747</v>
      </c>
      <c r="O3121" s="17">
        <f>INDEX('список ID из СУЭ с должностями'!$A:$F,MATCH(E3121,'список ID из СУЭ с должностями'!$B:$B,0),5)</f>
        <v>0</v>
      </c>
    </row>
    <row r="3122" spans="1:15" ht="75">
      <c r="A3122" s="3" t="s">
        <v>10</v>
      </c>
      <c r="B3122" s="3" t="s">
        <v>11</v>
      </c>
      <c r="C3122" s="4">
        <v>2026</v>
      </c>
      <c r="D3122" s="5" t="s">
        <v>3138</v>
      </c>
      <c r="E3122" s="4">
        <v>426</v>
      </c>
      <c r="F3122" s="4" t="s">
        <v>766</v>
      </c>
      <c r="G3122" s="4" t="s">
        <v>909</v>
      </c>
      <c r="H3122" s="4" t="s">
        <v>21</v>
      </c>
      <c r="I3122" s="4" t="s">
        <v>1774</v>
      </c>
      <c r="J3122" s="4" t="s">
        <v>65</v>
      </c>
      <c r="K3122" s="4" t="s">
        <v>25</v>
      </c>
      <c r="L3122" s="4" t="s">
        <v>3742</v>
      </c>
      <c r="M3122" s="4" t="s">
        <v>3746</v>
      </c>
      <c r="N3122" s="4" t="s">
        <v>3747</v>
      </c>
      <c r="O3122" s="17">
        <f>INDEX('список ID из СУЭ с должностями'!$A:$F,MATCH(E3122,'список ID из СУЭ с должностями'!$B:$B,0),5)</f>
        <v>0</v>
      </c>
    </row>
    <row r="3123" spans="1:15" ht="75">
      <c r="A3123" s="3" t="s">
        <v>10</v>
      </c>
      <c r="B3123" s="3" t="s">
        <v>11</v>
      </c>
      <c r="C3123" s="4">
        <v>2026</v>
      </c>
      <c r="D3123" s="5" t="s">
        <v>12</v>
      </c>
      <c r="E3123" s="4">
        <v>427</v>
      </c>
      <c r="F3123" s="4" t="s">
        <v>307</v>
      </c>
      <c r="G3123" s="4" t="s">
        <v>477</v>
      </c>
      <c r="H3123" s="4" t="s">
        <v>21</v>
      </c>
      <c r="I3123" s="4" t="s">
        <v>3141</v>
      </c>
      <c r="J3123" s="4" t="s">
        <v>3142</v>
      </c>
      <c r="K3123" s="4" t="s">
        <v>25</v>
      </c>
      <c r="L3123" s="4" t="s">
        <v>3743</v>
      </c>
      <c r="M3123" s="4" t="s">
        <v>3746</v>
      </c>
      <c r="N3123" s="4" t="s">
        <v>3747</v>
      </c>
      <c r="O3123" s="17">
        <f>INDEX('список ID из СУЭ с должностями'!$A:$F,MATCH(E3123,'список ID из СУЭ с должностями'!$B:$B,0),5)</f>
        <v>0</v>
      </c>
    </row>
    <row r="3124" spans="1:15" ht="90">
      <c r="A3124" s="3" t="s">
        <v>10</v>
      </c>
      <c r="B3124" s="3" t="s">
        <v>11</v>
      </c>
      <c r="C3124" s="4">
        <v>2026</v>
      </c>
      <c r="D3124" s="5" t="s">
        <v>12</v>
      </c>
      <c r="E3124" s="4">
        <v>427</v>
      </c>
      <c r="F3124" s="4" t="s">
        <v>307</v>
      </c>
      <c r="G3124" s="4" t="s">
        <v>477</v>
      </c>
      <c r="H3124" s="4" t="s">
        <v>15</v>
      </c>
      <c r="I3124" s="4" t="s">
        <v>861</v>
      </c>
      <c r="J3124" s="4" t="s">
        <v>862</v>
      </c>
      <c r="K3124" s="4" t="s">
        <v>25</v>
      </c>
      <c r="L3124" s="4" t="s">
        <v>3743</v>
      </c>
      <c r="M3124" s="4" t="s">
        <v>3746</v>
      </c>
      <c r="N3124" s="4" t="s">
        <v>3747</v>
      </c>
      <c r="O3124" s="17">
        <f>INDEX('список ID из СУЭ с должностями'!$A:$F,MATCH(E3124,'список ID из СУЭ с должностями'!$B:$B,0),5)</f>
        <v>0</v>
      </c>
    </row>
    <row r="3125" spans="1:15" ht="75">
      <c r="A3125" s="3" t="s">
        <v>10</v>
      </c>
      <c r="B3125" s="3" t="s">
        <v>11</v>
      </c>
      <c r="C3125" s="4">
        <v>2026</v>
      </c>
      <c r="D3125" s="5" t="s">
        <v>12</v>
      </c>
      <c r="E3125" s="4">
        <v>427</v>
      </c>
      <c r="F3125" s="4" t="s">
        <v>307</v>
      </c>
      <c r="G3125" s="4" t="s">
        <v>477</v>
      </c>
      <c r="H3125" s="4" t="s">
        <v>41</v>
      </c>
      <c r="I3125" s="4" t="s">
        <v>863</v>
      </c>
      <c r="J3125" s="4" t="s">
        <v>864</v>
      </c>
      <c r="K3125" s="4" t="s">
        <v>66</v>
      </c>
      <c r="L3125" s="4" t="s">
        <v>3742</v>
      </c>
      <c r="M3125" s="4" t="s">
        <v>3746</v>
      </c>
      <c r="N3125" s="4" t="s">
        <v>3747</v>
      </c>
      <c r="O3125" s="17">
        <f>INDEX('список ID из СУЭ с должностями'!$A:$F,MATCH(E3125,'список ID из СУЭ с должностями'!$B:$B,0),5)</f>
        <v>0</v>
      </c>
    </row>
    <row r="3126" spans="1:15" ht="75">
      <c r="A3126" s="3" t="s">
        <v>10</v>
      </c>
      <c r="B3126" s="3" t="s">
        <v>11</v>
      </c>
      <c r="C3126" s="4">
        <v>2026</v>
      </c>
      <c r="D3126" s="5" t="s">
        <v>12</v>
      </c>
      <c r="E3126" s="4">
        <v>427</v>
      </c>
      <c r="F3126" s="4" t="s">
        <v>307</v>
      </c>
      <c r="G3126" s="4" t="s">
        <v>477</v>
      </c>
      <c r="H3126" s="4" t="s">
        <v>15</v>
      </c>
      <c r="I3126" s="4" t="s">
        <v>865</v>
      </c>
      <c r="J3126" s="4" t="s">
        <v>866</v>
      </c>
      <c r="K3126" s="4" t="s">
        <v>55</v>
      </c>
      <c r="L3126" s="4" t="s">
        <v>3743</v>
      </c>
      <c r="M3126" s="4" t="s">
        <v>3746</v>
      </c>
      <c r="N3126" s="4" t="s">
        <v>3747</v>
      </c>
      <c r="O3126" s="17">
        <f>INDEX('список ID из СУЭ с должностями'!$A:$F,MATCH(E3126,'список ID из СУЭ с должностями'!$B:$B,0),5)</f>
        <v>0</v>
      </c>
    </row>
    <row r="3127" spans="1:15" ht="105">
      <c r="A3127" s="3" t="s">
        <v>10</v>
      </c>
      <c r="B3127" s="3" t="s">
        <v>11</v>
      </c>
      <c r="C3127" s="4">
        <v>2026</v>
      </c>
      <c r="D3127" s="5" t="s">
        <v>12</v>
      </c>
      <c r="E3127" s="4">
        <v>427</v>
      </c>
      <c r="F3127" s="4" t="s">
        <v>307</v>
      </c>
      <c r="G3127" s="4" t="s">
        <v>477</v>
      </c>
      <c r="H3127" s="4" t="s">
        <v>15</v>
      </c>
      <c r="I3127" s="4" t="s">
        <v>867</v>
      </c>
      <c r="J3127" s="4" t="s">
        <v>868</v>
      </c>
      <c r="K3127" s="4" t="s">
        <v>66</v>
      </c>
      <c r="L3127" s="4" t="s">
        <v>3743</v>
      </c>
      <c r="M3127" s="4" t="s">
        <v>3746</v>
      </c>
      <c r="N3127" s="4" t="s">
        <v>3747</v>
      </c>
      <c r="O3127" s="17">
        <f>INDEX('список ID из СУЭ с должностями'!$A:$F,MATCH(E3127,'список ID из СУЭ с должностями'!$B:$B,0),5)</f>
        <v>0</v>
      </c>
    </row>
    <row r="3128" spans="1:15" ht="135">
      <c r="A3128" s="3" t="s">
        <v>10</v>
      </c>
      <c r="B3128" s="3" t="s">
        <v>11</v>
      </c>
      <c r="C3128" s="4">
        <v>2026</v>
      </c>
      <c r="D3128" s="5" t="s">
        <v>12</v>
      </c>
      <c r="E3128" s="4">
        <v>427</v>
      </c>
      <c r="F3128" s="4" t="s">
        <v>307</v>
      </c>
      <c r="G3128" s="4" t="s">
        <v>477</v>
      </c>
      <c r="H3128" s="4" t="s">
        <v>15</v>
      </c>
      <c r="I3128" s="4" t="s">
        <v>3143</v>
      </c>
      <c r="J3128" s="4" t="s">
        <v>3144</v>
      </c>
      <c r="K3128" s="4" t="s">
        <v>1333</v>
      </c>
      <c r="L3128" s="4" t="s">
        <v>3743</v>
      </c>
      <c r="M3128" s="4" t="s">
        <v>3746</v>
      </c>
      <c r="N3128" s="4" t="s">
        <v>3754</v>
      </c>
      <c r="O3128" s="17">
        <f>INDEX('список ID из СУЭ с должностями'!$A:$F,MATCH(E3128,'список ID из СУЭ с должностями'!$B:$B,0),5)</f>
        <v>0</v>
      </c>
    </row>
    <row r="3129" spans="1:15" ht="165">
      <c r="A3129" s="3" t="s">
        <v>10</v>
      </c>
      <c r="B3129" s="3" t="s">
        <v>11</v>
      </c>
      <c r="C3129" s="4">
        <v>2026</v>
      </c>
      <c r="D3129" s="5" t="s">
        <v>12</v>
      </c>
      <c r="E3129" s="4">
        <v>428</v>
      </c>
      <c r="F3129" s="4" t="s">
        <v>2657</v>
      </c>
      <c r="G3129" s="4" t="s">
        <v>614</v>
      </c>
      <c r="H3129" s="4" t="s">
        <v>15</v>
      </c>
      <c r="I3129" s="4" t="s">
        <v>714</v>
      </c>
      <c r="J3129" s="4" t="s">
        <v>850</v>
      </c>
      <c r="K3129" s="4" t="s">
        <v>716</v>
      </c>
      <c r="L3129" s="4" t="s">
        <v>3743</v>
      </c>
      <c r="M3129" s="4" t="s">
        <v>3746</v>
      </c>
      <c r="N3129" s="4" t="s">
        <v>3758</v>
      </c>
      <c r="O3129" s="17">
        <f>INDEX('список ID из СУЭ с должностями'!$A:$F,MATCH(E3129,'список ID из СУЭ с должностями'!$B:$B,0),5)</f>
        <v>0</v>
      </c>
    </row>
    <row r="3130" spans="1:15" ht="105">
      <c r="A3130" s="3" t="s">
        <v>10</v>
      </c>
      <c r="B3130" s="3" t="s">
        <v>11</v>
      </c>
      <c r="C3130" s="4">
        <v>2026</v>
      </c>
      <c r="D3130" s="5" t="s">
        <v>12</v>
      </c>
      <c r="E3130" s="4">
        <v>428</v>
      </c>
      <c r="F3130" s="4" t="s">
        <v>2657</v>
      </c>
      <c r="G3130" s="4" t="s">
        <v>614</v>
      </c>
      <c r="H3130" s="4" t="s">
        <v>15</v>
      </c>
      <c r="I3130" s="4" t="s">
        <v>1428</v>
      </c>
      <c r="J3130" s="4" t="s">
        <v>718</v>
      </c>
      <c r="K3130" s="4" t="s">
        <v>35</v>
      </c>
      <c r="L3130" s="4" t="s">
        <v>3743</v>
      </c>
      <c r="M3130" s="4" t="s">
        <v>3746</v>
      </c>
      <c r="N3130" s="4" t="s">
        <v>3747</v>
      </c>
      <c r="O3130" s="17">
        <f>INDEX('список ID из СУЭ с должностями'!$A:$F,MATCH(E3130,'список ID из СУЭ с должностями'!$B:$B,0),5)</f>
        <v>0</v>
      </c>
    </row>
    <row r="3131" spans="1:15" ht="105">
      <c r="A3131" s="3" t="s">
        <v>10</v>
      </c>
      <c r="B3131" s="3" t="s">
        <v>11</v>
      </c>
      <c r="C3131" s="4">
        <v>2026</v>
      </c>
      <c r="D3131" s="5" t="s">
        <v>12</v>
      </c>
      <c r="E3131" s="4">
        <v>428</v>
      </c>
      <c r="F3131" s="4" t="s">
        <v>2657</v>
      </c>
      <c r="G3131" s="4" t="s">
        <v>614</v>
      </c>
      <c r="H3131" s="4" t="s">
        <v>15</v>
      </c>
      <c r="I3131" s="4" t="s">
        <v>624</v>
      </c>
      <c r="J3131" s="4" t="s">
        <v>3145</v>
      </c>
      <c r="K3131" s="4" t="s">
        <v>151</v>
      </c>
      <c r="L3131" s="4" t="s">
        <v>3743</v>
      </c>
      <c r="M3131" s="4" t="s">
        <v>3746</v>
      </c>
      <c r="N3131" s="4" t="s">
        <v>3747</v>
      </c>
      <c r="O3131" s="17">
        <f>INDEX('список ID из СУЭ с должностями'!$A:$F,MATCH(E3131,'список ID из СУЭ с должностями'!$B:$B,0),5)</f>
        <v>0</v>
      </c>
    </row>
    <row r="3132" spans="1:15" ht="135">
      <c r="A3132" s="3" t="s">
        <v>10</v>
      </c>
      <c r="B3132" s="3" t="s">
        <v>11</v>
      </c>
      <c r="C3132" s="4">
        <v>2026</v>
      </c>
      <c r="D3132" s="5" t="s">
        <v>12</v>
      </c>
      <c r="E3132" s="4">
        <v>428</v>
      </c>
      <c r="F3132" s="4" t="s">
        <v>2657</v>
      </c>
      <c r="G3132" s="4" t="s">
        <v>614</v>
      </c>
      <c r="H3132" s="4" t="s">
        <v>15</v>
      </c>
      <c r="I3132" s="4" t="s">
        <v>638</v>
      </c>
      <c r="J3132" s="4" t="s">
        <v>723</v>
      </c>
      <c r="K3132" s="4" t="s">
        <v>635</v>
      </c>
      <c r="L3132" s="4" t="s">
        <v>3743</v>
      </c>
      <c r="M3132" s="4" t="s">
        <v>3746</v>
      </c>
      <c r="N3132" s="4" t="s">
        <v>3758</v>
      </c>
      <c r="O3132" s="17">
        <f>INDEX('список ID из СУЭ с должностями'!$A:$F,MATCH(E3132,'список ID из СУЭ с должностями'!$B:$B,0),5)</f>
        <v>0</v>
      </c>
    </row>
    <row r="3133" spans="1:15" ht="255">
      <c r="A3133" s="3" t="s">
        <v>10</v>
      </c>
      <c r="B3133" s="3" t="s">
        <v>11</v>
      </c>
      <c r="C3133" s="4">
        <v>2026</v>
      </c>
      <c r="D3133" s="5" t="s">
        <v>12</v>
      </c>
      <c r="E3133" s="4">
        <v>428</v>
      </c>
      <c r="F3133" s="4" t="s">
        <v>2657</v>
      </c>
      <c r="G3133" s="4" t="s">
        <v>614</v>
      </c>
      <c r="H3133" s="4" t="s">
        <v>15</v>
      </c>
      <c r="I3133" s="4" t="s">
        <v>617</v>
      </c>
      <c r="J3133" s="4" t="s">
        <v>3146</v>
      </c>
      <c r="K3133" s="4" t="s">
        <v>635</v>
      </c>
      <c r="L3133" s="4" t="s">
        <v>3743</v>
      </c>
      <c r="M3133" s="4" t="s">
        <v>3746</v>
      </c>
      <c r="N3133" s="4" t="s">
        <v>3758</v>
      </c>
      <c r="O3133" s="17">
        <f>INDEX('список ID из СУЭ с должностями'!$A:$F,MATCH(E3133,'список ID из СУЭ с должностями'!$B:$B,0),5)</f>
        <v>0</v>
      </c>
    </row>
    <row r="3134" spans="1:15" ht="165">
      <c r="A3134" s="3" t="s">
        <v>10</v>
      </c>
      <c r="B3134" s="3" t="s">
        <v>11</v>
      </c>
      <c r="C3134" s="4">
        <v>2026</v>
      </c>
      <c r="D3134" s="5" t="s">
        <v>12</v>
      </c>
      <c r="E3134" s="4">
        <v>428</v>
      </c>
      <c r="F3134" s="4" t="s">
        <v>2657</v>
      </c>
      <c r="G3134" s="4" t="s">
        <v>614</v>
      </c>
      <c r="H3134" s="4" t="s">
        <v>15</v>
      </c>
      <c r="I3134" s="4" t="s">
        <v>720</v>
      </c>
      <c r="J3134" s="4" t="s">
        <v>848</v>
      </c>
      <c r="K3134" s="4" t="s">
        <v>52</v>
      </c>
      <c r="L3134" s="4" t="s">
        <v>3743</v>
      </c>
      <c r="M3134" s="4" t="s">
        <v>3746</v>
      </c>
      <c r="N3134" s="4" t="s">
        <v>3747</v>
      </c>
      <c r="O3134" s="17">
        <f>INDEX('список ID из СУЭ с должностями'!$A:$F,MATCH(E3134,'список ID из СУЭ с должностями'!$B:$B,0),5)</f>
        <v>0</v>
      </c>
    </row>
    <row r="3135" spans="1:15" ht="360">
      <c r="A3135" s="3" t="s">
        <v>10</v>
      </c>
      <c r="B3135" s="3" t="s">
        <v>11</v>
      </c>
      <c r="C3135" s="4">
        <v>2026</v>
      </c>
      <c r="D3135" s="5" t="s">
        <v>12</v>
      </c>
      <c r="E3135" s="4">
        <v>429</v>
      </c>
      <c r="F3135" s="4" t="s">
        <v>280</v>
      </c>
      <c r="G3135" s="4" t="s">
        <v>3147</v>
      </c>
      <c r="H3135" s="4" t="s">
        <v>15</v>
      </c>
      <c r="I3135" s="4" t="s">
        <v>2357</v>
      </c>
      <c r="J3135" s="4" t="s">
        <v>3148</v>
      </c>
      <c r="K3135" s="4" t="s">
        <v>25</v>
      </c>
      <c r="L3135" s="4" t="s">
        <v>3743</v>
      </c>
      <c r="M3135" s="4" t="s">
        <v>3746</v>
      </c>
      <c r="N3135" s="4" t="s">
        <v>3747</v>
      </c>
      <c r="O3135" s="17">
        <f>INDEX('список ID из СУЭ с должностями'!$A:$F,MATCH(E3135,'список ID из СУЭ с должностями'!$B:$B,0),5)</f>
        <v>0</v>
      </c>
    </row>
    <row r="3136" spans="1:15" ht="165">
      <c r="A3136" s="3" t="s">
        <v>10</v>
      </c>
      <c r="B3136" s="3" t="s">
        <v>11</v>
      </c>
      <c r="C3136" s="4">
        <v>2026</v>
      </c>
      <c r="D3136" s="5" t="s">
        <v>12</v>
      </c>
      <c r="E3136" s="4">
        <v>429</v>
      </c>
      <c r="F3136" s="4" t="s">
        <v>280</v>
      </c>
      <c r="G3136" s="4" t="s">
        <v>3147</v>
      </c>
      <c r="H3136" s="4" t="s">
        <v>15</v>
      </c>
      <c r="I3136" s="4" t="s">
        <v>2397</v>
      </c>
      <c r="J3136" s="4" t="s">
        <v>3149</v>
      </c>
      <c r="K3136" s="4" t="s">
        <v>66</v>
      </c>
      <c r="L3136" s="4" t="s">
        <v>3743</v>
      </c>
      <c r="M3136" s="4" t="s">
        <v>3746</v>
      </c>
      <c r="N3136" s="4" t="s">
        <v>3747</v>
      </c>
      <c r="O3136" s="17">
        <f>INDEX('список ID из СУЭ с должностями'!$A:$F,MATCH(E3136,'список ID из СУЭ с должностями'!$B:$B,0),5)</f>
        <v>0</v>
      </c>
    </row>
    <row r="3137" spans="1:15" ht="255">
      <c r="A3137" s="3" t="s">
        <v>10</v>
      </c>
      <c r="B3137" s="3" t="s">
        <v>11</v>
      </c>
      <c r="C3137" s="4">
        <v>2026</v>
      </c>
      <c r="D3137" s="5" t="s">
        <v>12</v>
      </c>
      <c r="E3137" s="4">
        <v>429</v>
      </c>
      <c r="F3137" s="4" t="s">
        <v>280</v>
      </c>
      <c r="G3137" s="4" t="s">
        <v>3147</v>
      </c>
      <c r="H3137" s="4" t="s">
        <v>15</v>
      </c>
      <c r="I3137" s="4" t="s">
        <v>149</v>
      </c>
      <c r="J3137" s="4" t="s">
        <v>3150</v>
      </c>
      <c r="K3137" s="4" t="s">
        <v>30</v>
      </c>
      <c r="L3137" s="4" t="s">
        <v>3743</v>
      </c>
      <c r="M3137" s="4" t="s">
        <v>3746</v>
      </c>
      <c r="N3137" s="4" t="s">
        <v>3747</v>
      </c>
      <c r="O3137" s="17">
        <f>INDEX('список ID из СУЭ с должностями'!$A:$F,MATCH(E3137,'список ID из СУЭ с должностями'!$B:$B,0),5)</f>
        <v>0</v>
      </c>
    </row>
    <row r="3138" spans="1:15" ht="255">
      <c r="A3138" s="3" t="s">
        <v>10</v>
      </c>
      <c r="B3138" s="3" t="s">
        <v>11</v>
      </c>
      <c r="C3138" s="4">
        <v>2026</v>
      </c>
      <c r="D3138" s="5" t="s">
        <v>12</v>
      </c>
      <c r="E3138" s="4">
        <v>429</v>
      </c>
      <c r="F3138" s="4" t="s">
        <v>280</v>
      </c>
      <c r="G3138" s="4" t="s">
        <v>3147</v>
      </c>
      <c r="H3138" s="4" t="s">
        <v>15</v>
      </c>
      <c r="I3138" s="4" t="s">
        <v>147</v>
      </c>
      <c r="J3138" s="4" t="s">
        <v>3151</v>
      </c>
      <c r="K3138" s="4" t="s">
        <v>35</v>
      </c>
      <c r="L3138" s="4" t="s">
        <v>3743</v>
      </c>
      <c r="M3138" s="4" t="s">
        <v>3746</v>
      </c>
      <c r="N3138" s="4" t="s">
        <v>3747</v>
      </c>
      <c r="O3138" s="17">
        <f>INDEX('список ID из СУЭ с должностями'!$A:$F,MATCH(E3138,'список ID из СУЭ с должностями'!$B:$B,0),5)</f>
        <v>0</v>
      </c>
    </row>
    <row r="3139" spans="1:15" ht="375">
      <c r="A3139" s="3" t="s">
        <v>10</v>
      </c>
      <c r="B3139" s="3" t="s">
        <v>11</v>
      </c>
      <c r="C3139" s="4">
        <v>2026</v>
      </c>
      <c r="D3139" s="5" t="s">
        <v>12</v>
      </c>
      <c r="E3139" s="4">
        <v>429</v>
      </c>
      <c r="F3139" s="4" t="s">
        <v>280</v>
      </c>
      <c r="G3139" s="4" t="s">
        <v>3147</v>
      </c>
      <c r="H3139" s="4" t="s">
        <v>15</v>
      </c>
      <c r="I3139" s="4" t="s">
        <v>303</v>
      </c>
      <c r="J3139" s="4" t="s">
        <v>3152</v>
      </c>
      <c r="K3139" s="4" t="s">
        <v>66</v>
      </c>
      <c r="L3139" s="4" t="s">
        <v>3743</v>
      </c>
      <c r="M3139" s="4" t="s">
        <v>3746</v>
      </c>
      <c r="N3139" s="4" t="s">
        <v>3747</v>
      </c>
      <c r="O3139" s="17">
        <f>INDEX('список ID из СУЭ с должностями'!$A:$F,MATCH(E3139,'список ID из СУЭ с должностями'!$B:$B,0),5)</f>
        <v>0</v>
      </c>
    </row>
    <row r="3140" spans="1:15" ht="60">
      <c r="A3140" s="3" t="s">
        <v>10</v>
      </c>
      <c r="B3140" s="3" t="s">
        <v>11</v>
      </c>
      <c r="C3140" s="4">
        <v>2026</v>
      </c>
      <c r="D3140" s="5" t="s">
        <v>12</v>
      </c>
      <c r="E3140" s="4">
        <v>430</v>
      </c>
      <c r="F3140" s="4" t="s">
        <v>280</v>
      </c>
      <c r="G3140" s="4" t="s">
        <v>951</v>
      </c>
      <c r="H3140" s="4" t="s">
        <v>21</v>
      </c>
      <c r="I3140" s="4" t="s">
        <v>958</v>
      </c>
      <c r="J3140" s="4" t="s">
        <v>3153</v>
      </c>
      <c r="K3140" s="4" t="s">
        <v>25</v>
      </c>
      <c r="L3140" s="4" t="s">
        <v>3743</v>
      </c>
      <c r="M3140" s="4" t="s">
        <v>3746</v>
      </c>
      <c r="N3140" s="4" t="s">
        <v>3747</v>
      </c>
      <c r="O3140" s="17">
        <f>INDEX('список ID из СУЭ с должностями'!$A:$F,MATCH(E3140,'список ID из СУЭ с должностями'!$B:$B,0),5)</f>
        <v>0</v>
      </c>
    </row>
    <row r="3141" spans="1:15" ht="60">
      <c r="A3141" s="3" t="s">
        <v>10</v>
      </c>
      <c r="B3141" s="3" t="s">
        <v>11</v>
      </c>
      <c r="C3141" s="4">
        <v>2026</v>
      </c>
      <c r="D3141" s="5" t="s">
        <v>12</v>
      </c>
      <c r="E3141" s="4">
        <v>430</v>
      </c>
      <c r="F3141" s="4" t="s">
        <v>280</v>
      </c>
      <c r="G3141" s="4" t="s">
        <v>951</v>
      </c>
      <c r="H3141" s="4" t="s">
        <v>15</v>
      </c>
      <c r="I3141" s="4" t="s">
        <v>3154</v>
      </c>
      <c r="J3141" s="4" t="s">
        <v>3155</v>
      </c>
      <c r="K3141" s="4" t="s">
        <v>188</v>
      </c>
      <c r="L3141" s="4" t="s">
        <v>3743</v>
      </c>
      <c r="M3141" s="4" t="s">
        <v>3746</v>
      </c>
      <c r="N3141" s="4" t="s">
        <v>3747</v>
      </c>
      <c r="O3141" s="17">
        <f>INDEX('список ID из СУЭ с должностями'!$A:$F,MATCH(E3141,'список ID из СУЭ с должностями'!$B:$B,0),5)</f>
        <v>0</v>
      </c>
    </row>
    <row r="3142" spans="1:15" ht="60">
      <c r="A3142" s="3" t="s">
        <v>10</v>
      </c>
      <c r="B3142" s="3" t="s">
        <v>11</v>
      </c>
      <c r="C3142" s="4">
        <v>2026</v>
      </c>
      <c r="D3142" s="5" t="s">
        <v>12</v>
      </c>
      <c r="E3142" s="4">
        <v>430</v>
      </c>
      <c r="F3142" s="4" t="s">
        <v>280</v>
      </c>
      <c r="G3142" s="4" t="s">
        <v>951</v>
      </c>
      <c r="H3142" s="4" t="s">
        <v>15</v>
      </c>
      <c r="I3142" s="4" t="s">
        <v>3156</v>
      </c>
      <c r="J3142" s="4" t="s">
        <v>3157</v>
      </c>
      <c r="K3142" s="4" t="s">
        <v>188</v>
      </c>
      <c r="L3142" s="4" t="s">
        <v>3742</v>
      </c>
      <c r="M3142" s="4" t="s">
        <v>3746</v>
      </c>
      <c r="N3142" s="4" t="s">
        <v>3747</v>
      </c>
      <c r="O3142" s="17">
        <f>INDEX('список ID из СУЭ с должностями'!$A:$F,MATCH(E3142,'список ID из СУЭ с должностями'!$B:$B,0),5)</f>
        <v>0</v>
      </c>
    </row>
    <row r="3143" spans="1:15" ht="180">
      <c r="A3143" s="3" t="s">
        <v>10</v>
      </c>
      <c r="B3143" s="3" t="s">
        <v>11</v>
      </c>
      <c r="C3143" s="4">
        <v>2026</v>
      </c>
      <c r="D3143" s="5" t="s">
        <v>12</v>
      </c>
      <c r="E3143" s="4">
        <v>430</v>
      </c>
      <c r="F3143" s="4" t="s">
        <v>280</v>
      </c>
      <c r="G3143" s="4" t="s">
        <v>951</v>
      </c>
      <c r="H3143" s="4" t="s">
        <v>15</v>
      </c>
      <c r="I3143" s="4" t="s">
        <v>960</v>
      </c>
      <c r="J3143" s="4" t="s">
        <v>961</v>
      </c>
      <c r="K3143" s="4" t="s">
        <v>188</v>
      </c>
      <c r="L3143" s="4" t="s">
        <v>3743</v>
      </c>
      <c r="M3143" s="4" t="s">
        <v>3746</v>
      </c>
      <c r="N3143" s="4" t="s">
        <v>3747</v>
      </c>
      <c r="O3143" s="17">
        <f>INDEX('список ID из СУЭ с должностями'!$A:$F,MATCH(E3143,'список ID из СУЭ с должностями'!$B:$B,0),5)</f>
        <v>0</v>
      </c>
    </row>
    <row r="3144" spans="1:15" ht="60">
      <c r="A3144" s="3" t="s">
        <v>10</v>
      </c>
      <c r="B3144" s="3" t="s">
        <v>11</v>
      </c>
      <c r="C3144" s="4">
        <v>2026</v>
      </c>
      <c r="D3144" s="5" t="s">
        <v>12</v>
      </c>
      <c r="E3144" s="4">
        <v>430</v>
      </c>
      <c r="F3144" s="4" t="s">
        <v>280</v>
      </c>
      <c r="G3144" s="4" t="s">
        <v>951</v>
      </c>
      <c r="H3144" s="4" t="s">
        <v>15</v>
      </c>
      <c r="I3144" s="4" t="s">
        <v>3158</v>
      </c>
      <c r="J3144" s="4" t="s">
        <v>3159</v>
      </c>
      <c r="K3144" s="4" t="s">
        <v>188</v>
      </c>
      <c r="L3144" s="4" t="s">
        <v>3742</v>
      </c>
      <c r="M3144" s="4" t="s">
        <v>3746</v>
      </c>
      <c r="N3144" s="4" t="s">
        <v>3747</v>
      </c>
      <c r="O3144" s="17">
        <f>INDEX('список ID из СУЭ с должностями'!$A:$F,MATCH(E3144,'список ID из СУЭ с должностями'!$B:$B,0),5)</f>
        <v>0</v>
      </c>
    </row>
    <row r="3145" spans="1:15" ht="150">
      <c r="A3145" s="3" t="s">
        <v>10</v>
      </c>
      <c r="B3145" s="3" t="s">
        <v>11</v>
      </c>
      <c r="C3145" s="4">
        <v>2026</v>
      </c>
      <c r="D3145" s="5" t="s">
        <v>12</v>
      </c>
      <c r="E3145" s="4">
        <v>430</v>
      </c>
      <c r="F3145" s="4" t="s">
        <v>280</v>
      </c>
      <c r="G3145" s="4" t="s">
        <v>951</v>
      </c>
      <c r="H3145" s="4" t="s">
        <v>15</v>
      </c>
      <c r="I3145" s="4" t="s">
        <v>3160</v>
      </c>
      <c r="J3145" s="4" t="s">
        <v>3161</v>
      </c>
      <c r="K3145" s="4" t="s">
        <v>188</v>
      </c>
      <c r="L3145" s="4" t="s">
        <v>3743</v>
      </c>
      <c r="M3145" s="4" t="s">
        <v>3746</v>
      </c>
      <c r="N3145" s="4" t="s">
        <v>3747</v>
      </c>
      <c r="O3145" s="17">
        <f>INDEX('список ID из СУЭ с должностями'!$A:$F,MATCH(E3145,'список ID из СУЭ с должностями'!$B:$B,0),5)</f>
        <v>0</v>
      </c>
    </row>
    <row r="3146" spans="1:15" ht="30">
      <c r="A3146" s="3" t="s">
        <v>10</v>
      </c>
      <c r="B3146" s="3" t="s">
        <v>11</v>
      </c>
      <c r="C3146" s="4">
        <v>2026</v>
      </c>
      <c r="D3146" s="5" t="s">
        <v>12</v>
      </c>
      <c r="E3146" s="4">
        <v>431</v>
      </c>
      <c r="F3146" s="4" t="s">
        <v>67</v>
      </c>
      <c r="G3146" s="4" t="s">
        <v>511</v>
      </c>
      <c r="H3146" s="4" t="s">
        <v>21</v>
      </c>
      <c r="I3146" s="4" t="s">
        <v>3162</v>
      </c>
      <c r="J3146" s="4" t="s">
        <v>3163</v>
      </c>
      <c r="K3146" s="4" t="s">
        <v>23</v>
      </c>
      <c r="L3146" s="4" t="s">
        <v>3743</v>
      </c>
      <c r="M3146" s="4" t="s">
        <v>3748</v>
      </c>
      <c r="N3146" s="4" t="s">
        <v>3752</v>
      </c>
      <c r="O3146" s="17">
        <f>INDEX('список ID из СУЭ с должностями'!$A:$F,MATCH(E3146,'список ID из СУЭ с должностями'!$B:$B,0),5)</f>
        <v>0</v>
      </c>
    </row>
    <row r="3147" spans="1:15" ht="45">
      <c r="A3147" s="3" t="s">
        <v>10</v>
      </c>
      <c r="B3147" s="3" t="s">
        <v>11</v>
      </c>
      <c r="C3147" s="4">
        <v>2026</v>
      </c>
      <c r="D3147" s="5" t="s">
        <v>12</v>
      </c>
      <c r="E3147" s="4">
        <v>431</v>
      </c>
      <c r="F3147" s="4" t="s">
        <v>67</v>
      </c>
      <c r="G3147" s="4" t="s">
        <v>511</v>
      </c>
      <c r="H3147" s="4" t="s">
        <v>41</v>
      </c>
      <c r="I3147" s="4" t="s">
        <v>3164</v>
      </c>
      <c r="J3147" s="4" t="s">
        <v>3165</v>
      </c>
      <c r="K3147" s="4" t="s">
        <v>23</v>
      </c>
      <c r="L3147" s="4" t="s">
        <v>3743</v>
      </c>
      <c r="M3147" s="4" t="s">
        <v>3748</v>
      </c>
      <c r="N3147" s="4" t="s">
        <v>3752</v>
      </c>
      <c r="O3147" s="17">
        <f>INDEX('список ID из СУЭ с должностями'!$A:$F,MATCH(E3147,'список ID из СУЭ с должностями'!$B:$B,0),5)</f>
        <v>0</v>
      </c>
    </row>
    <row r="3148" spans="1:15" ht="135">
      <c r="A3148" s="3" t="s">
        <v>10</v>
      </c>
      <c r="B3148" s="3" t="s">
        <v>11</v>
      </c>
      <c r="C3148" s="4">
        <v>2026</v>
      </c>
      <c r="D3148" s="5" t="s">
        <v>12</v>
      </c>
      <c r="E3148" s="4">
        <v>431</v>
      </c>
      <c r="F3148" s="4" t="s">
        <v>67</v>
      </c>
      <c r="G3148" s="4" t="s">
        <v>511</v>
      </c>
      <c r="H3148" s="4" t="s">
        <v>15</v>
      </c>
      <c r="I3148" s="4" t="s">
        <v>744</v>
      </c>
      <c r="J3148" s="4" t="s">
        <v>1311</v>
      </c>
      <c r="K3148" s="4" t="s">
        <v>25</v>
      </c>
      <c r="L3148" s="4" t="s">
        <v>3743</v>
      </c>
      <c r="M3148" s="4" t="s">
        <v>3746</v>
      </c>
      <c r="N3148" s="4" t="s">
        <v>3747</v>
      </c>
      <c r="O3148" s="17">
        <f>INDEX('список ID из СУЭ с должностями'!$A:$F,MATCH(E3148,'список ID из СУЭ с должностями'!$B:$B,0),5)</f>
        <v>0</v>
      </c>
    </row>
    <row r="3149" spans="1:15" ht="195">
      <c r="A3149" s="3" t="s">
        <v>10</v>
      </c>
      <c r="B3149" s="3" t="s">
        <v>11</v>
      </c>
      <c r="C3149" s="4">
        <v>2026</v>
      </c>
      <c r="D3149" s="5" t="s">
        <v>12</v>
      </c>
      <c r="E3149" s="4">
        <v>431</v>
      </c>
      <c r="F3149" s="4" t="s">
        <v>67</v>
      </c>
      <c r="G3149" s="4" t="s">
        <v>511</v>
      </c>
      <c r="H3149" s="4" t="s">
        <v>15</v>
      </c>
      <c r="I3149" s="4" t="s">
        <v>1312</v>
      </c>
      <c r="J3149" s="4" t="s">
        <v>1313</v>
      </c>
      <c r="K3149" s="4" t="s">
        <v>35</v>
      </c>
      <c r="L3149" s="4" t="s">
        <v>3743</v>
      </c>
      <c r="M3149" s="4" t="s">
        <v>3746</v>
      </c>
      <c r="N3149" s="4" t="s">
        <v>3747</v>
      </c>
      <c r="O3149" s="17">
        <f>INDEX('список ID из СУЭ с должностями'!$A:$F,MATCH(E3149,'список ID из СУЭ с должностями'!$B:$B,0),5)</f>
        <v>0</v>
      </c>
    </row>
    <row r="3150" spans="1:15" ht="30">
      <c r="A3150" s="3" t="s">
        <v>10</v>
      </c>
      <c r="B3150" s="3" t="s">
        <v>11</v>
      </c>
      <c r="C3150" s="4">
        <v>2026</v>
      </c>
      <c r="D3150" s="5" t="s">
        <v>12</v>
      </c>
      <c r="E3150" s="4">
        <v>431</v>
      </c>
      <c r="F3150" s="4" t="s">
        <v>67</v>
      </c>
      <c r="G3150" s="4" t="s">
        <v>511</v>
      </c>
      <c r="H3150" s="4" t="s">
        <v>21</v>
      </c>
      <c r="I3150" s="4" t="s">
        <v>3166</v>
      </c>
      <c r="J3150" s="4" t="s">
        <v>3167</v>
      </c>
      <c r="K3150" s="4" t="s">
        <v>23</v>
      </c>
      <c r="L3150" s="4" t="s">
        <v>3743</v>
      </c>
      <c r="M3150" s="4" t="s">
        <v>3748</v>
      </c>
      <c r="N3150" s="4" t="s">
        <v>3752</v>
      </c>
      <c r="O3150" s="17">
        <f>INDEX('список ID из СУЭ с должностями'!$A:$F,MATCH(E3150,'список ID из СУЭ с должностями'!$B:$B,0),5)</f>
        <v>0</v>
      </c>
    </row>
    <row r="3151" spans="1:15" ht="180">
      <c r="A3151" s="3" t="s">
        <v>10</v>
      </c>
      <c r="B3151" s="3" t="s">
        <v>11</v>
      </c>
      <c r="C3151" s="4">
        <v>2026</v>
      </c>
      <c r="D3151" s="5" t="s">
        <v>12</v>
      </c>
      <c r="E3151" s="4">
        <v>431</v>
      </c>
      <c r="F3151" s="4" t="s">
        <v>67</v>
      </c>
      <c r="G3151" s="4" t="s">
        <v>511</v>
      </c>
      <c r="H3151" s="4" t="s">
        <v>15</v>
      </c>
      <c r="I3151" s="4" t="s">
        <v>1326</v>
      </c>
      <c r="J3151" s="4" t="s">
        <v>1327</v>
      </c>
      <c r="K3151" s="4" t="s">
        <v>23</v>
      </c>
      <c r="L3151" s="4" t="s">
        <v>3743</v>
      </c>
      <c r="M3151" s="4" t="s">
        <v>3748</v>
      </c>
      <c r="N3151" s="4" t="s">
        <v>3749</v>
      </c>
      <c r="O3151" s="17">
        <f>INDEX('список ID из СУЭ с должностями'!$A:$F,MATCH(E3151,'список ID из СУЭ с должностями'!$B:$B,0),5)</f>
        <v>0</v>
      </c>
    </row>
    <row r="3152" spans="1:15" ht="45">
      <c r="A3152" s="3" t="s">
        <v>10</v>
      </c>
      <c r="B3152" s="3" t="s">
        <v>11</v>
      </c>
      <c r="C3152" s="4">
        <v>2026</v>
      </c>
      <c r="D3152" s="5" t="s">
        <v>12</v>
      </c>
      <c r="E3152" s="4">
        <v>431</v>
      </c>
      <c r="F3152" s="4" t="s">
        <v>67</v>
      </c>
      <c r="G3152" s="4" t="s">
        <v>511</v>
      </c>
      <c r="H3152" s="4" t="s">
        <v>41</v>
      </c>
      <c r="I3152" s="4" t="s">
        <v>3168</v>
      </c>
      <c r="J3152" s="4" t="s">
        <v>3169</v>
      </c>
      <c r="K3152" s="4" t="s">
        <v>23</v>
      </c>
      <c r="L3152" s="4" t="s">
        <v>3743</v>
      </c>
      <c r="M3152" s="4" t="s">
        <v>3748</v>
      </c>
      <c r="N3152" s="4" t="s">
        <v>3752</v>
      </c>
      <c r="O3152" s="17">
        <f>INDEX('список ID из СУЭ с должностями'!$A:$F,MATCH(E3152,'список ID из СУЭ с должностями'!$B:$B,0),5)</f>
        <v>0</v>
      </c>
    </row>
    <row r="3153" spans="1:15" ht="75">
      <c r="A3153" s="3" t="s">
        <v>10</v>
      </c>
      <c r="B3153" s="3" t="s">
        <v>11</v>
      </c>
      <c r="C3153" s="4">
        <v>2026</v>
      </c>
      <c r="D3153" s="5" t="s">
        <v>12</v>
      </c>
      <c r="E3153" s="4">
        <v>432</v>
      </c>
      <c r="F3153" s="4" t="s">
        <v>239</v>
      </c>
      <c r="G3153" s="4" t="s">
        <v>1102</v>
      </c>
      <c r="H3153" s="4" t="s">
        <v>15</v>
      </c>
      <c r="I3153" s="4" t="s">
        <v>984</v>
      </c>
      <c r="J3153" s="4" t="s">
        <v>1103</v>
      </c>
      <c r="K3153" s="4" t="s">
        <v>66</v>
      </c>
      <c r="L3153" s="4" t="s">
        <v>3742</v>
      </c>
      <c r="M3153" s="4" t="s">
        <v>3746</v>
      </c>
      <c r="N3153" s="4" t="s">
        <v>3747</v>
      </c>
      <c r="O3153" s="17" t="str">
        <f>INDEX('список ID из СУЭ с должностями'!$A:$F,MATCH(E3153,'список ID из СУЭ с должностями'!$B:$B,0),5)</f>
        <v>ИПП</v>
      </c>
    </row>
    <row r="3154" spans="1:15" ht="150">
      <c r="A3154" s="3" t="s">
        <v>10</v>
      </c>
      <c r="B3154" s="3" t="s">
        <v>11</v>
      </c>
      <c r="C3154" s="4">
        <v>2026</v>
      </c>
      <c r="D3154" s="5" t="s">
        <v>12</v>
      </c>
      <c r="E3154" s="4">
        <v>432</v>
      </c>
      <c r="F3154" s="4" t="s">
        <v>239</v>
      </c>
      <c r="G3154" s="4" t="s">
        <v>1102</v>
      </c>
      <c r="H3154" s="4" t="s">
        <v>15</v>
      </c>
      <c r="I3154" s="4" t="s">
        <v>975</v>
      </c>
      <c r="J3154" s="4" t="s">
        <v>1104</v>
      </c>
      <c r="K3154" s="4" t="s">
        <v>20</v>
      </c>
      <c r="L3154" s="4" t="s">
        <v>3743</v>
      </c>
      <c r="M3154" s="4" t="s">
        <v>3746</v>
      </c>
      <c r="N3154" s="4" t="s">
        <v>3747</v>
      </c>
      <c r="O3154" s="17" t="str">
        <f>INDEX('список ID из СУЭ с должностями'!$A:$F,MATCH(E3154,'список ID из СУЭ с должностями'!$B:$B,0),5)</f>
        <v>ИПП</v>
      </c>
    </row>
    <row r="3155" spans="1:15" ht="75">
      <c r="A3155" s="3" t="s">
        <v>10</v>
      </c>
      <c r="B3155" s="3" t="s">
        <v>11</v>
      </c>
      <c r="C3155" s="4">
        <v>2026</v>
      </c>
      <c r="D3155" s="5" t="s">
        <v>12</v>
      </c>
      <c r="E3155" s="4">
        <v>432</v>
      </c>
      <c r="F3155" s="4" t="s">
        <v>239</v>
      </c>
      <c r="G3155" s="4" t="s">
        <v>1102</v>
      </c>
      <c r="H3155" s="4" t="s">
        <v>15</v>
      </c>
      <c r="I3155" s="4" t="s">
        <v>48</v>
      </c>
      <c r="J3155" s="4" t="s">
        <v>187</v>
      </c>
      <c r="K3155" s="4" t="s">
        <v>35</v>
      </c>
      <c r="L3155" s="4" t="s">
        <v>3743</v>
      </c>
      <c r="M3155" s="4" t="s">
        <v>3746</v>
      </c>
      <c r="N3155" s="4" t="s">
        <v>3747</v>
      </c>
      <c r="O3155" s="17" t="str">
        <f>INDEX('список ID из СУЭ с должностями'!$A:$F,MATCH(E3155,'список ID из СУЭ с должностями'!$B:$B,0),5)</f>
        <v>ИПП</v>
      </c>
    </row>
    <row r="3156" spans="1:15" ht="240">
      <c r="A3156" s="3" t="s">
        <v>10</v>
      </c>
      <c r="B3156" s="3" t="s">
        <v>11</v>
      </c>
      <c r="C3156" s="4">
        <v>2026</v>
      </c>
      <c r="D3156" s="5" t="s">
        <v>12</v>
      </c>
      <c r="E3156" s="4">
        <v>432</v>
      </c>
      <c r="F3156" s="4" t="s">
        <v>239</v>
      </c>
      <c r="G3156" s="4" t="s">
        <v>1102</v>
      </c>
      <c r="H3156" s="4" t="s">
        <v>15</v>
      </c>
      <c r="I3156" s="4" t="s">
        <v>243</v>
      </c>
      <c r="J3156" s="4" t="s">
        <v>1105</v>
      </c>
      <c r="K3156" s="4" t="s">
        <v>38</v>
      </c>
      <c r="L3156" s="4" t="s">
        <v>3743</v>
      </c>
      <c r="M3156" s="4" t="s">
        <v>3746</v>
      </c>
      <c r="N3156" s="4" t="s">
        <v>3747</v>
      </c>
      <c r="O3156" s="17" t="str">
        <f>INDEX('список ID из СУЭ с должностями'!$A:$F,MATCH(E3156,'список ID из СУЭ с должностями'!$B:$B,0),5)</f>
        <v>ИПП</v>
      </c>
    </row>
    <row r="3157" spans="1:15" ht="75">
      <c r="A3157" s="3" t="s">
        <v>10</v>
      </c>
      <c r="B3157" s="3" t="s">
        <v>11</v>
      </c>
      <c r="C3157" s="4">
        <v>2026</v>
      </c>
      <c r="D3157" s="5" t="s">
        <v>12</v>
      </c>
      <c r="E3157" s="4">
        <v>432</v>
      </c>
      <c r="F3157" s="4" t="s">
        <v>239</v>
      </c>
      <c r="G3157" s="4" t="s">
        <v>1102</v>
      </c>
      <c r="H3157" s="4" t="s">
        <v>15</v>
      </c>
      <c r="I3157" s="4" t="s">
        <v>1106</v>
      </c>
      <c r="J3157" s="4" t="s">
        <v>1107</v>
      </c>
      <c r="K3157" s="4" t="s">
        <v>151</v>
      </c>
      <c r="L3157" s="4" t="s">
        <v>3743</v>
      </c>
      <c r="M3157" s="4" t="s">
        <v>3746</v>
      </c>
      <c r="N3157" s="4" t="s">
        <v>3747</v>
      </c>
      <c r="O3157" s="17" t="str">
        <f>INDEX('список ID из СУЭ с должностями'!$A:$F,MATCH(E3157,'список ID из СУЭ с должностями'!$B:$B,0),5)</f>
        <v>ИПП</v>
      </c>
    </row>
    <row r="3158" spans="1:15" ht="75">
      <c r="A3158" s="3" t="s">
        <v>10</v>
      </c>
      <c r="B3158" s="3" t="s">
        <v>11</v>
      </c>
      <c r="C3158" s="4">
        <v>2026</v>
      </c>
      <c r="D3158" s="5" t="s">
        <v>12</v>
      </c>
      <c r="E3158" s="4">
        <v>432</v>
      </c>
      <c r="F3158" s="4" t="s">
        <v>239</v>
      </c>
      <c r="G3158" s="4" t="s">
        <v>1102</v>
      </c>
      <c r="H3158" s="4" t="s">
        <v>15</v>
      </c>
      <c r="I3158" s="4" t="s">
        <v>1108</v>
      </c>
      <c r="J3158" s="4" t="s">
        <v>196</v>
      </c>
      <c r="K3158" s="4" t="s">
        <v>52</v>
      </c>
      <c r="L3158" s="4" t="s">
        <v>3742</v>
      </c>
      <c r="M3158" s="4" t="s">
        <v>3746</v>
      </c>
      <c r="N3158" s="4" t="s">
        <v>3747</v>
      </c>
      <c r="O3158" s="17" t="str">
        <f>INDEX('список ID из СУЭ с должностями'!$A:$F,MATCH(E3158,'список ID из СУЭ с должностями'!$B:$B,0),5)</f>
        <v>ИПП</v>
      </c>
    </row>
    <row r="3159" spans="1:15" ht="120">
      <c r="A3159" s="3" t="s">
        <v>10</v>
      </c>
      <c r="B3159" s="3" t="s">
        <v>11</v>
      </c>
      <c r="C3159" s="4">
        <v>2026</v>
      </c>
      <c r="D3159" s="5" t="s">
        <v>12</v>
      </c>
      <c r="E3159" s="4">
        <v>433</v>
      </c>
      <c r="F3159" s="4" t="s">
        <v>39</v>
      </c>
      <c r="G3159" s="4" t="s">
        <v>241</v>
      </c>
      <c r="H3159" s="4" t="s">
        <v>21</v>
      </c>
      <c r="I3159" s="4" t="s">
        <v>1674</v>
      </c>
      <c r="J3159" s="4" t="s">
        <v>1675</v>
      </c>
      <c r="K3159" s="4" t="s">
        <v>52</v>
      </c>
      <c r="L3159" s="4" t="s">
        <v>3743</v>
      </c>
      <c r="M3159" s="4" t="s">
        <v>3746</v>
      </c>
      <c r="N3159" s="4" t="s">
        <v>3747</v>
      </c>
      <c r="O3159" s="17" t="str">
        <f>INDEX('список ID из СУЭ с должностями'!$A:$F,MATCH(E3159,'список ID из СУЭ с должностями'!$B:$B,0),5)</f>
        <v>НС</v>
      </c>
    </row>
    <row r="3160" spans="1:15" ht="60">
      <c r="A3160" s="3" t="s">
        <v>10</v>
      </c>
      <c r="B3160" s="3" t="s">
        <v>11</v>
      </c>
      <c r="C3160" s="4">
        <v>2026</v>
      </c>
      <c r="D3160" s="5" t="s">
        <v>12</v>
      </c>
      <c r="E3160" s="4">
        <v>433</v>
      </c>
      <c r="F3160" s="4" t="s">
        <v>39</v>
      </c>
      <c r="G3160" s="4" t="s">
        <v>241</v>
      </c>
      <c r="H3160" s="4" t="s">
        <v>15</v>
      </c>
      <c r="I3160" s="4" t="s">
        <v>2052</v>
      </c>
      <c r="J3160" s="4" t="s">
        <v>79</v>
      </c>
      <c r="K3160" s="4" t="s">
        <v>38</v>
      </c>
      <c r="L3160" s="4" t="s">
        <v>3742</v>
      </c>
      <c r="M3160" s="4" t="s">
        <v>3746</v>
      </c>
      <c r="N3160" s="4" t="s">
        <v>3747</v>
      </c>
      <c r="O3160" s="17" t="str">
        <f>INDEX('список ID из СУЭ с должностями'!$A:$F,MATCH(E3160,'список ID из СУЭ с должностями'!$B:$B,0),5)</f>
        <v>НС</v>
      </c>
    </row>
    <row r="3161" spans="1:15" ht="409.5">
      <c r="A3161" s="3" t="s">
        <v>10</v>
      </c>
      <c r="B3161" s="3" t="s">
        <v>11</v>
      </c>
      <c r="C3161" s="4">
        <v>2026</v>
      </c>
      <c r="D3161" s="5" t="s">
        <v>12</v>
      </c>
      <c r="E3161" s="4">
        <v>433</v>
      </c>
      <c r="F3161" s="4" t="s">
        <v>39</v>
      </c>
      <c r="G3161" s="4" t="s">
        <v>241</v>
      </c>
      <c r="H3161" s="4" t="s">
        <v>15</v>
      </c>
      <c r="I3161" s="4" t="s">
        <v>25</v>
      </c>
      <c r="J3161" s="4" t="s">
        <v>1673</v>
      </c>
      <c r="K3161" s="4" t="s">
        <v>25</v>
      </c>
      <c r="L3161" s="4" t="s">
        <v>3743</v>
      </c>
      <c r="M3161" s="4" t="s">
        <v>3746</v>
      </c>
      <c r="N3161" s="4" t="s">
        <v>3747</v>
      </c>
      <c r="O3161" s="17" t="str">
        <f>INDEX('список ID из СУЭ с должностями'!$A:$F,MATCH(E3161,'список ID из СУЭ с должностями'!$B:$B,0),5)</f>
        <v>НС</v>
      </c>
    </row>
    <row r="3162" spans="1:15" ht="285">
      <c r="A3162" s="3" t="s">
        <v>10</v>
      </c>
      <c r="B3162" s="3" t="s">
        <v>11</v>
      </c>
      <c r="C3162" s="4">
        <v>2026</v>
      </c>
      <c r="D3162" s="5" t="s">
        <v>12</v>
      </c>
      <c r="E3162" s="4">
        <v>433</v>
      </c>
      <c r="F3162" s="4" t="s">
        <v>39</v>
      </c>
      <c r="G3162" s="4" t="s">
        <v>241</v>
      </c>
      <c r="H3162" s="4" t="s">
        <v>15</v>
      </c>
      <c r="I3162" s="4" t="s">
        <v>48</v>
      </c>
      <c r="J3162" s="4" t="s">
        <v>2067</v>
      </c>
      <c r="K3162" s="4" t="s">
        <v>35</v>
      </c>
      <c r="L3162" s="4" t="s">
        <v>3743</v>
      </c>
      <c r="M3162" s="4" t="s">
        <v>3746</v>
      </c>
      <c r="N3162" s="4" t="s">
        <v>3747</v>
      </c>
      <c r="O3162" s="17" t="str">
        <f>INDEX('список ID из СУЭ с должностями'!$A:$F,MATCH(E3162,'список ID из СУЭ с должностями'!$B:$B,0),5)</f>
        <v>НС</v>
      </c>
    </row>
    <row r="3163" spans="1:15" ht="45">
      <c r="A3163" s="3" t="s">
        <v>10</v>
      </c>
      <c r="B3163" s="3" t="s">
        <v>11</v>
      </c>
      <c r="C3163" s="4">
        <v>2026</v>
      </c>
      <c r="D3163" s="5" t="s">
        <v>12</v>
      </c>
      <c r="E3163" s="4">
        <v>433</v>
      </c>
      <c r="F3163" s="4" t="s">
        <v>39</v>
      </c>
      <c r="G3163" s="4" t="s">
        <v>241</v>
      </c>
      <c r="H3163" s="4" t="s">
        <v>41</v>
      </c>
      <c r="I3163" s="4" t="s">
        <v>62</v>
      </c>
      <c r="J3163" s="4" t="s">
        <v>2068</v>
      </c>
      <c r="K3163" s="4" t="s">
        <v>55</v>
      </c>
      <c r="L3163" s="4" t="s">
        <v>3743</v>
      </c>
      <c r="M3163" s="4" t="s">
        <v>3746</v>
      </c>
      <c r="N3163" s="4" t="s">
        <v>3747</v>
      </c>
      <c r="O3163" s="17" t="str">
        <f>INDEX('список ID из СУЭ с должностями'!$A:$F,MATCH(E3163,'список ID из СУЭ с должностями'!$B:$B,0),5)</f>
        <v>НС</v>
      </c>
    </row>
    <row r="3164" spans="1:15" ht="409.5">
      <c r="A3164" s="3" t="s">
        <v>10</v>
      </c>
      <c r="B3164" s="3" t="s">
        <v>11</v>
      </c>
      <c r="C3164" s="4">
        <v>2026</v>
      </c>
      <c r="D3164" s="5" t="s">
        <v>12</v>
      </c>
      <c r="E3164" s="4">
        <v>433</v>
      </c>
      <c r="F3164" s="4" t="s">
        <v>39</v>
      </c>
      <c r="G3164" s="4" t="s">
        <v>241</v>
      </c>
      <c r="H3164" s="4" t="s">
        <v>15</v>
      </c>
      <c r="I3164" s="4" t="s">
        <v>189</v>
      </c>
      <c r="J3164" s="4" t="s">
        <v>2069</v>
      </c>
      <c r="K3164" s="4" t="s">
        <v>66</v>
      </c>
      <c r="L3164" s="4" t="s">
        <v>3743</v>
      </c>
      <c r="M3164" s="4" t="s">
        <v>3746</v>
      </c>
      <c r="N3164" s="4" t="s">
        <v>3747</v>
      </c>
      <c r="O3164" s="17" t="str">
        <f>INDEX('список ID из СУЭ с должностями'!$A:$F,MATCH(E3164,'список ID из СУЭ с должностями'!$B:$B,0),5)</f>
        <v>НС</v>
      </c>
    </row>
    <row r="3165" spans="1:15" ht="45">
      <c r="A3165" s="3" t="s">
        <v>10</v>
      </c>
      <c r="B3165" s="3" t="s">
        <v>11</v>
      </c>
      <c r="C3165" s="4">
        <v>2026</v>
      </c>
      <c r="D3165" s="5" t="s">
        <v>12</v>
      </c>
      <c r="E3165" s="4">
        <v>433</v>
      </c>
      <c r="F3165" s="4" t="s">
        <v>39</v>
      </c>
      <c r="G3165" s="4" t="s">
        <v>241</v>
      </c>
      <c r="H3165" s="4" t="s">
        <v>15</v>
      </c>
      <c r="I3165" s="4" t="s">
        <v>191</v>
      </c>
      <c r="J3165" s="4" t="s">
        <v>200</v>
      </c>
      <c r="K3165" s="4" t="s">
        <v>66</v>
      </c>
      <c r="L3165" s="4" t="s">
        <v>3742</v>
      </c>
      <c r="M3165" s="4" t="s">
        <v>3746</v>
      </c>
      <c r="N3165" s="4" t="s">
        <v>3747</v>
      </c>
      <c r="O3165" s="17" t="str">
        <f>INDEX('список ID из СУЭ с должностями'!$A:$F,MATCH(E3165,'список ID из СУЭ с должностями'!$B:$B,0),5)</f>
        <v>НС</v>
      </c>
    </row>
    <row r="3166" spans="1:15" ht="60">
      <c r="A3166" s="3" t="s">
        <v>10</v>
      </c>
      <c r="B3166" s="3" t="s">
        <v>11</v>
      </c>
      <c r="C3166" s="4">
        <v>2026</v>
      </c>
      <c r="D3166" s="5" t="s">
        <v>12</v>
      </c>
      <c r="E3166" s="4">
        <v>433</v>
      </c>
      <c r="F3166" s="4" t="s">
        <v>39</v>
      </c>
      <c r="G3166" s="4" t="s">
        <v>241</v>
      </c>
      <c r="H3166" s="4" t="s">
        <v>15</v>
      </c>
      <c r="I3166" s="4" t="s">
        <v>2070</v>
      </c>
      <c r="J3166" s="4" t="s">
        <v>2071</v>
      </c>
      <c r="K3166" s="4" t="s">
        <v>52</v>
      </c>
      <c r="L3166" s="4" t="s">
        <v>3743</v>
      </c>
      <c r="M3166" s="4" t="s">
        <v>3746</v>
      </c>
      <c r="N3166" s="4" t="s">
        <v>3747</v>
      </c>
      <c r="O3166" s="17" t="str">
        <f>INDEX('список ID из СУЭ с должностями'!$A:$F,MATCH(E3166,'список ID из СУЭ с должностями'!$B:$B,0),5)</f>
        <v>НС</v>
      </c>
    </row>
    <row r="3167" spans="1:15" ht="60">
      <c r="A3167" s="3" t="s">
        <v>10</v>
      </c>
      <c r="B3167" s="3" t="s">
        <v>11</v>
      </c>
      <c r="C3167" s="4">
        <v>2026</v>
      </c>
      <c r="D3167" s="5" t="s">
        <v>12</v>
      </c>
      <c r="E3167" s="4">
        <v>433</v>
      </c>
      <c r="F3167" s="4" t="s">
        <v>39</v>
      </c>
      <c r="G3167" s="4" t="s">
        <v>241</v>
      </c>
      <c r="H3167" s="4" t="s">
        <v>15</v>
      </c>
      <c r="I3167" s="4" t="s">
        <v>2048</v>
      </c>
      <c r="J3167" s="4" t="s">
        <v>2072</v>
      </c>
      <c r="K3167" s="4" t="s">
        <v>151</v>
      </c>
      <c r="L3167" s="4" t="s">
        <v>3742</v>
      </c>
      <c r="M3167" s="4" t="s">
        <v>3746</v>
      </c>
      <c r="N3167" s="4" t="s">
        <v>3747</v>
      </c>
      <c r="O3167" s="17" t="str">
        <f>INDEX('список ID из СУЭ с должностями'!$A:$F,MATCH(E3167,'список ID из СУЭ с должностями'!$B:$B,0),5)</f>
        <v>НС</v>
      </c>
    </row>
    <row r="3168" spans="1:15" ht="45">
      <c r="A3168" s="3" t="s">
        <v>10</v>
      </c>
      <c r="B3168" s="3" t="s">
        <v>11</v>
      </c>
      <c r="C3168" s="4">
        <v>2026</v>
      </c>
      <c r="D3168" s="5" t="s">
        <v>12</v>
      </c>
      <c r="E3168" s="4">
        <v>433</v>
      </c>
      <c r="F3168" s="4" t="s">
        <v>39</v>
      </c>
      <c r="G3168" s="4" t="s">
        <v>241</v>
      </c>
      <c r="H3168" s="4" t="s">
        <v>21</v>
      </c>
      <c r="I3168" s="4" t="s">
        <v>2073</v>
      </c>
      <c r="J3168" s="4" t="s">
        <v>2074</v>
      </c>
      <c r="K3168" s="4" t="s">
        <v>55</v>
      </c>
      <c r="L3168" s="4" t="s">
        <v>3742</v>
      </c>
      <c r="M3168" s="4" t="s">
        <v>3746</v>
      </c>
      <c r="N3168" s="4" t="s">
        <v>3747</v>
      </c>
      <c r="O3168" s="17" t="str">
        <f>INDEX('список ID из СУЭ с должностями'!$A:$F,MATCH(E3168,'список ID из СУЭ с должностями'!$B:$B,0),5)</f>
        <v>НС</v>
      </c>
    </row>
    <row r="3169" spans="1:15" ht="165">
      <c r="A3169" s="3" t="s">
        <v>10</v>
      </c>
      <c r="B3169" s="3" t="s">
        <v>11</v>
      </c>
      <c r="C3169" s="4">
        <v>2026</v>
      </c>
      <c r="D3169" s="5" t="s">
        <v>12</v>
      </c>
      <c r="E3169" s="4">
        <v>434</v>
      </c>
      <c r="F3169" s="4" t="s">
        <v>851</v>
      </c>
      <c r="G3169" s="4" t="s">
        <v>852</v>
      </c>
      <c r="H3169" s="4" t="s">
        <v>21</v>
      </c>
      <c r="I3169" s="4" t="s">
        <v>806</v>
      </c>
      <c r="J3169" s="4" t="s">
        <v>3170</v>
      </c>
      <c r="K3169" s="4" t="s">
        <v>35</v>
      </c>
      <c r="L3169" s="4" t="s">
        <v>3743</v>
      </c>
      <c r="M3169" s="4" t="s">
        <v>3746</v>
      </c>
      <c r="N3169" s="4" t="s">
        <v>3747</v>
      </c>
      <c r="O3169" s="17">
        <f>INDEX('список ID из СУЭ с должностями'!$A:$F,MATCH(E3169,'список ID из СУЭ с должностями'!$B:$B,0),5)</f>
        <v>0</v>
      </c>
    </row>
    <row r="3170" spans="1:15" ht="165">
      <c r="A3170" s="3" t="s">
        <v>10</v>
      </c>
      <c r="B3170" s="3" t="s">
        <v>11</v>
      </c>
      <c r="C3170" s="4">
        <v>2026</v>
      </c>
      <c r="D3170" s="5" t="s">
        <v>12</v>
      </c>
      <c r="E3170" s="4">
        <v>434</v>
      </c>
      <c r="F3170" s="4" t="s">
        <v>851</v>
      </c>
      <c r="G3170" s="4" t="s">
        <v>852</v>
      </c>
      <c r="H3170" s="4" t="s">
        <v>15</v>
      </c>
      <c r="I3170" s="4" t="s">
        <v>855</v>
      </c>
      <c r="J3170" s="4" t="s">
        <v>856</v>
      </c>
      <c r="K3170" s="4" t="s">
        <v>35</v>
      </c>
      <c r="L3170" s="4" t="s">
        <v>3743</v>
      </c>
      <c r="M3170" s="4" t="s">
        <v>3746</v>
      </c>
      <c r="N3170" s="4" t="s">
        <v>3747</v>
      </c>
      <c r="O3170" s="17">
        <f>INDEX('список ID из СУЭ с должностями'!$A:$F,MATCH(E3170,'список ID из СУЭ с должностями'!$B:$B,0),5)</f>
        <v>0</v>
      </c>
    </row>
    <row r="3171" spans="1:15" ht="195">
      <c r="A3171" s="3" t="s">
        <v>10</v>
      </c>
      <c r="B3171" s="3" t="s">
        <v>11</v>
      </c>
      <c r="C3171" s="4">
        <v>2026</v>
      </c>
      <c r="D3171" s="5" t="s">
        <v>12</v>
      </c>
      <c r="E3171" s="4">
        <v>434</v>
      </c>
      <c r="F3171" s="4" t="s">
        <v>851</v>
      </c>
      <c r="G3171" s="4" t="s">
        <v>852</v>
      </c>
      <c r="H3171" s="4" t="s">
        <v>41</v>
      </c>
      <c r="I3171" s="4" t="s">
        <v>857</v>
      </c>
      <c r="J3171" s="4" t="s">
        <v>3171</v>
      </c>
      <c r="K3171" s="4" t="s">
        <v>35</v>
      </c>
      <c r="L3171" s="4" t="s">
        <v>3743</v>
      </c>
      <c r="M3171" s="4" t="s">
        <v>3746</v>
      </c>
      <c r="N3171" s="4" t="s">
        <v>3747</v>
      </c>
      <c r="O3171" s="17">
        <f>INDEX('список ID из СУЭ с должностями'!$A:$F,MATCH(E3171,'список ID из СУЭ с должностями'!$B:$B,0),5)</f>
        <v>0</v>
      </c>
    </row>
    <row r="3172" spans="1:15" ht="165">
      <c r="A3172" s="3" t="s">
        <v>10</v>
      </c>
      <c r="B3172" s="3" t="s">
        <v>11</v>
      </c>
      <c r="C3172" s="4">
        <v>2026</v>
      </c>
      <c r="D3172" s="5" t="s">
        <v>12</v>
      </c>
      <c r="E3172" s="4">
        <v>434</v>
      </c>
      <c r="F3172" s="4" t="s">
        <v>851</v>
      </c>
      <c r="G3172" s="4" t="s">
        <v>852</v>
      </c>
      <c r="H3172" s="4" t="s">
        <v>15</v>
      </c>
      <c r="I3172" s="4" t="s">
        <v>149</v>
      </c>
      <c r="J3172" s="4" t="s">
        <v>859</v>
      </c>
      <c r="K3172" s="4" t="s">
        <v>52</v>
      </c>
      <c r="L3172" s="4" t="s">
        <v>3743</v>
      </c>
      <c r="M3172" s="4" t="s">
        <v>3746</v>
      </c>
      <c r="N3172" s="4" t="s">
        <v>3747</v>
      </c>
      <c r="O3172" s="17">
        <f>INDEX('список ID из СУЭ с должностями'!$A:$F,MATCH(E3172,'список ID из СУЭ с должностями'!$B:$B,0),5)</f>
        <v>0</v>
      </c>
    </row>
    <row r="3173" spans="1:15" ht="225">
      <c r="A3173" s="3" t="s">
        <v>10</v>
      </c>
      <c r="B3173" s="3" t="s">
        <v>11</v>
      </c>
      <c r="C3173" s="4">
        <v>2026</v>
      </c>
      <c r="D3173" s="5" t="s">
        <v>12</v>
      </c>
      <c r="E3173" s="4">
        <v>434</v>
      </c>
      <c r="F3173" s="4" t="s">
        <v>851</v>
      </c>
      <c r="G3173" s="4" t="s">
        <v>852</v>
      </c>
      <c r="H3173" s="4" t="s">
        <v>15</v>
      </c>
      <c r="I3173" s="4" t="s">
        <v>303</v>
      </c>
      <c r="J3173" s="4" t="s">
        <v>860</v>
      </c>
      <c r="K3173" s="4" t="s">
        <v>52</v>
      </c>
      <c r="L3173" s="4" t="s">
        <v>3743</v>
      </c>
      <c r="M3173" s="4" t="s">
        <v>3746</v>
      </c>
      <c r="N3173" s="4" t="s">
        <v>3747</v>
      </c>
      <c r="O3173" s="17">
        <f>INDEX('список ID из СУЭ с должностями'!$A:$F,MATCH(E3173,'список ID из СУЭ с должностями'!$B:$B,0),5)</f>
        <v>0</v>
      </c>
    </row>
    <row r="3174" spans="1:15" ht="60">
      <c r="A3174" s="3" t="s">
        <v>10</v>
      </c>
      <c r="B3174" s="3" t="s">
        <v>11</v>
      </c>
      <c r="C3174" s="4">
        <v>2026</v>
      </c>
      <c r="D3174" s="5" t="s">
        <v>12</v>
      </c>
      <c r="E3174" s="4">
        <v>435</v>
      </c>
      <c r="F3174" s="4" t="s">
        <v>239</v>
      </c>
      <c r="G3174" s="4" t="s">
        <v>281</v>
      </c>
      <c r="H3174" s="4" t="s">
        <v>21</v>
      </c>
      <c r="I3174" s="4" t="s">
        <v>282</v>
      </c>
      <c r="J3174" s="4" t="s">
        <v>3172</v>
      </c>
      <c r="K3174" s="4" t="s">
        <v>25</v>
      </c>
      <c r="L3174" s="4" t="s">
        <v>3743</v>
      </c>
      <c r="M3174" s="4" t="s">
        <v>3746</v>
      </c>
      <c r="N3174" s="4" t="s">
        <v>3747</v>
      </c>
      <c r="O3174" s="17" t="str">
        <f>INDEX('список ID из СУЭ с должностями'!$A:$F,MATCH(E3174,'список ID из СУЭ с должностями'!$B:$B,0),5)</f>
        <v>ИПП</v>
      </c>
    </row>
    <row r="3175" spans="1:15" ht="60">
      <c r="A3175" s="3" t="s">
        <v>10</v>
      </c>
      <c r="B3175" s="3" t="s">
        <v>11</v>
      </c>
      <c r="C3175" s="4">
        <v>2026</v>
      </c>
      <c r="D3175" s="5" t="s">
        <v>12</v>
      </c>
      <c r="E3175" s="4">
        <v>435</v>
      </c>
      <c r="F3175" s="4" t="s">
        <v>239</v>
      </c>
      <c r="G3175" s="4" t="s">
        <v>281</v>
      </c>
      <c r="H3175" s="4" t="s">
        <v>15</v>
      </c>
      <c r="I3175" s="4" t="s">
        <v>298</v>
      </c>
      <c r="J3175" s="4" t="s">
        <v>299</v>
      </c>
      <c r="K3175" s="4" t="s">
        <v>66</v>
      </c>
      <c r="L3175" s="4" t="s">
        <v>3742</v>
      </c>
      <c r="M3175" s="4" t="s">
        <v>3746</v>
      </c>
      <c r="N3175" s="4" t="s">
        <v>3747</v>
      </c>
      <c r="O3175" s="17" t="str">
        <f>INDEX('список ID из СУЭ с должностями'!$A:$F,MATCH(E3175,'список ID из СУЭ с должностями'!$B:$B,0),5)</f>
        <v>ИПП</v>
      </c>
    </row>
    <row r="3176" spans="1:15" ht="75">
      <c r="A3176" s="3" t="s">
        <v>10</v>
      </c>
      <c r="B3176" s="3" t="s">
        <v>11</v>
      </c>
      <c r="C3176" s="4">
        <v>2026</v>
      </c>
      <c r="D3176" s="5" t="s">
        <v>12</v>
      </c>
      <c r="E3176" s="4">
        <v>435</v>
      </c>
      <c r="F3176" s="4" t="s">
        <v>239</v>
      </c>
      <c r="G3176" s="4" t="s">
        <v>281</v>
      </c>
      <c r="H3176" s="4" t="s">
        <v>15</v>
      </c>
      <c r="I3176" s="4" t="s">
        <v>286</v>
      </c>
      <c r="J3176" s="4" t="s">
        <v>287</v>
      </c>
      <c r="K3176" s="4" t="s">
        <v>20</v>
      </c>
      <c r="L3176" s="4" t="s">
        <v>3743</v>
      </c>
      <c r="M3176" s="4" t="s">
        <v>3746</v>
      </c>
      <c r="N3176" s="4" t="s">
        <v>3747</v>
      </c>
      <c r="O3176" s="17" t="str">
        <f>INDEX('список ID из СУЭ с должностями'!$A:$F,MATCH(E3176,'список ID из СУЭ с должностями'!$B:$B,0),5)</f>
        <v>ИПП</v>
      </c>
    </row>
    <row r="3177" spans="1:15" ht="375">
      <c r="A3177" s="3" t="s">
        <v>10</v>
      </c>
      <c r="B3177" s="3" t="s">
        <v>11</v>
      </c>
      <c r="C3177" s="4">
        <v>2026</v>
      </c>
      <c r="D3177" s="5" t="s">
        <v>12</v>
      </c>
      <c r="E3177" s="4">
        <v>435</v>
      </c>
      <c r="F3177" s="4" t="s">
        <v>239</v>
      </c>
      <c r="G3177" s="4" t="s">
        <v>281</v>
      </c>
      <c r="H3177" s="4" t="s">
        <v>15</v>
      </c>
      <c r="I3177" s="4" t="s">
        <v>296</v>
      </c>
      <c r="J3177" s="4" t="s">
        <v>297</v>
      </c>
      <c r="K3177" s="4" t="s">
        <v>35</v>
      </c>
      <c r="L3177" s="4" t="s">
        <v>3743</v>
      </c>
      <c r="M3177" s="4" t="s">
        <v>3746</v>
      </c>
      <c r="N3177" s="4" t="s">
        <v>3747</v>
      </c>
      <c r="O3177" s="17" t="str">
        <f>INDEX('список ID из СУЭ с должностями'!$A:$F,MATCH(E3177,'список ID из СУЭ с должностями'!$B:$B,0),5)</f>
        <v>ИПП</v>
      </c>
    </row>
    <row r="3178" spans="1:15" ht="240">
      <c r="A3178" s="3" t="s">
        <v>10</v>
      </c>
      <c r="B3178" s="3" t="s">
        <v>11</v>
      </c>
      <c r="C3178" s="4">
        <v>2026</v>
      </c>
      <c r="D3178" s="5" t="s">
        <v>12</v>
      </c>
      <c r="E3178" s="4">
        <v>435</v>
      </c>
      <c r="F3178" s="4" t="s">
        <v>239</v>
      </c>
      <c r="G3178" s="4" t="s">
        <v>281</v>
      </c>
      <c r="H3178" s="4" t="s">
        <v>15</v>
      </c>
      <c r="I3178" s="4" t="s">
        <v>243</v>
      </c>
      <c r="J3178" s="4" t="s">
        <v>1105</v>
      </c>
      <c r="K3178" s="4" t="s">
        <v>38</v>
      </c>
      <c r="L3178" s="4" t="s">
        <v>3743</v>
      </c>
      <c r="M3178" s="4" t="s">
        <v>3746</v>
      </c>
      <c r="N3178" s="4" t="s">
        <v>3747</v>
      </c>
      <c r="O3178" s="17" t="str">
        <f>INDEX('список ID из СУЭ с должностями'!$A:$F,MATCH(E3178,'список ID из СУЭ с должностями'!$B:$B,0),5)</f>
        <v>ИПП</v>
      </c>
    </row>
    <row r="3179" spans="1:15" ht="60">
      <c r="A3179" s="3" t="s">
        <v>10</v>
      </c>
      <c r="B3179" s="3" t="s">
        <v>11</v>
      </c>
      <c r="C3179" s="4">
        <v>2026</v>
      </c>
      <c r="D3179" s="5" t="s">
        <v>12</v>
      </c>
      <c r="E3179" s="4">
        <v>435</v>
      </c>
      <c r="F3179" s="4" t="s">
        <v>239</v>
      </c>
      <c r="G3179" s="4" t="s">
        <v>281</v>
      </c>
      <c r="H3179" s="4" t="s">
        <v>21</v>
      </c>
      <c r="I3179" s="4" t="s">
        <v>3173</v>
      </c>
      <c r="J3179" s="4" t="s">
        <v>182</v>
      </c>
      <c r="K3179" s="4" t="s">
        <v>25</v>
      </c>
      <c r="L3179" s="4" t="s">
        <v>3742</v>
      </c>
      <c r="M3179" s="4" t="s">
        <v>3746</v>
      </c>
      <c r="N3179" s="4" t="s">
        <v>3747</v>
      </c>
      <c r="O3179" s="17" t="str">
        <f>INDEX('список ID из СУЭ с должностями'!$A:$F,MATCH(E3179,'список ID из СУЭ с должностями'!$B:$B,0),5)</f>
        <v>ИПП</v>
      </c>
    </row>
    <row r="3180" spans="1:15" ht="60">
      <c r="A3180" s="3" t="s">
        <v>10</v>
      </c>
      <c r="B3180" s="3" t="s">
        <v>11</v>
      </c>
      <c r="C3180" s="4">
        <v>2026</v>
      </c>
      <c r="D3180" s="5" t="s">
        <v>12</v>
      </c>
      <c r="E3180" s="4">
        <v>435</v>
      </c>
      <c r="F3180" s="4" t="s">
        <v>239</v>
      </c>
      <c r="G3180" s="4" t="s">
        <v>281</v>
      </c>
      <c r="H3180" s="4" t="s">
        <v>15</v>
      </c>
      <c r="I3180" s="4" t="s">
        <v>1108</v>
      </c>
      <c r="J3180" s="4" t="s">
        <v>196</v>
      </c>
      <c r="K3180" s="4" t="s">
        <v>38</v>
      </c>
      <c r="L3180" s="4" t="s">
        <v>3742</v>
      </c>
      <c r="M3180" s="4" t="s">
        <v>3746</v>
      </c>
      <c r="N3180" s="4" t="s">
        <v>3747</v>
      </c>
      <c r="O3180" s="17" t="str">
        <f>INDEX('список ID из СУЭ с должностями'!$A:$F,MATCH(E3180,'список ID из СУЭ с должностями'!$B:$B,0),5)</f>
        <v>ИПП</v>
      </c>
    </row>
    <row r="3181" spans="1:15" ht="120">
      <c r="A3181" s="3" t="s">
        <v>10</v>
      </c>
      <c r="B3181" s="3" t="s">
        <v>11</v>
      </c>
      <c r="C3181" s="4">
        <v>2026</v>
      </c>
      <c r="D3181" s="5" t="s">
        <v>12</v>
      </c>
      <c r="E3181" s="4">
        <v>436</v>
      </c>
      <c r="F3181" s="4" t="s">
        <v>2426</v>
      </c>
      <c r="G3181" s="4" t="s">
        <v>2427</v>
      </c>
      <c r="H3181" s="4" t="s">
        <v>41</v>
      </c>
      <c r="I3181" s="4" t="s">
        <v>2436</v>
      </c>
      <c r="J3181" s="4" t="s">
        <v>2437</v>
      </c>
      <c r="K3181" s="4" t="s">
        <v>66</v>
      </c>
      <c r="L3181" s="4" t="s">
        <v>3743</v>
      </c>
      <c r="M3181" s="4" t="s">
        <v>3746</v>
      </c>
      <c r="N3181" s="4" t="s">
        <v>3747</v>
      </c>
      <c r="O3181" s="17">
        <f>INDEX('список ID из СУЭ с должностями'!$A:$F,MATCH(E3181,'список ID из СУЭ с должностями'!$B:$B,0),5)</f>
        <v>0</v>
      </c>
    </row>
    <row r="3182" spans="1:15" ht="120">
      <c r="A3182" s="3" t="s">
        <v>10</v>
      </c>
      <c r="B3182" s="3" t="s">
        <v>11</v>
      </c>
      <c r="C3182" s="4">
        <v>2026</v>
      </c>
      <c r="D3182" s="5" t="s">
        <v>12</v>
      </c>
      <c r="E3182" s="4">
        <v>436</v>
      </c>
      <c r="F3182" s="4" t="s">
        <v>2426</v>
      </c>
      <c r="G3182" s="4" t="s">
        <v>2427</v>
      </c>
      <c r="H3182" s="4" t="s">
        <v>41</v>
      </c>
      <c r="I3182" s="4" t="s">
        <v>2430</v>
      </c>
      <c r="J3182" s="4" t="s">
        <v>2431</v>
      </c>
      <c r="K3182" s="4" t="s">
        <v>20</v>
      </c>
      <c r="L3182" s="4" t="s">
        <v>3743</v>
      </c>
      <c r="M3182" s="4" t="s">
        <v>3746</v>
      </c>
      <c r="N3182" s="4" t="s">
        <v>3747</v>
      </c>
      <c r="O3182" s="17">
        <f>INDEX('список ID из СУЭ с должностями'!$A:$F,MATCH(E3182,'список ID из СУЭ с должностями'!$B:$B,0),5)</f>
        <v>0</v>
      </c>
    </row>
    <row r="3183" spans="1:15" ht="120">
      <c r="A3183" s="3" t="s">
        <v>10</v>
      </c>
      <c r="B3183" s="3" t="s">
        <v>11</v>
      </c>
      <c r="C3183" s="4">
        <v>2026</v>
      </c>
      <c r="D3183" s="5" t="s">
        <v>12</v>
      </c>
      <c r="E3183" s="4">
        <v>436</v>
      </c>
      <c r="F3183" s="4" t="s">
        <v>2426</v>
      </c>
      <c r="G3183" s="4" t="s">
        <v>2427</v>
      </c>
      <c r="H3183" s="4" t="s">
        <v>21</v>
      </c>
      <c r="I3183" s="4" t="s">
        <v>2432</v>
      </c>
      <c r="J3183" s="4" t="s">
        <v>2433</v>
      </c>
      <c r="K3183" s="4" t="s">
        <v>25</v>
      </c>
      <c r="L3183" s="4" t="s">
        <v>3743</v>
      </c>
      <c r="M3183" s="4" t="s">
        <v>3746</v>
      </c>
      <c r="N3183" s="4" t="s">
        <v>3747</v>
      </c>
      <c r="O3183" s="17">
        <f>INDEX('список ID из СУЭ с должностями'!$A:$F,MATCH(E3183,'список ID из СУЭ с должностями'!$B:$B,0),5)</f>
        <v>0</v>
      </c>
    </row>
    <row r="3184" spans="1:15" ht="120">
      <c r="A3184" s="3" t="s">
        <v>10</v>
      </c>
      <c r="B3184" s="3" t="s">
        <v>11</v>
      </c>
      <c r="C3184" s="4">
        <v>2026</v>
      </c>
      <c r="D3184" s="5" t="s">
        <v>12</v>
      </c>
      <c r="E3184" s="4">
        <v>436</v>
      </c>
      <c r="F3184" s="4" t="s">
        <v>2426</v>
      </c>
      <c r="G3184" s="4" t="s">
        <v>2427</v>
      </c>
      <c r="H3184" s="4" t="s">
        <v>15</v>
      </c>
      <c r="I3184" s="4" t="s">
        <v>2434</v>
      </c>
      <c r="J3184" s="4" t="s">
        <v>2435</v>
      </c>
      <c r="K3184" s="4" t="s">
        <v>151</v>
      </c>
      <c r="L3184" s="4" t="s">
        <v>3743</v>
      </c>
      <c r="M3184" s="4" t="s">
        <v>3746</v>
      </c>
      <c r="N3184" s="4" t="s">
        <v>3747</v>
      </c>
      <c r="O3184" s="17">
        <f>INDEX('список ID из СУЭ с должностями'!$A:$F,MATCH(E3184,'список ID из СУЭ с должностями'!$B:$B,0),5)</f>
        <v>0</v>
      </c>
    </row>
    <row r="3185" spans="1:15" ht="120">
      <c r="A3185" s="3" t="s">
        <v>10</v>
      </c>
      <c r="B3185" s="3" t="s">
        <v>11</v>
      </c>
      <c r="C3185" s="4">
        <v>2026</v>
      </c>
      <c r="D3185" s="5" t="s">
        <v>12</v>
      </c>
      <c r="E3185" s="4">
        <v>436</v>
      </c>
      <c r="F3185" s="4" t="s">
        <v>2426</v>
      </c>
      <c r="G3185" s="4" t="s">
        <v>2427</v>
      </c>
      <c r="H3185" s="4" t="s">
        <v>15</v>
      </c>
      <c r="I3185" s="4" t="s">
        <v>460</v>
      </c>
      <c r="J3185" s="4" t="s">
        <v>2428</v>
      </c>
      <c r="K3185" s="4" t="s">
        <v>38</v>
      </c>
      <c r="L3185" s="4" t="s">
        <v>3743</v>
      </c>
      <c r="M3185" s="4" t="s">
        <v>3746</v>
      </c>
      <c r="N3185" s="4" t="s">
        <v>3747</v>
      </c>
      <c r="O3185" s="17">
        <f>INDEX('список ID из СУЭ с должностями'!$A:$F,MATCH(E3185,'список ID из СУЭ с должностями'!$B:$B,0),5)</f>
        <v>0</v>
      </c>
    </row>
    <row r="3186" spans="1:15" ht="195">
      <c r="A3186" s="3" t="s">
        <v>10</v>
      </c>
      <c r="B3186" s="3" t="s">
        <v>11</v>
      </c>
      <c r="C3186" s="4">
        <v>2026</v>
      </c>
      <c r="D3186" s="5" t="s">
        <v>12</v>
      </c>
      <c r="E3186" s="4">
        <v>436</v>
      </c>
      <c r="F3186" s="4" t="s">
        <v>2426</v>
      </c>
      <c r="G3186" s="4" t="s">
        <v>2427</v>
      </c>
      <c r="H3186" s="4" t="s">
        <v>41</v>
      </c>
      <c r="I3186" s="4" t="s">
        <v>147</v>
      </c>
      <c r="J3186" s="4" t="s">
        <v>2438</v>
      </c>
      <c r="K3186" s="4" t="s">
        <v>35</v>
      </c>
      <c r="L3186" s="4" t="s">
        <v>3743</v>
      </c>
      <c r="M3186" s="4" t="s">
        <v>3746</v>
      </c>
      <c r="N3186" s="4" t="s">
        <v>3747</v>
      </c>
      <c r="O3186" s="17">
        <f>INDEX('список ID из СУЭ с должностями'!$A:$F,MATCH(E3186,'список ID из СУЭ с должностями'!$B:$B,0),5)</f>
        <v>0</v>
      </c>
    </row>
    <row r="3187" spans="1:15" ht="315">
      <c r="A3187" s="3" t="s">
        <v>10</v>
      </c>
      <c r="B3187" s="3" t="s">
        <v>11</v>
      </c>
      <c r="C3187" s="4">
        <v>2026</v>
      </c>
      <c r="D3187" s="5" t="s">
        <v>12</v>
      </c>
      <c r="E3187" s="4">
        <v>436</v>
      </c>
      <c r="F3187" s="4" t="s">
        <v>2426</v>
      </c>
      <c r="G3187" s="4" t="s">
        <v>2427</v>
      </c>
      <c r="H3187" s="4" t="s">
        <v>15</v>
      </c>
      <c r="I3187" s="4" t="s">
        <v>2439</v>
      </c>
      <c r="J3187" s="4" t="s">
        <v>2440</v>
      </c>
      <c r="K3187" s="4" t="s">
        <v>151</v>
      </c>
      <c r="L3187" s="4" t="s">
        <v>3743</v>
      </c>
      <c r="M3187" s="4" t="s">
        <v>3746</v>
      </c>
      <c r="N3187" s="4" t="s">
        <v>3747</v>
      </c>
      <c r="O3187" s="17">
        <f>INDEX('список ID из СУЭ с должностями'!$A:$F,MATCH(E3187,'список ID из СУЭ с должностями'!$B:$B,0),5)</f>
        <v>0</v>
      </c>
    </row>
    <row r="3188" spans="1:15" ht="135">
      <c r="A3188" s="3" t="s">
        <v>10</v>
      </c>
      <c r="B3188" s="3" t="s">
        <v>11</v>
      </c>
      <c r="C3188" s="4">
        <v>2026</v>
      </c>
      <c r="D3188" s="5" t="s">
        <v>12</v>
      </c>
      <c r="E3188" s="4">
        <v>437</v>
      </c>
      <c r="F3188" s="4" t="s">
        <v>2472</v>
      </c>
      <c r="G3188" s="4" t="s">
        <v>2429</v>
      </c>
      <c r="H3188" s="4" t="s">
        <v>15</v>
      </c>
      <c r="I3188" s="4" t="s">
        <v>460</v>
      </c>
      <c r="J3188" s="4" t="s">
        <v>3174</v>
      </c>
      <c r="K3188" s="4" t="s">
        <v>38</v>
      </c>
      <c r="L3188" s="4" t="s">
        <v>3743</v>
      </c>
      <c r="M3188" s="4" t="s">
        <v>3746</v>
      </c>
      <c r="N3188" s="4" t="s">
        <v>3747</v>
      </c>
      <c r="O3188" s="17">
        <f>INDEX('список ID из СУЭ с должностями'!$A:$F,MATCH(E3188,'список ID из СУЭ с должностями'!$B:$B,0),5)</f>
        <v>0</v>
      </c>
    </row>
    <row r="3189" spans="1:15" ht="180">
      <c r="A3189" s="3" t="s">
        <v>10</v>
      </c>
      <c r="B3189" s="3" t="s">
        <v>11</v>
      </c>
      <c r="C3189" s="4">
        <v>2026</v>
      </c>
      <c r="D3189" s="5" t="s">
        <v>12</v>
      </c>
      <c r="E3189" s="4">
        <v>437</v>
      </c>
      <c r="F3189" s="4" t="s">
        <v>2472</v>
      </c>
      <c r="G3189" s="4" t="s">
        <v>2429</v>
      </c>
      <c r="H3189" s="4" t="s">
        <v>21</v>
      </c>
      <c r="I3189" s="4" t="s">
        <v>2473</v>
      </c>
      <c r="J3189" s="4" t="s">
        <v>3175</v>
      </c>
      <c r="K3189" s="4" t="s">
        <v>20</v>
      </c>
      <c r="L3189" s="4" t="s">
        <v>3743</v>
      </c>
      <c r="M3189" s="4" t="s">
        <v>3746</v>
      </c>
      <c r="N3189" s="4" t="s">
        <v>3747</v>
      </c>
      <c r="O3189" s="17">
        <f>INDEX('список ID из СУЭ с должностями'!$A:$F,MATCH(E3189,'список ID из СУЭ с должностями'!$B:$B,0),5)</f>
        <v>0</v>
      </c>
    </row>
    <row r="3190" spans="1:15" ht="135">
      <c r="A3190" s="3" t="s">
        <v>10</v>
      </c>
      <c r="B3190" s="3" t="s">
        <v>11</v>
      </c>
      <c r="C3190" s="4">
        <v>2026</v>
      </c>
      <c r="D3190" s="5" t="s">
        <v>12</v>
      </c>
      <c r="E3190" s="4">
        <v>437</v>
      </c>
      <c r="F3190" s="4" t="s">
        <v>2472</v>
      </c>
      <c r="G3190" s="4" t="s">
        <v>2429</v>
      </c>
      <c r="H3190" s="4" t="s">
        <v>21</v>
      </c>
      <c r="I3190" s="4" t="s">
        <v>2432</v>
      </c>
      <c r="J3190" s="4" t="s">
        <v>3176</v>
      </c>
      <c r="K3190" s="4" t="s">
        <v>25</v>
      </c>
      <c r="L3190" s="4" t="s">
        <v>3743</v>
      </c>
      <c r="M3190" s="4" t="s">
        <v>3746</v>
      </c>
      <c r="N3190" s="4" t="s">
        <v>3747</v>
      </c>
      <c r="O3190" s="17">
        <f>INDEX('список ID из СУЭ с должностями'!$A:$F,MATCH(E3190,'список ID из СУЭ с должностями'!$B:$B,0),5)</f>
        <v>0</v>
      </c>
    </row>
    <row r="3191" spans="1:15" ht="135">
      <c r="A3191" s="3" t="s">
        <v>10</v>
      </c>
      <c r="B3191" s="3" t="s">
        <v>11</v>
      </c>
      <c r="C3191" s="4">
        <v>2026</v>
      </c>
      <c r="D3191" s="5" t="s">
        <v>12</v>
      </c>
      <c r="E3191" s="4">
        <v>437</v>
      </c>
      <c r="F3191" s="4" t="s">
        <v>2472</v>
      </c>
      <c r="G3191" s="4" t="s">
        <v>2429</v>
      </c>
      <c r="H3191" s="4" t="s">
        <v>15</v>
      </c>
      <c r="I3191" s="4" t="s">
        <v>358</v>
      </c>
      <c r="J3191" s="4" t="s">
        <v>3177</v>
      </c>
      <c r="K3191" s="4" t="s">
        <v>151</v>
      </c>
      <c r="L3191" s="4" t="s">
        <v>3743</v>
      </c>
      <c r="M3191" s="4" t="s">
        <v>3746</v>
      </c>
      <c r="N3191" s="4" t="s">
        <v>3747</v>
      </c>
      <c r="O3191" s="17">
        <f>INDEX('список ID из СУЭ с должностями'!$A:$F,MATCH(E3191,'список ID из СУЭ с должностями'!$B:$B,0),5)</f>
        <v>0</v>
      </c>
    </row>
    <row r="3192" spans="1:15" ht="165">
      <c r="A3192" s="3" t="s">
        <v>10</v>
      </c>
      <c r="B3192" s="3" t="s">
        <v>11</v>
      </c>
      <c r="C3192" s="4">
        <v>2026</v>
      </c>
      <c r="D3192" s="5" t="s">
        <v>12</v>
      </c>
      <c r="E3192" s="4">
        <v>437</v>
      </c>
      <c r="F3192" s="4" t="s">
        <v>2472</v>
      </c>
      <c r="G3192" s="4" t="s">
        <v>2429</v>
      </c>
      <c r="H3192" s="4" t="s">
        <v>15</v>
      </c>
      <c r="I3192" s="4" t="s">
        <v>147</v>
      </c>
      <c r="J3192" s="4" t="s">
        <v>3178</v>
      </c>
      <c r="K3192" s="4" t="s">
        <v>35</v>
      </c>
      <c r="L3192" s="4" t="s">
        <v>3743</v>
      </c>
      <c r="M3192" s="4" t="s">
        <v>3746</v>
      </c>
      <c r="N3192" s="4" t="s">
        <v>3747</v>
      </c>
      <c r="O3192" s="17">
        <f>INDEX('список ID из СУЭ с должностями'!$A:$F,MATCH(E3192,'список ID из СУЭ с должностями'!$B:$B,0),5)</f>
        <v>0</v>
      </c>
    </row>
    <row r="3193" spans="1:15" ht="195">
      <c r="A3193" s="3" t="s">
        <v>10</v>
      </c>
      <c r="B3193" s="3" t="s">
        <v>11</v>
      </c>
      <c r="C3193" s="4">
        <v>2026</v>
      </c>
      <c r="D3193" s="5" t="s">
        <v>12</v>
      </c>
      <c r="E3193" s="4">
        <v>437</v>
      </c>
      <c r="F3193" s="4" t="s">
        <v>2472</v>
      </c>
      <c r="G3193" s="4" t="s">
        <v>2429</v>
      </c>
      <c r="H3193" s="4" t="s">
        <v>15</v>
      </c>
      <c r="I3193" s="4" t="s">
        <v>303</v>
      </c>
      <c r="J3193" s="4" t="s">
        <v>3179</v>
      </c>
      <c r="K3193" s="4" t="s">
        <v>151</v>
      </c>
      <c r="L3193" s="4" t="s">
        <v>3743</v>
      </c>
      <c r="M3193" s="4" t="s">
        <v>3746</v>
      </c>
      <c r="N3193" s="4" t="s">
        <v>3747</v>
      </c>
      <c r="O3193" s="17">
        <f>INDEX('список ID из СУЭ с должностями'!$A:$F,MATCH(E3193,'список ID из СУЭ с должностями'!$B:$B,0),5)</f>
        <v>0</v>
      </c>
    </row>
    <row r="3194" spans="1:15" ht="135">
      <c r="A3194" s="3" t="s">
        <v>10</v>
      </c>
      <c r="B3194" s="3" t="s">
        <v>11</v>
      </c>
      <c r="C3194" s="4">
        <v>2026</v>
      </c>
      <c r="D3194" s="5" t="s">
        <v>12</v>
      </c>
      <c r="E3194" s="4">
        <v>437</v>
      </c>
      <c r="F3194" s="4" t="s">
        <v>2472</v>
      </c>
      <c r="G3194" s="4" t="s">
        <v>2429</v>
      </c>
      <c r="H3194" s="4" t="s">
        <v>15</v>
      </c>
      <c r="I3194" s="4" t="s">
        <v>149</v>
      </c>
      <c r="J3194" s="4" t="s">
        <v>3180</v>
      </c>
      <c r="K3194" s="4" t="s">
        <v>151</v>
      </c>
      <c r="L3194" s="4" t="s">
        <v>3743</v>
      </c>
      <c r="M3194" s="4" t="s">
        <v>3746</v>
      </c>
      <c r="N3194" s="4" t="s">
        <v>3747</v>
      </c>
      <c r="O3194" s="17">
        <f>INDEX('список ID из СУЭ с должностями'!$A:$F,MATCH(E3194,'список ID из СУЭ с должностями'!$B:$B,0),5)</f>
        <v>0</v>
      </c>
    </row>
    <row r="3195" spans="1:15" ht="90">
      <c r="A3195" s="3" t="s">
        <v>10</v>
      </c>
      <c r="B3195" s="3" t="s">
        <v>11</v>
      </c>
      <c r="C3195" s="4">
        <v>2026</v>
      </c>
      <c r="D3195" s="5" t="s">
        <v>12</v>
      </c>
      <c r="E3195" s="4">
        <v>438</v>
      </c>
      <c r="F3195" s="4" t="s">
        <v>766</v>
      </c>
      <c r="G3195" s="4" t="s">
        <v>725</v>
      </c>
      <c r="H3195" s="4" t="s">
        <v>15</v>
      </c>
      <c r="I3195" s="4" t="s">
        <v>767</v>
      </c>
      <c r="J3195" s="4" t="s">
        <v>196</v>
      </c>
      <c r="K3195" s="4" t="s">
        <v>30</v>
      </c>
      <c r="L3195" s="4" t="s">
        <v>3742</v>
      </c>
      <c r="M3195" s="4" t="s">
        <v>3746</v>
      </c>
      <c r="N3195" s="4" t="s">
        <v>3747</v>
      </c>
      <c r="O3195" s="17">
        <f>INDEX('список ID из СУЭ с должностями'!$A:$F,MATCH(E3195,'список ID из СУЭ с должностями'!$B:$B,0),5)</f>
        <v>0</v>
      </c>
    </row>
    <row r="3196" spans="1:15" ht="90">
      <c r="A3196" s="3" t="s">
        <v>10</v>
      </c>
      <c r="B3196" s="3" t="s">
        <v>11</v>
      </c>
      <c r="C3196" s="4">
        <v>2026</v>
      </c>
      <c r="D3196" s="5" t="s">
        <v>12</v>
      </c>
      <c r="E3196" s="4">
        <v>438</v>
      </c>
      <c r="F3196" s="4" t="s">
        <v>766</v>
      </c>
      <c r="G3196" s="4" t="s">
        <v>725</v>
      </c>
      <c r="H3196" s="4" t="s">
        <v>15</v>
      </c>
      <c r="I3196" s="4" t="s">
        <v>768</v>
      </c>
      <c r="J3196" s="4" t="s">
        <v>182</v>
      </c>
      <c r="K3196" s="4" t="s">
        <v>30</v>
      </c>
      <c r="L3196" s="4" t="s">
        <v>3742</v>
      </c>
      <c r="M3196" s="4" t="s">
        <v>3746</v>
      </c>
      <c r="N3196" s="4" t="s">
        <v>3747</v>
      </c>
      <c r="O3196" s="17">
        <f>INDEX('список ID из СУЭ с должностями'!$A:$F,MATCH(E3196,'список ID из СУЭ с должностями'!$B:$B,0),5)</f>
        <v>0</v>
      </c>
    </row>
    <row r="3197" spans="1:15" ht="90">
      <c r="A3197" s="3" t="s">
        <v>10</v>
      </c>
      <c r="B3197" s="3" t="s">
        <v>11</v>
      </c>
      <c r="C3197" s="4">
        <v>2026</v>
      </c>
      <c r="D3197" s="5" t="s">
        <v>12</v>
      </c>
      <c r="E3197" s="4">
        <v>438</v>
      </c>
      <c r="F3197" s="4" t="s">
        <v>766</v>
      </c>
      <c r="G3197" s="4" t="s">
        <v>725</v>
      </c>
      <c r="H3197" s="4" t="s">
        <v>15</v>
      </c>
      <c r="I3197" s="4" t="s">
        <v>769</v>
      </c>
      <c r="J3197" s="4" t="s">
        <v>182</v>
      </c>
      <c r="K3197" s="4" t="s">
        <v>30</v>
      </c>
      <c r="L3197" s="4" t="s">
        <v>3742</v>
      </c>
      <c r="M3197" s="4" t="s">
        <v>3746</v>
      </c>
      <c r="N3197" s="4" t="s">
        <v>3747</v>
      </c>
      <c r="O3197" s="17">
        <f>INDEX('список ID из СУЭ с должностями'!$A:$F,MATCH(E3197,'список ID из СУЭ с должностями'!$B:$B,0),5)</f>
        <v>0</v>
      </c>
    </row>
    <row r="3198" spans="1:15" ht="90">
      <c r="A3198" s="3" t="s">
        <v>10</v>
      </c>
      <c r="B3198" s="3" t="s">
        <v>11</v>
      </c>
      <c r="C3198" s="4">
        <v>2026</v>
      </c>
      <c r="D3198" s="5" t="s">
        <v>12</v>
      </c>
      <c r="E3198" s="4">
        <v>438</v>
      </c>
      <c r="F3198" s="4" t="s">
        <v>766</v>
      </c>
      <c r="G3198" s="4" t="s">
        <v>725</v>
      </c>
      <c r="H3198" s="4" t="s">
        <v>15</v>
      </c>
      <c r="I3198" s="4" t="s">
        <v>770</v>
      </c>
      <c r="J3198" s="4" t="s">
        <v>771</v>
      </c>
      <c r="K3198" s="4" t="s">
        <v>35</v>
      </c>
      <c r="L3198" s="4" t="s">
        <v>3742</v>
      </c>
      <c r="M3198" s="4" t="s">
        <v>3746</v>
      </c>
      <c r="N3198" s="4" t="s">
        <v>3747</v>
      </c>
      <c r="O3198" s="17">
        <f>INDEX('список ID из СУЭ с должностями'!$A:$F,MATCH(E3198,'список ID из СУЭ с должностями'!$B:$B,0),5)</f>
        <v>0</v>
      </c>
    </row>
    <row r="3199" spans="1:15" ht="105">
      <c r="A3199" s="3" t="s">
        <v>10</v>
      </c>
      <c r="B3199" s="3" t="s">
        <v>11</v>
      </c>
      <c r="C3199" s="4">
        <v>2026</v>
      </c>
      <c r="D3199" s="5" t="s">
        <v>12</v>
      </c>
      <c r="E3199" s="4">
        <v>438</v>
      </c>
      <c r="F3199" s="4" t="s">
        <v>766</v>
      </c>
      <c r="G3199" s="4" t="s">
        <v>725</v>
      </c>
      <c r="H3199" s="4" t="s">
        <v>15</v>
      </c>
      <c r="I3199" s="4" t="s">
        <v>772</v>
      </c>
      <c r="J3199" s="4" t="s">
        <v>773</v>
      </c>
      <c r="K3199" s="4" t="s">
        <v>30</v>
      </c>
      <c r="L3199" s="4" t="s">
        <v>3743</v>
      </c>
      <c r="M3199" s="4" t="s">
        <v>3746</v>
      </c>
      <c r="N3199" s="4" t="s">
        <v>3747</v>
      </c>
      <c r="O3199" s="17">
        <f>INDEX('список ID из СУЭ с должностями'!$A:$F,MATCH(E3199,'список ID из СУЭ с должностями'!$B:$B,0),5)</f>
        <v>0</v>
      </c>
    </row>
    <row r="3200" spans="1:15" ht="90">
      <c r="A3200" s="3" t="s">
        <v>10</v>
      </c>
      <c r="B3200" s="3" t="s">
        <v>11</v>
      </c>
      <c r="C3200" s="4">
        <v>2026</v>
      </c>
      <c r="D3200" s="5" t="s">
        <v>12</v>
      </c>
      <c r="E3200" s="4">
        <v>438</v>
      </c>
      <c r="F3200" s="4" t="s">
        <v>766</v>
      </c>
      <c r="G3200" s="4" t="s">
        <v>725</v>
      </c>
      <c r="H3200" s="4" t="s">
        <v>15</v>
      </c>
      <c r="I3200" s="4" t="s">
        <v>774</v>
      </c>
      <c r="J3200" s="4" t="s">
        <v>182</v>
      </c>
      <c r="K3200" s="4" t="s">
        <v>30</v>
      </c>
      <c r="L3200" s="4" t="s">
        <v>3742</v>
      </c>
      <c r="M3200" s="4" t="s">
        <v>3746</v>
      </c>
      <c r="N3200" s="4" t="s">
        <v>3747</v>
      </c>
      <c r="O3200" s="17">
        <f>INDEX('список ID из СУЭ с должностями'!$A:$F,MATCH(E3200,'список ID из СУЭ с должностями'!$B:$B,0),5)</f>
        <v>0</v>
      </c>
    </row>
    <row r="3201" spans="1:15" ht="90">
      <c r="A3201" s="3" t="s">
        <v>10</v>
      </c>
      <c r="B3201" s="3" t="s">
        <v>11</v>
      </c>
      <c r="C3201" s="4">
        <v>2026</v>
      </c>
      <c r="D3201" s="5" t="s">
        <v>12</v>
      </c>
      <c r="E3201" s="4">
        <v>438</v>
      </c>
      <c r="F3201" s="4" t="s">
        <v>766</v>
      </c>
      <c r="G3201" s="4" t="s">
        <v>725</v>
      </c>
      <c r="H3201" s="4" t="s">
        <v>15</v>
      </c>
      <c r="I3201" s="4" t="s">
        <v>775</v>
      </c>
      <c r="J3201" s="4" t="s">
        <v>776</v>
      </c>
      <c r="K3201" s="4" t="s">
        <v>30</v>
      </c>
      <c r="L3201" s="4" t="s">
        <v>3743</v>
      </c>
      <c r="M3201" s="4" t="s">
        <v>3746</v>
      </c>
      <c r="N3201" s="4" t="s">
        <v>3747</v>
      </c>
      <c r="O3201" s="17">
        <f>INDEX('список ID из СУЭ с должностями'!$A:$F,MATCH(E3201,'список ID из СУЭ с должностями'!$B:$B,0),5)</f>
        <v>0</v>
      </c>
    </row>
    <row r="3202" spans="1:15" ht="90">
      <c r="A3202" s="3" t="s">
        <v>10</v>
      </c>
      <c r="B3202" s="3" t="s">
        <v>11</v>
      </c>
      <c r="C3202" s="4">
        <v>2026</v>
      </c>
      <c r="D3202" s="5" t="s">
        <v>12</v>
      </c>
      <c r="E3202" s="4">
        <v>438</v>
      </c>
      <c r="F3202" s="4" t="s">
        <v>766</v>
      </c>
      <c r="G3202" s="4" t="s">
        <v>725</v>
      </c>
      <c r="H3202" s="4" t="s">
        <v>15</v>
      </c>
      <c r="I3202" s="4" t="s">
        <v>777</v>
      </c>
      <c r="J3202" s="4" t="s">
        <v>132</v>
      </c>
      <c r="K3202" s="4" t="s">
        <v>30</v>
      </c>
      <c r="L3202" s="4" t="s">
        <v>3742</v>
      </c>
      <c r="M3202" s="4" t="s">
        <v>3746</v>
      </c>
      <c r="N3202" s="4" t="s">
        <v>3747</v>
      </c>
      <c r="O3202" s="17">
        <f>INDEX('список ID из СУЭ с должностями'!$A:$F,MATCH(E3202,'список ID из СУЭ с должностями'!$B:$B,0),5)</f>
        <v>0</v>
      </c>
    </row>
    <row r="3203" spans="1:15" ht="90">
      <c r="A3203" s="3" t="s">
        <v>10</v>
      </c>
      <c r="B3203" s="3" t="s">
        <v>11</v>
      </c>
      <c r="C3203" s="4">
        <v>2026</v>
      </c>
      <c r="D3203" s="5" t="s">
        <v>12</v>
      </c>
      <c r="E3203" s="4">
        <v>438</v>
      </c>
      <c r="F3203" s="4" t="s">
        <v>766</v>
      </c>
      <c r="G3203" s="4" t="s">
        <v>725</v>
      </c>
      <c r="H3203" s="4" t="s">
        <v>15</v>
      </c>
      <c r="I3203" s="4" t="s">
        <v>778</v>
      </c>
      <c r="J3203" s="4" t="s">
        <v>132</v>
      </c>
      <c r="K3203" s="4" t="s">
        <v>30</v>
      </c>
      <c r="L3203" s="4" t="s">
        <v>3742</v>
      </c>
      <c r="M3203" s="4" t="s">
        <v>3746</v>
      </c>
      <c r="N3203" s="4" t="s">
        <v>3747</v>
      </c>
      <c r="O3203" s="17">
        <f>INDEX('список ID из СУЭ с должностями'!$A:$F,MATCH(E3203,'список ID из СУЭ с должностями'!$B:$B,0),5)</f>
        <v>0</v>
      </c>
    </row>
    <row r="3204" spans="1:15" ht="90">
      <c r="A3204" s="3" t="s">
        <v>10</v>
      </c>
      <c r="B3204" s="3" t="s">
        <v>11</v>
      </c>
      <c r="C3204" s="4">
        <v>2026</v>
      </c>
      <c r="D3204" s="5" t="s">
        <v>12</v>
      </c>
      <c r="E3204" s="4">
        <v>438</v>
      </c>
      <c r="F3204" s="4" t="s">
        <v>766</v>
      </c>
      <c r="G3204" s="4" t="s">
        <v>725</v>
      </c>
      <c r="H3204" s="4" t="s">
        <v>21</v>
      </c>
      <c r="I3204" s="4" t="s">
        <v>779</v>
      </c>
      <c r="J3204" s="4" t="s">
        <v>132</v>
      </c>
      <c r="K3204" s="4" t="s">
        <v>25</v>
      </c>
      <c r="L3204" s="4" t="s">
        <v>3742</v>
      </c>
      <c r="M3204" s="4" t="s">
        <v>3746</v>
      </c>
      <c r="N3204" s="4" t="s">
        <v>3747</v>
      </c>
      <c r="O3204" s="17">
        <f>INDEX('список ID из СУЭ с должностями'!$A:$F,MATCH(E3204,'список ID из СУЭ с должностями'!$B:$B,0),5)</f>
        <v>0</v>
      </c>
    </row>
    <row r="3205" spans="1:15" ht="75">
      <c r="A3205" s="3" t="s">
        <v>10</v>
      </c>
      <c r="B3205" s="3" t="s">
        <v>11</v>
      </c>
      <c r="C3205" s="4">
        <v>2026</v>
      </c>
      <c r="D3205" s="5" t="s">
        <v>12</v>
      </c>
      <c r="E3205" s="4">
        <v>439</v>
      </c>
      <c r="F3205" s="4" t="s">
        <v>280</v>
      </c>
      <c r="G3205" s="4" t="s">
        <v>2736</v>
      </c>
      <c r="H3205" s="4" t="s">
        <v>21</v>
      </c>
      <c r="I3205" s="4" t="s">
        <v>1497</v>
      </c>
      <c r="J3205" s="4" t="s">
        <v>3181</v>
      </c>
      <c r="K3205" s="4" t="s">
        <v>1497</v>
      </c>
      <c r="L3205" s="4" t="s">
        <v>3743</v>
      </c>
      <c r="M3205" s="4" t="s">
        <v>3746</v>
      </c>
      <c r="N3205" s="4" t="s">
        <v>3778</v>
      </c>
      <c r="O3205" s="17">
        <f>INDEX('список ID из СУЭ с должностями'!$A:$F,MATCH(E3205,'список ID из СУЭ с должностями'!$B:$B,0),5)</f>
        <v>0</v>
      </c>
    </row>
    <row r="3206" spans="1:15" ht="135">
      <c r="A3206" s="3" t="s">
        <v>10</v>
      </c>
      <c r="B3206" s="3" t="s">
        <v>11</v>
      </c>
      <c r="C3206" s="4">
        <v>2026</v>
      </c>
      <c r="D3206" s="5" t="s">
        <v>12</v>
      </c>
      <c r="E3206" s="4">
        <v>439</v>
      </c>
      <c r="F3206" s="4" t="s">
        <v>280</v>
      </c>
      <c r="G3206" s="4" t="s">
        <v>2736</v>
      </c>
      <c r="H3206" s="4" t="s">
        <v>41</v>
      </c>
      <c r="I3206" s="4" t="s">
        <v>3182</v>
      </c>
      <c r="J3206" s="4" t="s">
        <v>3183</v>
      </c>
      <c r="K3206" s="4" t="s">
        <v>35</v>
      </c>
      <c r="L3206" s="4" t="s">
        <v>3743</v>
      </c>
      <c r="M3206" s="4" t="s">
        <v>3746</v>
      </c>
      <c r="N3206" s="4" t="s">
        <v>3747</v>
      </c>
      <c r="O3206" s="17">
        <f>INDEX('список ID из СУЭ с должностями'!$A:$F,MATCH(E3206,'список ID из СУЭ с должностями'!$B:$B,0),5)</f>
        <v>0</v>
      </c>
    </row>
    <row r="3207" spans="1:15" ht="255">
      <c r="A3207" s="3" t="s">
        <v>10</v>
      </c>
      <c r="B3207" s="3" t="s">
        <v>11</v>
      </c>
      <c r="C3207" s="4">
        <v>2026</v>
      </c>
      <c r="D3207" s="5" t="s">
        <v>12</v>
      </c>
      <c r="E3207" s="4">
        <v>439</v>
      </c>
      <c r="F3207" s="4" t="s">
        <v>280</v>
      </c>
      <c r="G3207" s="4" t="s">
        <v>2736</v>
      </c>
      <c r="H3207" s="4" t="s">
        <v>15</v>
      </c>
      <c r="I3207" s="4" t="s">
        <v>2737</v>
      </c>
      <c r="J3207" s="4" t="s">
        <v>3113</v>
      </c>
      <c r="K3207" s="4" t="s">
        <v>35</v>
      </c>
      <c r="L3207" s="4" t="s">
        <v>3743</v>
      </c>
      <c r="M3207" s="4" t="s">
        <v>3746</v>
      </c>
      <c r="N3207" s="4" t="s">
        <v>3747</v>
      </c>
      <c r="O3207" s="17">
        <f>INDEX('список ID из СУЭ с должностями'!$A:$F,MATCH(E3207,'список ID из СУЭ с должностями'!$B:$B,0),5)</f>
        <v>0</v>
      </c>
    </row>
    <row r="3208" spans="1:15" ht="255">
      <c r="A3208" s="3" t="s">
        <v>10</v>
      </c>
      <c r="B3208" s="3" t="s">
        <v>11</v>
      </c>
      <c r="C3208" s="4">
        <v>2026</v>
      </c>
      <c r="D3208" s="5" t="s">
        <v>12</v>
      </c>
      <c r="E3208" s="4">
        <v>439</v>
      </c>
      <c r="F3208" s="4" t="s">
        <v>280</v>
      </c>
      <c r="G3208" s="4" t="s">
        <v>2736</v>
      </c>
      <c r="H3208" s="4" t="s">
        <v>15</v>
      </c>
      <c r="I3208" s="4" t="s">
        <v>1499</v>
      </c>
      <c r="J3208" s="4" t="s">
        <v>3184</v>
      </c>
      <c r="K3208" s="4" t="s">
        <v>35</v>
      </c>
      <c r="L3208" s="4" t="s">
        <v>3743</v>
      </c>
      <c r="M3208" s="4" t="s">
        <v>3746</v>
      </c>
      <c r="N3208" s="4" t="s">
        <v>3747</v>
      </c>
      <c r="O3208" s="17">
        <f>INDEX('список ID из СУЭ с должностями'!$A:$F,MATCH(E3208,'список ID из СУЭ с должностями'!$B:$B,0),5)</f>
        <v>0</v>
      </c>
    </row>
    <row r="3209" spans="1:15" ht="105">
      <c r="A3209" s="3" t="s">
        <v>10</v>
      </c>
      <c r="B3209" s="3" t="s">
        <v>11</v>
      </c>
      <c r="C3209" s="4">
        <v>2026</v>
      </c>
      <c r="D3209" s="5" t="s">
        <v>12</v>
      </c>
      <c r="E3209" s="4">
        <v>439</v>
      </c>
      <c r="F3209" s="4" t="s">
        <v>280</v>
      </c>
      <c r="G3209" s="4" t="s">
        <v>2736</v>
      </c>
      <c r="H3209" s="4" t="s">
        <v>15</v>
      </c>
      <c r="I3209" s="4" t="s">
        <v>2749</v>
      </c>
      <c r="J3209" s="4" t="s">
        <v>3111</v>
      </c>
      <c r="K3209" s="4" t="s">
        <v>188</v>
      </c>
      <c r="L3209" s="4" t="s">
        <v>3743</v>
      </c>
      <c r="M3209" s="4" t="s">
        <v>3746</v>
      </c>
      <c r="N3209" s="4" t="s">
        <v>3747</v>
      </c>
      <c r="O3209" s="17">
        <f>INDEX('список ID из СУЭ с должностями'!$A:$F,MATCH(E3209,'список ID из СУЭ с должностями'!$B:$B,0),5)</f>
        <v>0</v>
      </c>
    </row>
    <row r="3210" spans="1:15" ht="75">
      <c r="A3210" s="3" t="s">
        <v>10</v>
      </c>
      <c r="B3210" s="3" t="s">
        <v>11</v>
      </c>
      <c r="C3210" s="4">
        <v>2026</v>
      </c>
      <c r="D3210" s="5" t="s">
        <v>12</v>
      </c>
      <c r="E3210" s="4">
        <v>439</v>
      </c>
      <c r="F3210" s="4" t="s">
        <v>280</v>
      </c>
      <c r="G3210" s="4" t="s">
        <v>2736</v>
      </c>
      <c r="H3210" s="4" t="s">
        <v>15</v>
      </c>
      <c r="I3210" s="4" t="s">
        <v>3185</v>
      </c>
      <c r="J3210" s="4" t="s">
        <v>3186</v>
      </c>
      <c r="K3210" s="4" t="s">
        <v>188</v>
      </c>
      <c r="L3210" s="4" t="s">
        <v>3743</v>
      </c>
      <c r="M3210" s="4" t="s">
        <v>3746</v>
      </c>
      <c r="N3210" s="4" t="s">
        <v>3747</v>
      </c>
      <c r="O3210" s="17">
        <f>INDEX('список ID из СУЭ с должностями'!$A:$F,MATCH(E3210,'список ID из СУЭ с должностями'!$B:$B,0),5)</f>
        <v>0</v>
      </c>
    </row>
    <row r="3211" spans="1:15" ht="90">
      <c r="A3211" s="3" t="s">
        <v>10</v>
      </c>
      <c r="B3211" s="3" t="s">
        <v>11</v>
      </c>
      <c r="C3211" s="4">
        <v>2026</v>
      </c>
      <c r="D3211" s="5" t="s">
        <v>12</v>
      </c>
      <c r="E3211" s="4">
        <v>439</v>
      </c>
      <c r="F3211" s="4" t="s">
        <v>280</v>
      </c>
      <c r="G3211" s="4" t="s">
        <v>2736</v>
      </c>
      <c r="H3211" s="4" t="s">
        <v>41</v>
      </c>
      <c r="I3211" s="4" t="s">
        <v>3114</v>
      </c>
      <c r="J3211" s="4" t="s">
        <v>3187</v>
      </c>
      <c r="K3211" s="4" t="s">
        <v>188</v>
      </c>
      <c r="L3211" s="4" t="s">
        <v>3743</v>
      </c>
      <c r="M3211" s="4" t="s">
        <v>3746</v>
      </c>
      <c r="N3211" s="4" t="s">
        <v>3747</v>
      </c>
      <c r="O3211" s="17">
        <f>INDEX('список ID из СУЭ с должностями'!$A:$F,MATCH(E3211,'список ID из СУЭ с должностями'!$B:$B,0),5)</f>
        <v>0</v>
      </c>
    </row>
    <row r="3212" spans="1:15" ht="75">
      <c r="A3212" s="3" t="s">
        <v>10</v>
      </c>
      <c r="B3212" s="3" t="s">
        <v>11</v>
      </c>
      <c r="C3212" s="4">
        <v>2026</v>
      </c>
      <c r="D3212" s="5" t="s">
        <v>12</v>
      </c>
      <c r="E3212" s="4">
        <v>439</v>
      </c>
      <c r="F3212" s="4" t="s">
        <v>280</v>
      </c>
      <c r="G3212" s="4" t="s">
        <v>2736</v>
      </c>
      <c r="H3212" s="4" t="s">
        <v>15</v>
      </c>
      <c r="I3212" s="4" t="s">
        <v>1489</v>
      </c>
      <c r="J3212" s="4" t="s">
        <v>3188</v>
      </c>
      <c r="K3212" s="4" t="s">
        <v>35</v>
      </c>
      <c r="L3212" s="4" t="s">
        <v>3743</v>
      </c>
      <c r="M3212" s="4" t="s">
        <v>3746</v>
      </c>
      <c r="N3212" s="4" t="s">
        <v>3747</v>
      </c>
      <c r="O3212" s="17">
        <f>INDEX('список ID из СУЭ с должностями'!$A:$F,MATCH(E3212,'список ID из СУЭ с должностями'!$B:$B,0),5)</f>
        <v>0</v>
      </c>
    </row>
    <row r="3213" spans="1:15" ht="90">
      <c r="A3213" s="3" t="s">
        <v>10</v>
      </c>
      <c r="B3213" s="3" t="s">
        <v>11</v>
      </c>
      <c r="C3213" s="4">
        <v>2026</v>
      </c>
      <c r="D3213" s="5" t="s">
        <v>12</v>
      </c>
      <c r="E3213" s="4">
        <v>440</v>
      </c>
      <c r="F3213" s="4" t="s">
        <v>766</v>
      </c>
      <c r="G3213" s="4" t="s">
        <v>725</v>
      </c>
      <c r="H3213" s="4" t="s">
        <v>15</v>
      </c>
      <c r="I3213" s="4" t="s">
        <v>769</v>
      </c>
      <c r="J3213" s="4" t="s">
        <v>182</v>
      </c>
      <c r="K3213" s="4" t="s">
        <v>30</v>
      </c>
      <c r="L3213" s="4" t="s">
        <v>3742</v>
      </c>
      <c r="M3213" s="4" t="s">
        <v>3746</v>
      </c>
      <c r="N3213" s="4" t="s">
        <v>3747</v>
      </c>
      <c r="O3213" s="17">
        <f>INDEX('список ID из СУЭ с должностями'!$A:$F,MATCH(E3213,'список ID из СУЭ с должностями'!$B:$B,0),5)</f>
        <v>0</v>
      </c>
    </row>
    <row r="3214" spans="1:15" ht="90">
      <c r="A3214" s="3" t="s">
        <v>10</v>
      </c>
      <c r="B3214" s="3" t="s">
        <v>11</v>
      </c>
      <c r="C3214" s="4">
        <v>2026</v>
      </c>
      <c r="D3214" s="5" t="s">
        <v>12</v>
      </c>
      <c r="E3214" s="4">
        <v>440</v>
      </c>
      <c r="F3214" s="4" t="s">
        <v>766</v>
      </c>
      <c r="G3214" s="4" t="s">
        <v>725</v>
      </c>
      <c r="H3214" s="4" t="s">
        <v>15</v>
      </c>
      <c r="I3214" s="4" t="s">
        <v>778</v>
      </c>
      <c r="J3214" s="4" t="s">
        <v>132</v>
      </c>
      <c r="K3214" s="4" t="s">
        <v>30</v>
      </c>
      <c r="L3214" s="4" t="s">
        <v>3742</v>
      </c>
      <c r="M3214" s="4" t="s">
        <v>3746</v>
      </c>
      <c r="N3214" s="4" t="s">
        <v>3747</v>
      </c>
      <c r="O3214" s="17">
        <f>INDEX('список ID из СУЭ с должностями'!$A:$F,MATCH(E3214,'список ID из СУЭ с должностями'!$B:$B,0),5)</f>
        <v>0</v>
      </c>
    </row>
    <row r="3215" spans="1:15" ht="90">
      <c r="A3215" s="3" t="s">
        <v>10</v>
      </c>
      <c r="B3215" s="3" t="s">
        <v>11</v>
      </c>
      <c r="C3215" s="4">
        <v>2026</v>
      </c>
      <c r="D3215" s="5" t="s">
        <v>12</v>
      </c>
      <c r="E3215" s="4">
        <v>440</v>
      </c>
      <c r="F3215" s="4" t="s">
        <v>766</v>
      </c>
      <c r="G3215" s="4" t="s">
        <v>725</v>
      </c>
      <c r="H3215" s="4" t="s">
        <v>15</v>
      </c>
      <c r="I3215" s="4" t="s">
        <v>770</v>
      </c>
      <c r="J3215" s="4" t="s">
        <v>771</v>
      </c>
      <c r="K3215" s="4" t="s">
        <v>35</v>
      </c>
      <c r="L3215" s="4" t="s">
        <v>3742</v>
      </c>
      <c r="M3215" s="4" t="s">
        <v>3746</v>
      </c>
      <c r="N3215" s="4" t="s">
        <v>3747</v>
      </c>
      <c r="O3215" s="17">
        <f>INDEX('список ID из СУЭ с должностями'!$A:$F,MATCH(E3215,'список ID из СУЭ с должностями'!$B:$B,0),5)</f>
        <v>0</v>
      </c>
    </row>
    <row r="3216" spans="1:15" ht="105">
      <c r="A3216" s="3" t="s">
        <v>10</v>
      </c>
      <c r="B3216" s="3" t="s">
        <v>11</v>
      </c>
      <c r="C3216" s="4">
        <v>2026</v>
      </c>
      <c r="D3216" s="5" t="s">
        <v>12</v>
      </c>
      <c r="E3216" s="4">
        <v>440</v>
      </c>
      <c r="F3216" s="4" t="s">
        <v>766</v>
      </c>
      <c r="G3216" s="4" t="s">
        <v>725</v>
      </c>
      <c r="H3216" s="4" t="s">
        <v>15</v>
      </c>
      <c r="I3216" s="4" t="s">
        <v>772</v>
      </c>
      <c r="J3216" s="4" t="s">
        <v>773</v>
      </c>
      <c r="K3216" s="4" t="s">
        <v>30</v>
      </c>
      <c r="L3216" s="4" t="s">
        <v>3743</v>
      </c>
      <c r="M3216" s="4" t="s">
        <v>3746</v>
      </c>
      <c r="N3216" s="4" t="s">
        <v>3747</v>
      </c>
      <c r="O3216" s="17">
        <f>INDEX('список ID из СУЭ с должностями'!$A:$F,MATCH(E3216,'список ID из СУЭ с должностями'!$B:$B,0),5)</f>
        <v>0</v>
      </c>
    </row>
    <row r="3217" spans="1:15" ht="90">
      <c r="A3217" s="3" t="s">
        <v>10</v>
      </c>
      <c r="B3217" s="3" t="s">
        <v>11</v>
      </c>
      <c r="C3217" s="4">
        <v>2026</v>
      </c>
      <c r="D3217" s="5" t="s">
        <v>12</v>
      </c>
      <c r="E3217" s="4">
        <v>440</v>
      </c>
      <c r="F3217" s="4" t="s">
        <v>766</v>
      </c>
      <c r="G3217" s="4" t="s">
        <v>725</v>
      </c>
      <c r="H3217" s="4" t="s">
        <v>15</v>
      </c>
      <c r="I3217" s="4" t="s">
        <v>774</v>
      </c>
      <c r="J3217" s="4" t="s">
        <v>182</v>
      </c>
      <c r="K3217" s="4" t="s">
        <v>30</v>
      </c>
      <c r="L3217" s="4" t="s">
        <v>3742</v>
      </c>
      <c r="M3217" s="4" t="s">
        <v>3746</v>
      </c>
      <c r="N3217" s="4" t="s">
        <v>3747</v>
      </c>
      <c r="O3217" s="17">
        <f>INDEX('список ID из СУЭ с должностями'!$A:$F,MATCH(E3217,'список ID из СУЭ с должностями'!$B:$B,0),5)</f>
        <v>0</v>
      </c>
    </row>
    <row r="3218" spans="1:15" ht="90">
      <c r="A3218" s="3" t="s">
        <v>10</v>
      </c>
      <c r="B3218" s="3" t="s">
        <v>11</v>
      </c>
      <c r="C3218" s="4">
        <v>2026</v>
      </c>
      <c r="D3218" s="5" t="s">
        <v>12</v>
      </c>
      <c r="E3218" s="4">
        <v>440</v>
      </c>
      <c r="F3218" s="4" t="s">
        <v>766</v>
      </c>
      <c r="G3218" s="4" t="s">
        <v>725</v>
      </c>
      <c r="H3218" s="4" t="s">
        <v>15</v>
      </c>
      <c r="I3218" s="4" t="s">
        <v>775</v>
      </c>
      <c r="J3218" s="4" t="s">
        <v>776</v>
      </c>
      <c r="K3218" s="4" t="s">
        <v>30</v>
      </c>
      <c r="L3218" s="4" t="s">
        <v>3743</v>
      </c>
      <c r="M3218" s="4" t="s">
        <v>3746</v>
      </c>
      <c r="N3218" s="4" t="s">
        <v>3747</v>
      </c>
      <c r="O3218" s="17">
        <f>INDEX('список ID из СУЭ с должностями'!$A:$F,MATCH(E3218,'список ID из СУЭ с должностями'!$B:$B,0),5)</f>
        <v>0</v>
      </c>
    </row>
    <row r="3219" spans="1:15" ht="90">
      <c r="A3219" s="3" t="s">
        <v>10</v>
      </c>
      <c r="B3219" s="3" t="s">
        <v>11</v>
      </c>
      <c r="C3219" s="4">
        <v>2026</v>
      </c>
      <c r="D3219" s="5" t="s">
        <v>12</v>
      </c>
      <c r="E3219" s="4">
        <v>440</v>
      </c>
      <c r="F3219" s="4" t="s">
        <v>766</v>
      </c>
      <c r="G3219" s="4" t="s">
        <v>725</v>
      </c>
      <c r="H3219" s="4" t="s">
        <v>15</v>
      </c>
      <c r="I3219" s="4" t="s">
        <v>767</v>
      </c>
      <c r="J3219" s="4" t="s">
        <v>196</v>
      </c>
      <c r="K3219" s="4" t="s">
        <v>30</v>
      </c>
      <c r="L3219" s="4" t="s">
        <v>3742</v>
      </c>
      <c r="M3219" s="4" t="s">
        <v>3746</v>
      </c>
      <c r="N3219" s="4" t="s">
        <v>3747</v>
      </c>
      <c r="O3219" s="17">
        <f>INDEX('список ID из СУЭ с должностями'!$A:$F,MATCH(E3219,'список ID из СУЭ с должностями'!$B:$B,0),5)</f>
        <v>0</v>
      </c>
    </row>
    <row r="3220" spans="1:15" ht="90">
      <c r="A3220" s="3" t="s">
        <v>10</v>
      </c>
      <c r="B3220" s="3" t="s">
        <v>11</v>
      </c>
      <c r="C3220" s="4">
        <v>2026</v>
      </c>
      <c r="D3220" s="5" t="s">
        <v>12</v>
      </c>
      <c r="E3220" s="4">
        <v>440</v>
      </c>
      <c r="F3220" s="4" t="s">
        <v>766</v>
      </c>
      <c r="G3220" s="4" t="s">
        <v>725</v>
      </c>
      <c r="H3220" s="4" t="s">
        <v>15</v>
      </c>
      <c r="I3220" s="4" t="s">
        <v>768</v>
      </c>
      <c r="J3220" s="4" t="s">
        <v>182</v>
      </c>
      <c r="K3220" s="4" t="s">
        <v>30</v>
      </c>
      <c r="L3220" s="4" t="s">
        <v>3742</v>
      </c>
      <c r="M3220" s="4" t="s">
        <v>3746</v>
      </c>
      <c r="N3220" s="4" t="s">
        <v>3747</v>
      </c>
      <c r="O3220" s="17">
        <f>INDEX('список ID из СУЭ с должностями'!$A:$F,MATCH(E3220,'список ID из СУЭ с должностями'!$B:$B,0),5)</f>
        <v>0</v>
      </c>
    </row>
    <row r="3221" spans="1:15" ht="90">
      <c r="A3221" s="3" t="s">
        <v>10</v>
      </c>
      <c r="B3221" s="3" t="s">
        <v>11</v>
      </c>
      <c r="C3221" s="4">
        <v>2026</v>
      </c>
      <c r="D3221" s="5" t="s">
        <v>12</v>
      </c>
      <c r="E3221" s="4">
        <v>440</v>
      </c>
      <c r="F3221" s="4" t="s">
        <v>766</v>
      </c>
      <c r="G3221" s="4" t="s">
        <v>725</v>
      </c>
      <c r="H3221" s="4" t="s">
        <v>15</v>
      </c>
      <c r="I3221" s="4" t="s">
        <v>777</v>
      </c>
      <c r="J3221" s="4" t="s">
        <v>132</v>
      </c>
      <c r="K3221" s="4" t="s">
        <v>30</v>
      </c>
      <c r="L3221" s="4" t="s">
        <v>3742</v>
      </c>
      <c r="M3221" s="4" t="s">
        <v>3746</v>
      </c>
      <c r="N3221" s="4" t="s">
        <v>3747</v>
      </c>
      <c r="O3221" s="17">
        <f>INDEX('список ID из СУЭ с должностями'!$A:$F,MATCH(E3221,'список ID из СУЭ с должностями'!$B:$B,0),5)</f>
        <v>0</v>
      </c>
    </row>
    <row r="3222" spans="1:15" ht="90">
      <c r="A3222" s="3" t="s">
        <v>10</v>
      </c>
      <c r="B3222" s="3" t="s">
        <v>11</v>
      </c>
      <c r="C3222" s="4">
        <v>2026</v>
      </c>
      <c r="D3222" s="5" t="s">
        <v>12</v>
      </c>
      <c r="E3222" s="4">
        <v>440</v>
      </c>
      <c r="F3222" s="4" t="s">
        <v>766</v>
      </c>
      <c r="G3222" s="4" t="s">
        <v>725</v>
      </c>
      <c r="H3222" s="4" t="s">
        <v>21</v>
      </c>
      <c r="I3222" s="4" t="s">
        <v>779</v>
      </c>
      <c r="J3222" s="4" t="s">
        <v>132</v>
      </c>
      <c r="K3222" s="4" t="s">
        <v>25</v>
      </c>
      <c r="L3222" s="4" t="s">
        <v>3742</v>
      </c>
      <c r="M3222" s="4" t="s">
        <v>3746</v>
      </c>
      <c r="N3222" s="4" t="s">
        <v>3747</v>
      </c>
      <c r="O3222" s="17">
        <f>INDEX('список ID из СУЭ с должностями'!$A:$F,MATCH(E3222,'список ID из СУЭ с должностями'!$B:$B,0),5)</f>
        <v>0</v>
      </c>
    </row>
    <row r="3223" spans="1:15" ht="135">
      <c r="A3223" s="3" t="s">
        <v>10</v>
      </c>
      <c r="B3223" s="3" t="s">
        <v>11</v>
      </c>
      <c r="C3223" s="4">
        <v>2026</v>
      </c>
      <c r="D3223" s="5" t="s">
        <v>12</v>
      </c>
      <c r="E3223" s="4">
        <v>441</v>
      </c>
      <c r="F3223" s="4" t="s">
        <v>454</v>
      </c>
      <c r="G3223" s="4" t="s">
        <v>3189</v>
      </c>
      <c r="H3223" s="4" t="s">
        <v>15</v>
      </c>
      <c r="I3223" s="4" t="s">
        <v>806</v>
      </c>
      <c r="J3223" s="4" t="s">
        <v>807</v>
      </c>
      <c r="K3223" s="4" t="s">
        <v>38</v>
      </c>
      <c r="L3223" s="4" t="s">
        <v>3743</v>
      </c>
      <c r="M3223" s="4" t="s">
        <v>3746</v>
      </c>
      <c r="N3223" s="4" t="s">
        <v>3747</v>
      </c>
      <c r="O3223" s="17">
        <f>INDEX('список ID из СУЭ с должностями'!$A:$F,MATCH(E3223,'список ID из СУЭ с должностями'!$B:$B,0),5)</f>
        <v>0</v>
      </c>
    </row>
    <row r="3224" spans="1:15" ht="135">
      <c r="A3224" s="3" t="s">
        <v>10</v>
      </c>
      <c r="B3224" s="3" t="s">
        <v>11</v>
      </c>
      <c r="C3224" s="4">
        <v>2026</v>
      </c>
      <c r="D3224" s="5" t="s">
        <v>12</v>
      </c>
      <c r="E3224" s="4">
        <v>441</v>
      </c>
      <c r="F3224" s="4" t="s">
        <v>454</v>
      </c>
      <c r="G3224" s="4" t="s">
        <v>3189</v>
      </c>
      <c r="H3224" s="4" t="s">
        <v>15</v>
      </c>
      <c r="I3224" s="4" t="s">
        <v>855</v>
      </c>
      <c r="J3224" s="4" t="s">
        <v>1823</v>
      </c>
      <c r="K3224" s="4" t="s">
        <v>66</v>
      </c>
      <c r="L3224" s="4" t="s">
        <v>3743</v>
      </c>
      <c r="M3224" s="4" t="s">
        <v>3746</v>
      </c>
      <c r="N3224" s="4" t="s">
        <v>3747</v>
      </c>
      <c r="O3224" s="17">
        <f>INDEX('список ID из СУЭ с должностями'!$A:$F,MATCH(E3224,'список ID из СУЭ с должностями'!$B:$B,0),5)</f>
        <v>0</v>
      </c>
    </row>
    <row r="3225" spans="1:15" ht="210">
      <c r="A3225" s="3" t="s">
        <v>10</v>
      </c>
      <c r="B3225" s="3" t="s">
        <v>11</v>
      </c>
      <c r="C3225" s="4">
        <v>2026</v>
      </c>
      <c r="D3225" s="5" t="s">
        <v>12</v>
      </c>
      <c r="E3225" s="4">
        <v>441</v>
      </c>
      <c r="F3225" s="4" t="s">
        <v>454</v>
      </c>
      <c r="G3225" s="4" t="s">
        <v>3189</v>
      </c>
      <c r="H3225" s="4" t="s">
        <v>15</v>
      </c>
      <c r="I3225" s="4" t="s">
        <v>147</v>
      </c>
      <c r="J3225" s="4" t="s">
        <v>1824</v>
      </c>
      <c r="K3225" s="4" t="s">
        <v>35</v>
      </c>
      <c r="L3225" s="4" t="s">
        <v>3743</v>
      </c>
      <c r="M3225" s="4" t="s">
        <v>3746</v>
      </c>
      <c r="N3225" s="4" t="s">
        <v>3747</v>
      </c>
      <c r="O3225" s="17">
        <f>INDEX('список ID из СУЭ с должностями'!$A:$F,MATCH(E3225,'список ID из СУЭ с должностями'!$B:$B,0),5)</f>
        <v>0</v>
      </c>
    </row>
    <row r="3226" spans="1:15" ht="135">
      <c r="A3226" s="3" t="s">
        <v>10</v>
      </c>
      <c r="B3226" s="3" t="s">
        <v>11</v>
      </c>
      <c r="C3226" s="4">
        <v>2026</v>
      </c>
      <c r="D3226" s="5" t="s">
        <v>12</v>
      </c>
      <c r="E3226" s="4">
        <v>441</v>
      </c>
      <c r="F3226" s="4" t="s">
        <v>454</v>
      </c>
      <c r="G3226" s="4" t="s">
        <v>3189</v>
      </c>
      <c r="H3226" s="4" t="s">
        <v>15</v>
      </c>
      <c r="I3226" s="4" t="s">
        <v>149</v>
      </c>
      <c r="J3226" s="4" t="s">
        <v>1825</v>
      </c>
      <c r="K3226" s="4" t="s">
        <v>52</v>
      </c>
      <c r="L3226" s="4" t="s">
        <v>3743</v>
      </c>
      <c r="M3226" s="4" t="s">
        <v>3746</v>
      </c>
      <c r="N3226" s="4" t="s">
        <v>3747</v>
      </c>
      <c r="O3226" s="17">
        <f>INDEX('список ID из СУЭ с должностями'!$A:$F,MATCH(E3226,'список ID из СУЭ с должностями'!$B:$B,0),5)</f>
        <v>0</v>
      </c>
    </row>
    <row r="3227" spans="1:15" ht="225">
      <c r="A3227" s="3" t="s">
        <v>10</v>
      </c>
      <c r="B3227" s="3" t="s">
        <v>11</v>
      </c>
      <c r="C3227" s="4">
        <v>2026</v>
      </c>
      <c r="D3227" s="5" t="s">
        <v>12</v>
      </c>
      <c r="E3227" s="4">
        <v>441</v>
      </c>
      <c r="F3227" s="4" t="s">
        <v>454</v>
      </c>
      <c r="G3227" s="4" t="s">
        <v>3189</v>
      </c>
      <c r="H3227" s="4" t="s">
        <v>15</v>
      </c>
      <c r="I3227" s="4" t="s">
        <v>303</v>
      </c>
      <c r="J3227" s="4" t="s">
        <v>1826</v>
      </c>
      <c r="K3227" s="4" t="s">
        <v>52</v>
      </c>
      <c r="L3227" s="4" t="s">
        <v>3743</v>
      </c>
      <c r="M3227" s="4" t="s">
        <v>3746</v>
      </c>
      <c r="N3227" s="4" t="s">
        <v>3747</v>
      </c>
      <c r="O3227" s="17">
        <f>INDEX('список ID из СУЭ с должностями'!$A:$F,MATCH(E3227,'список ID из СУЭ с должностями'!$B:$B,0),5)</f>
        <v>0</v>
      </c>
    </row>
    <row r="3228" spans="1:15" ht="285">
      <c r="A3228" s="3" t="s">
        <v>10</v>
      </c>
      <c r="B3228" s="3" t="s">
        <v>11</v>
      </c>
      <c r="C3228" s="4">
        <v>2026</v>
      </c>
      <c r="D3228" s="5" t="s">
        <v>12</v>
      </c>
      <c r="E3228" s="4">
        <v>442</v>
      </c>
      <c r="F3228" s="4" t="s">
        <v>39</v>
      </c>
      <c r="G3228" s="4" t="s">
        <v>2272</v>
      </c>
      <c r="H3228" s="4" t="s">
        <v>15</v>
      </c>
      <c r="I3228" s="4" t="s">
        <v>2025</v>
      </c>
      <c r="J3228" s="4" t="s">
        <v>2026</v>
      </c>
      <c r="K3228" s="4" t="s">
        <v>25</v>
      </c>
      <c r="L3228" s="4" t="s">
        <v>3743</v>
      </c>
      <c r="M3228" s="4" t="s">
        <v>3746</v>
      </c>
      <c r="N3228" s="4" t="s">
        <v>3747</v>
      </c>
      <c r="O3228" s="17" t="str">
        <f>INDEX('список ID из СУЭ с должностями'!$A:$F,MATCH(E3228,'список ID из СУЭ с должностями'!$B:$B,0),5)</f>
        <v>НС</v>
      </c>
    </row>
    <row r="3229" spans="1:15" ht="120">
      <c r="A3229" s="3" t="s">
        <v>10</v>
      </c>
      <c r="B3229" s="3" t="s">
        <v>11</v>
      </c>
      <c r="C3229" s="4">
        <v>2026</v>
      </c>
      <c r="D3229" s="5" t="s">
        <v>12</v>
      </c>
      <c r="E3229" s="4">
        <v>442</v>
      </c>
      <c r="F3229" s="4" t="s">
        <v>39</v>
      </c>
      <c r="G3229" s="4" t="s">
        <v>2272</v>
      </c>
      <c r="H3229" s="4" t="s">
        <v>15</v>
      </c>
      <c r="I3229" s="4" t="s">
        <v>198</v>
      </c>
      <c r="J3229" s="4" t="s">
        <v>2035</v>
      </c>
      <c r="K3229" s="4" t="s">
        <v>20</v>
      </c>
      <c r="L3229" s="4" t="s">
        <v>3743</v>
      </c>
      <c r="M3229" s="4" t="s">
        <v>3746</v>
      </c>
      <c r="N3229" s="4" t="s">
        <v>3747</v>
      </c>
      <c r="O3229" s="17" t="str">
        <f>INDEX('список ID из СУЭ с должностями'!$A:$F,MATCH(E3229,'список ID из СУЭ с должностями'!$B:$B,0),5)</f>
        <v>НС</v>
      </c>
    </row>
    <row r="3230" spans="1:15" ht="225">
      <c r="A3230" s="3" t="s">
        <v>10</v>
      </c>
      <c r="B3230" s="3" t="s">
        <v>11</v>
      </c>
      <c r="C3230" s="4">
        <v>2026</v>
      </c>
      <c r="D3230" s="5" t="s">
        <v>12</v>
      </c>
      <c r="E3230" s="4">
        <v>442</v>
      </c>
      <c r="F3230" s="4" t="s">
        <v>39</v>
      </c>
      <c r="G3230" s="4" t="s">
        <v>2272</v>
      </c>
      <c r="H3230" s="4" t="s">
        <v>15</v>
      </c>
      <c r="I3230" s="4" t="s">
        <v>189</v>
      </c>
      <c r="J3230" s="4" t="s">
        <v>2034</v>
      </c>
      <c r="K3230" s="4" t="s">
        <v>66</v>
      </c>
      <c r="L3230" s="4" t="s">
        <v>3743</v>
      </c>
      <c r="M3230" s="4" t="s">
        <v>3746</v>
      </c>
      <c r="N3230" s="4" t="s">
        <v>3747</v>
      </c>
      <c r="O3230" s="17" t="str">
        <f>INDEX('список ID из СУЭ с должностями'!$A:$F,MATCH(E3230,'список ID из СУЭ с должностями'!$B:$B,0),5)</f>
        <v>НС</v>
      </c>
    </row>
    <row r="3231" spans="1:15" ht="60">
      <c r="A3231" s="3" t="s">
        <v>10</v>
      </c>
      <c r="B3231" s="3" t="s">
        <v>11</v>
      </c>
      <c r="C3231" s="4">
        <v>2026</v>
      </c>
      <c r="D3231" s="5" t="s">
        <v>12</v>
      </c>
      <c r="E3231" s="4">
        <v>442</v>
      </c>
      <c r="F3231" s="4" t="s">
        <v>39</v>
      </c>
      <c r="G3231" s="4" t="s">
        <v>2272</v>
      </c>
      <c r="H3231" s="4" t="s">
        <v>21</v>
      </c>
      <c r="I3231" s="4" t="s">
        <v>2036</v>
      </c>
      <c r="J3231" s="4" t="s">
        <v>2037</v>
      </c>
      <c r="K3231" s="4" t="s">
        <v>66</v>
      </c>
      <c r="L3231" s="4" t="s">
        <v>3743</v>
      </c>
      <c r="M3231" s="4" t="s">
        <v>3746</v>
      </c>
      <c r="N3231" s="4" t="s">
        <v>3747</v>
      </c>
      <c r="O3231" s="17" t="str">
        <f>INDEX('список ID из СУЭ с должностями'!$A:$F,MATCH(E3231,'список ID из СУЭ с должностями'!$B:$B,0),5)</f>
        <v>НС</v>
      </c>
    </row>
    <row r="3232" spans="1:15" ht="240">
      <c r="A3232" s="3" t="s">
        <v>10</v>
      </c>
      <c r="B3232" s="3" t="s">
        <v>11</v>
      </c>
      <c r="C3232" s="4">
        <v>2026</v>
      </c>
      <c r="D3232" s="5" t="s">
        <v>12</v>
      </c>
      <c r="E3232" s="4">
        <v>442</v>
      </c>
      <c r="F3232" s="4" t="s">
        <v>39</v>
      </c>
      <c r="G3232" s="4" t="s">
        <v>2272</v>
      </c>
      <c r="H3232" s="4" t="s">
        <v>15</v>
      </c>
      <c r="I3232" s="4" t="s">
        <v>2031</v>
      </c>
      <c r="J3232" s="4" t="s">
        <v>2032</v>
      </c>
      <c r="K3232" s="4" t="s">
        <v>38</v>
      </c>
      <c r="L3232" s="4" t="s">
        <v>3743</v>
      </c>
      <c r="M3232" s="4" t="s">
        <v>3746</v>
      </c>
      <c r="N3232" s="4" t="s">
        <v>3747</v>
      </c>
      <c r="O3232" s="17" t="str">
        <f>INDEX('список ID из СУЭ с должностями'!$A:$F,MATCH(E3232,'список ID из СУЭ с должностями'!$B:$B,0),5)</f>
        <v>НС</v>
      </c>
    </row>
    <row r="3233" spans="1:15" ht="195">
      <c r="A3233" s="3" t="s">
        <v>10</v>
      </c>
      <c r="B3233" s="3" t="s">
        <v>11</v>
      </c>
      <c r="C3233" s="4">
        <v>2026</v>
      </c>
      <c r="D3233" s="5" t="s">
        <v>12</v>
      </c>
      <c r="E3233" s="4">
        <v>442</v>
      </c>
      <c r="F3233" s="4" t="s">
        <v>39</v>
      </c>
      <c r="G3233" s="4" t="s">
        <v>2272</v>
      </c>
      <c r="H3233" s="4" t="s">
        <v>15</v>
      </c>
      <c r="I3233" s="4" t="s">
        <v>2027</v>
      </c>
      <c r="J3233" s="4" t="s">
        <v>2028</v>
      </c>
      <c r="K3233" s="4" t="s">
        <v>66</v>
      </c>
      <c r="L3233" s="4" t="s">
        <v>3743</v>
      </c>
      <c r="M3233" s="4" t="s">
        <v>3746</v>
      </c>
      <c r="N3233" s="4" t="s">
        <v>3747</v>
      </c>
      <c r="O3233" s="17" t="str">
        <f>INDEX('список ID из СУЭ с должностями'!$A:$F,MATCH(E3233,'список ID из СУЭ с должностями'!$B:$B,0),5)</f>
        <v>НС</v>
      </c>
    </row>
    <row r="3234" spans="1:15" ht="345">
      <c r="A3234" s="3" t="s">
        <v>10</v>
      </c>
      <c r="B3234" s="3" t="s">
        <v>11</v>
      </c>
      <c r="C3234" s="4">
        <v>2026</v>
      </c>
      <c r="D3234" s="5" t="s">
        <v>12</v>
      </c>
      <c r="E3234" s="4">
        <v>442</v>
      </c>
      <c r="F3234" s="4" t="s">
        <v>39</v>
      </c>
      <c r="G3234" s="4" t="s">
        <v>2272</v>
      </c>
      <c r="H3234" s="4" t="s">
        <v>15</v>
      </c>
      <c r="I3234" s="4" t="s">
        <v>2029</v>
      </c>
      <c r="J3234" s="4" t="s">
        <v>2030</v>
      </c>
      <c r="K3234" s="4" t="s">
        <v>55</v>
      </c>
      <c r="L3234" s="4" t="s">
        <v>3743</v>
      </c>
      <c r="M3234" s="4" t="s">
        <v>3746</v>
      </c>
      <c r="N3234" s="4" t="s">
        <v>3747</v>
      </c>
      <c r="O3234" s="17" t="str">
        <f>INDEX('список ID из СУЭ с должностями'!$A:$F,MATCH(E3234,'список ID из СУЭ с должностями'!$B:$B,0),5)</f>
        <v>НС</v>
      </c>
    </row>
    <row r="3235" spans="1:15" ht="409.5">
      <c r="A3235" s="3" t="s">
        <v>10</v>
      </c>
      <c r="B3235" s="3" t="s">
        <v>11</v>
      </c>
      <c r="C3235" s="4">
        <v>2026</v>
      </c>
      <c r="D3235" s="5" t="s">
        <v>12</v>
      </c>
      <c r="E3235" s="4">
        <v>442</v>
      </c>
      <c r="F3235" s="4" t="s">
        <v>39</v>
      </c>
      <c r="G3235" s="4" t="s">
        <v>2272</v>
      </c>
      <c r="H3235" s="4" t="s">
        <v>15</v>
      </c>
      <c r="I3235" s="4" t="s">
        <v>2023</v>
      </c>
      <c r="J3235" s="4" t="s">
        <v>2024</v>
      </c>
      <c r="K3235" s="4" t="s">
        <v>35</v>
      </c>
      <c r="L3235" s="4" t="s">
        <v>3743</v>
      </c>
      <c r="M3235" s="4" t="s">
        <v>3746</v>
      </c>
      <c r="N3235" s="4" t="s">
        <v>3747</v>
      </c>
      <c r="O3235" s="17" t="str">
        <f>INDEX('список ID из СУЭ с должностями'!$A:$F,MATCH(E3235,'список ID из СУЭ с должностями'!$B:$B,0),5)</f>
        <v>НС</v>
      </c>
    </row>
    <row r="3236" spans="1:15" ht="285">
      <c r="A3236" s="3" t="s">
        <v>10</v>
      </c>
      <c r="B3236" s="3" t="s">
        <v>11</v>
      </c>
      <c r="C3236" s="4">
        <v>2026</v>
      </c>
      <c r="D3236" s="5" t="s">
        <v>12</v>
      </c>
      <c r="E3236" s="4">
        <v>442</v>
      </c>
      <c r="F3236" s="4" t="s">
        <v>39</v>
      </c>
      <c r="G3236" s="4" t="s">
        <v>2272</v>
      </c>
      <c r="H3236" s="4" t="s">
        <v>15</v>
      </c>
      <c r="I3236" s="4" t="s">
        <v>984</v>
      </c>
      <c r="J3236" s="4" t="s">
        <v>2033</v>
      </c>
      <c r="K3236" s="4" t="s">
        <v>66</v>
      </c>
      <c r="L3236" s="4" t="s">
        <v>3743</v>
      </c>
      <c r="M3236" s="4" t="s">
        <v>3746</v>
      </c>
      <c r="N3236" s="4" t="s">
        <v>3747</v>
      </c>
      <c r="O3236" s="17" t="str">
        <f>INDEX('список ID из СУЭ с должностями'!$A:$F,MATCH(E3236,'список ID из СУЭ с должностями'!$B:$B,0),5)</f>
        <v>НС</v>
      </c>
    </row>
    <row r="3237" spans="1:15" ht="150">
      <c r="A3237" s="3" t="s">
        <v>10</v>
      </c>
      <c r="B3237" s="3" t="s">
        <v>11</v>
      </c>
      <c r="C3237" s="4">
        <v>2026</v>
      </c>
      <c r="D3237" s="5" t="s">
        <v>12</v>
      </c>
      <c r="E3237" s="4">
        <v>443</v>
      </c>
      <c r="F3237" s="4" t="s">
        <v>316</v>
      </c>
      <c r="G3237" s="4" t="s">
        <v>1203</v>
      </c>
      <c r="H3237" s="4" t="s">
        <v>15</v>
      </c>
      <c r="I3237" s="4" t="s">
        <v>318</v>
      </c>
      <c r="J3237" s="4" t="s">
        <v>3190</v>
      </c>
      <c r="K3237" s="4" t="s">
        <v>188</v>
      </c>
      <c r="L3237" s="4" t="s">
        <v>3743</v>
      </c>
      <c r="M3237" s="4" t="s">
        <v>3746</v>
      </c>
      <c r="N3237" s="4" t="s">
        <v>3747</v>
      </c>
      <c r="O3237" s="17">
        <f>INDEX('список ID из СУЭ с должностями'!$A:$F,MATCH(E3237,'список ID из СУЭ с должностями'!$B:$B,0),5)</f>
        <v>0</v>
      </c>
    </row>
    <row r="3238" spans="1:15" ht="105">
      <c r="A3238" s="3" t="s">
        <v>10</v>
      </c>
      <c r="B3238" s="3" t="s">
        <v>11</v>
      </c>
      <c r="C3238" s="4">
        <v>2026</v>
      </c>
      <c r="D3238" s="5" t="s">
        <v>12</v>
      </c>
      <c r="E3238" s="4">
        <v>443</v>
      </c>
      <c r="F3238" s="4" t="s">
        <v>316</v>
      </c>
      <c r="G3238" s="4" t="s">
        <v>1203</v>
      </c>
      <c r="H3238" s="4" t="s">
        <v>15</v>
      </c>
      <c r="I3238" s="4" t="s">
        <v>356</v>
      </c>
      <c r="J3238" s="4" t="s">
        <v>1775</v>
      </c>
      <c r="K3238" s="4" t="s">
        <v>25</v>
      </c>
      <c r="L3238" s="4" t="s">
        <v>3743</v>
      </c>
      <c r="M3238" s="4" t="s">
        <v>3746</v>
      </c>
      <c r="N3238" s="4" t="s">
        <v>3747</v>
      </c>
      <c r="O3238" s="17">
        <f>INDEX('список ID из СУЭ с должностями'!$A:$F,MATCH(E3238,'список ID из СУЭ с должностями'!$B:$B,0),5)</f>
        <v>0</v>
      </c>
    </row>
    <row r="3239" spans="1:15" ht="105">
      <c r="A3239" s="3" t="s">
        <v>10</v>
      </c>
      <c r="B3239" s="3" t="s">
        <v>11</v>
      </c>
      <c r="C3239" s="4">
        <v>2026</v>
      </c>
      <c r="D3239" s="5" t="s">
        <v>12</v>
      </c>
      <c r="E3239" s="4">
        <v>443</v>
      </c>
      <c r="F3239" s="4" t="s">
        <v>316</v>
      </c>
      <c r="G3239" s="4" t="s">
        <v>1203</v>
      </c>
      <c r="H3239" s="4" t="s">
        <v>15</v>
      </c>
      <c r="I3239" s="4" t="s">
        <v>358</v>
      </c>
      <c r="J3239" s="4" t="s">
        <v>1143</v>
      </c>
      <c r="K3239" s="4" t="s">
        <v>66</v>
      </c>
      <c r="L3239" s="4" t="s">
        <v>3743</v>
      </c>
      <c r="M3239" s="4" t="s">
        <v>3746</v>
      </c>
      <c r="N3239" s="4" t="s">
        <v>3747</v>
      </c>
      <c r="O3239" s="17">
        <f>INDEX('список ID из СУЭ с должностями'!$A:$F,MATCH(E3239,'список ID из СУЭ с должностями'!$B:$B,0),5)</f>
        <v>0</v>
      </c>
    </row>
    <row r="3240" spans="1:15" ht="255">
      <c r="A3240" s="3" t="s">
        <v>10</v>
      </c>
      <c r="B3240" s="3" t="s">
        <v>11</v>
      </c>
      <c r="C3240" s="4">
        <v>2026</v>
      </c>
      <c r="D3240" s="5" t="s">
        <v>12</v>
      </c>
      <c r="E3240" s="4">
        <v>443</v>
      </c>
      <c r="F3240" s="4" t="s">
        <v>316</v>
      </c>
      <c r="G3240" s="4" t="s">
        <v>1203</v>
      </c>
      <c r="H3240" s="4" t="s">
        <v>15</v>
      </c>
      <c r="I3240" s="4" t="s">
        <v>354</v>
      </c>
      <c r="J3240" s="4" t="s">
        <v>3191</v>
      </c>
      <c r="K3240" s="4" t="s">
        <v>25</v>
      </c>
      <c r="L3240" s="4" t="s">
        <v>3743</v>
      </c>
      <c r="M3240" s="4" t="s">
        <v>3746</v>
      </c>
      <c r="N3240" s="4" t="s">
        <v>3747</v>
      </c>
      <c r="O3240" s="17">
        <f>INDEX('список ID из СУЭ с должностями'!$A:$F,MATCH(E3240,'список ID из СУЭ с должностями'!$B:$B,0),5)</f>
        <v>0</v>
      </c>
    </row>
    <row r="3241" spans="1:15" ht="315">
      <c r="A3241" s="3" t="s">
        <v>10</v>
      </c>
      <c r="B3241" s="3" t="s">
        <v>11</v>
      </c>
      <c r="C3241" s="4">
        <v>2026</v>
      </c>
      <c r="D3241" s="5" t="s">
        <v>12</v>
      </c>
      <c r="E3241" s="4">
        <v>443</v>
      </c>
      <c r="F3241" s="4" t="s">
        <v>316</v>
      </c>
      <c r="G3241" s="4" t="s">
        <v>1203</v>
      </c>
      <c r="H3241" s="4" t="s">
        <v>15</v>
      </c>
      <c r="I3241" s="4" t="s">
        <v>352</v>
      </c>
      <c r="J3241" s="4" t="s">
        <v>823</v>
      </c>
      <c r="K3241" s="4" t="s">
        <v>25</v>
      </c>
      <c r="L3241" s="4" t="s">
        <v>3743</v>
      </c>
      <c r="M3241" s="4" t="s">
        <v>3746</v>
      </c>
      <c r="N3241" s="4" t="s">
        <v>3747</v>
      </c>
      <c r="O3241" s="17">
        <f>INDEX('список ID из СУЭ с должностями'!$A:$F,MATCH(E3241,'список ID из СУЭ с должностями'!$B:$B,0),5)</f>
        <v>0</v>
      </c>
    </row>
    <row r="3242" spans="1:15" ht="330">
      <c r="A3242" s="3" t="s">
        <v>10</v>
      </c>
      <c r="B3242" s="3" t="s">
        <v>11</v>
      </c>
      <c r="C3242" s="4">
        <v>2026</v>
      </c>
      <c r="D3242" s="5" t="s">
        <v>12</v>
      </c>
      <c r="E3242" s="4">
        <v>443</v>
      </c>
      <c r="F3242" s="4" t="s">
        <v>316</v>
      </c>
      <c r="G3242" s="4" t="s">
        <v>1203</v>
      </c>
      <c r="H3242" s="4" t="s">
        <v>15</v>
      </c>
      <c r="I3242" s="4" t="s">
        <v>323</v>
      </c>
      <c r="J3242" s="4" t="s">
        <v>826</v>
      </c>
      <c r="K3242" s="4" t="s">
        <v>30</v>
      </c>
      <c r="L3242" s="4" t="s">
        <v>3743</v>
      </c>
      <c r="M3242" s="4" t="s">
        <v>3746</v>
      </c>
      <c r="N3242" s="4" t="s">
        <v>3747</v>
      </c>
      <c r="O3242" s="17">
        <f>INDEX('список ID из СУЭ с должностями'!$A:$F,MATCH(E3242,'список ID из СУЭ с должностями'!$B:$B,0),5)</f>
        <v>0</v>
      </c>
    </row>
    <row r="3243" spans="1:15" ht="225">
      <c r="A3243" s="3" t="s">
        <v>10</v>
      </c>
      <c r="B3243" s="3" t="s">
        <v>11</v>
      </c>
      <c r="C3243" s="4">
        <v>2026</v>
      </c>
      <c r="D3243" s="5" t="s">
        <v>12</v>
      </c>
      <c r="E3243" s="4">
        <v>443</v>
      </c>
      <c r="F3243" s="4" t="s">
        <v>316</v>
      </c>
      <c r="G3243" s="4" t="s">
        <v>1203</v>
      </c>
      <c r="H3243" s="4" t="s">
        <v>15</v>
      </c>
      <c r="I3243" s="4" t="s">
        <v>325</v>
      </c>
      <c r="J3243" s="4" t="s">
        <v>3192</v>
      </c>
      <c r="K3243" s="4" t="s">
        <v>35</v>
      </c>
      <c r="L3243" s="4" t="s">
        <v>3743</v>
      </c>
      <c r="M3243" s="4" t="s">
        <v>3746</v>
      </c>
      <c r="N3243" s="4" t="s">
        <v>3747</v>
      </c>
      <c r="O3243" s="17">
        <f>INDEX('список ID из СУЭ с должностями'!$A:$F,MATCH(E3243,'список ID из СУЭ с должностями'!$B:$B,0),5)</f>
        <v>0</v>
      </c>
    </row>
    <row r="3244" spans="1:15" ht="60">
      <c r="A3244" s="3" t="s">
        <v>10</v>
      </c>
      <c r="B3244" s="3" t="s">
        <v>11</v>
      </c>
      <c r="C3244" s="4">
        <v>2026</v>
      </c>
      <c r="D3244" s="5" t="s">
        <v>12</v>
      </c>
      <c r="E3244" s="4">
        <v>444</v>
      </c>
      <c r="F3244" s="4" t="s">
        <v>193</v>
      </c>
      <c r="G3244" s="4" t="s">
        <v>964</v>
      </c>
      <c r="H3244" s="4" t="s">
        <v>15</v>
      </c>
      <c r="I3244" s="4" t="s">
        <v>1250</v>
      </c>
      <c r="J3244" s="4" t="s">
        <v>1251</v>
      </c>
      <c r="K3244" s="4" t="s">
        <v>38</v>
      </c>
      <c r="L3244" s="4" t="s">
        <v>3743</v>
      </c>
      <c r="M3244" s="4" t="s">
        <v>3746</v>
      </c>
      <c r="N3244" s="4" t="s">
        <v>3747</v>
      </c>
      <c r="O3244" s="17" t="str">
        <f>INDEX('список ID из СУЭ с должностями'!$A:$F,MATCH(E3244,'список ID из СУЭ с должностями'!$B:$B,0),5)</f>
        <v>Инж смены</v>
      </c>
    </row>
    <row r="3245" spans="1:15" ht="45">
      <c r="A3245" s="3" t="s">
        <v>10</v>
      </c>
      <c r="B3245" s="3" t="s">
        <v>11</v>
      </c>
      <c r="C3245" s="4">
        <v>2026</v>
      </c>
      <c r="D3245" s="5" t="s">
        <v>12</v>
      </c>
      <c r="E3245" s="4">
        <v>444</v>
      </c>
      <c r="F3245" s="4" t="s">
        <v>193</v>
      </c>
      <c r="G3245" s="4" t="s">
        <v>964</v>
      </c>
      <c r="H3245" s="4" t="s">
        <v>15</v>
      </c>
      <c r="I3245" s="4" t="s">
        <v>596</v>
      </c>
      <c r="J3245" s="4" t="s">
        <v>1616</v>
      </c>
      <c r="K3245" s="4" t="s">
        <v>55</v>
      </c>
      <c r="L3245" s="4" t="s">
        <v>3742</v>
      </c>
      <c r="M3245" s="4" t="s">
        <v>3746</v>
      </c>
      <c r="N3245" s="4" t="s">
        <v>3747</v>
      </c>
      <c r="O3245" s="17" t="str">
        <f>INDEX('список ID из СУЭ с должностями'!$A:$F,MATCH(E3245,'список ID из СУЭ с должностями'!$B:$B,0),5)</f>
        <v>Инж смены</v>
      </c>
    </row>
    <row r="3246" spans="1:15" ht="60">
      <c r="A3246" s="3" t="s">
        <v>10</v>
      </c>
      <c r="B3246" s="3" t="s">
        <v>11</v>
      </c>
      <c r="C3246" s="4">
        <v>2026</v>
      </c>
      <c r="D3246" s="5" t="s">
        <v>12</v>
      </c>
      <c r="E3246" s="4">
        <v>444</v>
      </c>
      <c r="F3246" s="4" t="s">
        <v>193</v>
      </c>
      <c r="G3246" s="4" t="s">
        <v>964</v>
      </c>
      <c r="H3246" s="4" t="s">
        <v>15</v>
      </c>
      <c r="I3246" s="4" t="s">
        <v>56</v>
      </c>
      <c r="J3246" s="4" t="s">
        <v>1617</v>
      </c>
      <c r="K3246" s="4" t="s">
        <v>30</v>
      </c>
      <c r="L3246" s="4" t="s">
        <v>3743</v>
      </c>
      <c r="M3246" s="4" t="s">
        <v>3746</v>
      </c>
      <c r="N3246" s="4" t="s">
        <v>3747</v>
      </c>
      <c r="O3246" s="17" t="str">
        <f>INDEX('список ID из СУЭ с должностями'!$A:$F,MATCH(E3246,'список ID из СУЭ с должностями'!$B:$B,0),5)</f>
        <v>Инж смены</v>
      </c>
    </row>
    <row r="3247" spans="1:15" ht="150">
      <c r="A3247" s="3" t="s">
        <v>10</v>
      </c>
      <c r="B3247" s="3" t="s">
        <v>11</v>
      </c>
      <c r="C3247" s="4">
        <v>2026</v>
      </c>
      <c r="D3247" s="5" t="s">
        <v>12</v>
      </c>
      <c r="E3247" s="4">
        <v>444</v>
      </c>
      <c r="F3247" s="4" t="s">
        <v>193</v>
      </c>
      <c r="G3247" s="4" t="s">
        <v>964</v>
      </c>
      <c r="H3247" s="4" t="s">
        <v>21</v>
      </c>
      <c r="I3247" s="4" t="s">
        <v>46</v>
      </c>
      <c r="J3247" s="4" t="s">
        <v>1618</v>
      </c>
      <c r="K3247" s="4" t="s">
        <v>20</v>
      </c>
      <c r="L3247" s="4" t="s">
        <v>3743</v>
      </c>
      <c r="M3247" s="4" t="s">
        <v>3746</v>
      </c>
      <c r="N3247" s="4" t="s">
        <v>3747</v>
      </c>
      <c r="O3247" s="17" t="str">
        <f>INDEX('список ID из СУЭ с должностями'!$A:$F,MATCH(E3247,'список ID из СУЭ с должностями'!$B:$B,0),5)</f>
        <v>Инж смены</v>
      </c>
    </row>
    <row r="3248" spans="1:15" ht="60">
      <c r="A3248" s="3" t="s">
        <v>10</v>
      </c>
      <c r="B3248" s="3" t="s">
        <v>11</v>
      </c>
      <c r="C3248" s="4">
        <v>2026</v>
      </c>
      <c r="D3248" s="5" t="s">
        <v>12</v>
      </c>
      <c r="E3248" s="4">
        <v>444</v>
      </c>
      <c r="F3248" s="4" t="s">
        <v>193</v>
      </c>
      <c r="G3248" s="4" t="s">
        <v>964</v>
      </c>
      <c r="H3248" s="4" t="s">
        <v>15</v>
      </c>
      <c r="I3248" s="4" t="s">
        <v>1588</v>
      </c>
      <c r="J3248" s="4" t="s">
        <v>1619</v>
      </c>
      <c r="K3248" s="4" t="s">
        <v>151</v>
      </c>
      <c r="L3248" s="4" t="s">
        <v>3742</v>
      </c>
      <c r="M3248" s="4" t="s">
        <v>3746</v>
      </c>
      <c r="N3248" s="4" t="s">
        <v>3747</v>
      </c>
      <c r="O3248" s="17" t="str">
        <f>INDEX('список ID из СУЭ с должностями'!$A:$F,MATCH(E3248,'список ID из СУЭ с должностями'!$B:$B,0),5)</f>
        <v>Инж смены</v>
      </c>
    </row>
    <row r="3249" spans="1:15" ht="45">
      <c r="A3249" s="3" t="s">
        <v>10</v>
      </c>
      <c r="B3249" s="3" t="s">
        <v>11</v>
      </c>
      <c r="C3249" s="4">
        <v>2026</v>
      </c>
      <c r="D3249" s="5" t="s">
        <v>12</v>
      </c>
      <c r="E3249" s="4">
        <v>444</v>
      </c>
      <c r="F3249" s="4" t="s">
        <v>193</v>
      </c>
      <c r="G3249" s="4" t="s">
        <v>964</v>
      </c>
      <c r="H3249" s="4" t="s">
        <v>15</v>
      </c>
      <c r="I3249" s="4" t="s">
        <v>48</v>
      </c>
      <c r="J3249" s="4" t="s">
        <v>187</v>
      </c>
      <c r="K3249" s="4" t="s">
        <v>35</v>
      </c>
      <c r="L3249" s="4" t="s">
        <v>3743</v>
      </c>
      <c r="M3249" s="4" t="s">
        <v>3746</v>
      </c>
      <c r="N3249" s="4" t="s">
        <v>3747</v>
      </c>
      <c r="O3249" s="17" t="str">
        <f>INDEX('список ID из СУЭ с должностями'!$A:$F,MATCH(E3249,'список ID из СУЭ с должностями'!$B:$B,0),5)</f>
        <v>Инж смены</v>
      </c>
    </row>
    <row r="3250" spans="1:15" ht="60">
      <c r="A3250" s="3" t="s">
        <v>10</v>
      </c>
      <c r="B3250" s="3" t="s">
        <v>11</v>
      </c>
      <c r="C3250" s="4">
        <v>2026</v>
      </c>
      <c r="D3250" s="5" t="s">
        <v>12</v>
      </c>
      <c r="E3250" s="4">
        <v>445</v>
      </c>
      <c r="F3250" s="4" t="s">
        <v>239</v>
      </c>
      <c r="G3250" s="4" t="s">
        <v>1587</v>
      </c>
      <c r="H3250" s="4" t="s">
        <v>15</v>
      </c>
      <c r="I3250" s="4" t="s">
        <v>816</v>
      </c>
      <c r="J3250" s="4" t="s">
        <v>182</v>
      </c>
      <c r="K3250" s="4" t="s">
        <v>38</v>
      </c>
      <c r="L3250" s="4" t="s">
        <v>3742</v>
      </c>
      <c r="M3250" s="4" t="s">
        <v>3746</v>
      </c>
      <c r="N3250" s="4" t="s">
        <v>3747</v>
      </c>
      <c r="O3250" s="17" t="str">
        <f>INDEX('список ID из СУЭ с должностями'!$A:$F,MATCH(E3250,'список ID из СУЭ с должностями'!$B:$B,0),5)</f>
        <v>ИПП</v>
      </c>
    </row>
    <row r="3251" spans="1:15" ht="60">
      <c r="A3251" s="3" t="s">
        <v>10</v>
      </c>
      <c r="B3251" s="3" t="s">
        <v>11</v>
      </c>
      <c r="C3251" s="4">
        <v>2026</v>
      </c>
      <c r="D3251" s="5" t="s">
        <v>12</v>
      </c>
      <c r="E3251" s="4">
        <v>445</v>
      </c>
      <c r="F3251" s="4" t="s">
        <v>239</v>
      </c>
      <c r="G3251" s="4" t="s">
        <v>1587</v>
      </c>
      <c r="H3251" s="4" t="s">
        <v>15</v>
      </c>
      <c r="I3251" s="4" t="s">
        <v>817</v>
      </c>
      <c r="J3251" s="4" t="s">
        <v>196</v>
      </c>
      <c r="K3251" s="4" t="s">
        <v>38</v>
      </c>
      <c r="L3251" s="4" t="s">
        <v>3742</v>
      </c>
      <c r="M3251" s="4" t="s">
        <v>3746</v>
      </c>
      <c r="N3251" s="4" t="s">
        <v>3747</v>
      </c>
      <c r="O3251" s="17" t="str">
        <f>INDEX('список ID из СУЭ с должностями'!$A:$F,MATCH(E3251,'список ID из СУЭ с должностями'!$B:$B,0),5)</f>
        <v>ИПП</v>
      </c>
    </row>
    <row r="3252" spans="1:15" ht="60">
      <c r="A3252" s="3" t="s">
        <v>10</v>
      </c>
      <c r="B3252" s="3" t="s">
        <v>11</v>
      </c>
      <c r="C3252" s="4">
        <v>2026</v>
      </c>
      <c r="D3252" s="5" t="s">
        <v>12</v>
      </c>
      <c r="E3252" s="4">
        <v>445</v>
      </c>
      <c r="F3252" s="4" t="s">
        <v>239</v>
      </c>
      <c r="G3252" s="4" t="s">
        <v>1587</v>
      </c>
      <c r="H3252" s="4" t="s">
        <v>15</v>
      </c>
      <c r="I3252" s="4" t="s">
        <v>243</v>
      </c>
      <c r="J3252" s="4" t="s">
        <v>132</v>
      </c>
      <c r="K3252" s="4" t="s">
        <v>38</v>
      </c>
      <c r="L3252" s="4" t="s">
        <v>3742</v>
      </c>
      <c r="M3252" s="4" t="s">
        <v>3746</v>
      </c>
      <c r="N3252" s="4" t="s">
        <v>3747</v>
      </c>
      <c r="O3252" s="17" t="str">
        <f>INDEX('список ID из СУЭ с должностями'!$A:$F,MATCH(E3252,'список ID из СУЭ с должностями'!$B:$B,0),5)</f>
        <v>ИПП</v>
      </c>
    </row>
    <row r="3253" spans="1:15" ht="90">
      <c r="A3253" s="3" t="s">
        <v>10</v>
      </c>
      <c r="B3253" s="3" t="s">
        <v>11</v>
      </c>
      <c r="C3253" s="4">
        <v>2026</v>
      </c>
      <c r="D3253" s="5" t="s">
        <v>12</v>
      </c>
      <c r="E3253" s="4">
        <v>445</v>
      </c>
      <c r="F3253" s="4" t="s">
        <v>239</v>
      </c>
      <c r="G3253" s="4" t="s">
        <v>1587</v>
      </c>
      <c r="H3253" s="4" t="s">
        <v>15</v>
      </c>
      <c r="I3253" s="4" t="s">
        <v>198</v>
      </c>
      <c r="J3253" s="4" t="s">
        <v>818</v>
      </c>
      <c r="K3253" s="4" t="s">
        <v>20</v>
      </c>
      <c r="L3253" s="4" t="s">
        <v>3743</v>
      </c>
      <c r="M3253" s="4" t="s">
        <v>3746</v>
      </c>
      <c r="N3253" s="4" t="s">
        <v>3747</v>
      </c>
      <c r="O3253" s="17" t="str">
        <f>INDEX('список ID из СУЭ с должностями'!$A:$F,MATCH(E3253,'список ID из СУЭ с должностями'!$B:$B,0),5)</f>
        <v>ИПП</v>
      </c>
    </row>
    <row r="3254" spans="1:15" ht="60">
      <c r="A3254" s="3" t="s">
        <v>10</v>
      </c>
      <c r="B3254" s="3" t="s">
        <v>11</v>
      </c>
      <c r="C3254" s="4">
        <v>2026</v>
      </c>
      <c r="D3254" s="5" t="s">
        <v>12</v>
      </c>
      <c r="E3254" s="4">
        <v>445</v>
      </c>
      <c r="F3254" s="4" t="s">
        <v>239</v>
      </c>
      <c r="G3254" s="4" t="s">
        <v>1587</v>
      </c>
      <c r="H3254" s="4" t="s">
        <v>15</v>
      </c>
      <c r="I3254" s="4" t="s">
        <v>819</v>
      </c>
      <c r="J3254" s="4" t="s">
        <v>200</v>
      </c>
      <c r="K3254" s="4" t="s">
        <v>66</v>
      </c>
      <c r="L3254" s="4" t="s">
        <v>3742</v>
      </c>
      <c r="M3254" s="4" t="s">
        <v>3746</v>
      </c>
      <c r="N3254" s="4" t="s">
        <v>3747</v>
      </c>
      <c r="O3254" s="17" t="str">
        <f>INDEX('список ID из СУЭ с должностями'!$A:$F,MATCH(E3254,'список ID из СУЭ с должностями'!$B:$B,0),5)</f>
        <v>ИПП</v>
      </c>
    </row>
    <row r="3255" spans="1:15" ht="60">
      <c r="A3255" s="3" t="s">
        <v>10</v>
      </c>
      <c r="B3255" s="3" t="s">
        <v>11</v>
      </c>
      <c r="C3255" s="4">
        <v>2026</v>
      </c>
      <c r="D3255" s="5" t="s">
        <v>12</v>
      </c>
      <c r="E3255" s="4">
        <v>445</v>
      </c>
      <c r="F3255" s="4" t="s">
        <v>239</v>
      </c>
      <c r="G3255" s="4" t="s">
        <v>1587</v>
      </c>
      <c r="H3255" s="4" t="s">
        <v>15</v>
      </c>
      <c r="I3255" s="4" t="s">
        <v>48</v>
      </c>
      <c r="J3255" s="4" t="s">
        <v>187</v>
      </c>
      <c r="K3255" s="4" t="s">
        <v>35</v>
      </c>
      <c r="L3255" s="4" t="s">
        <v>3743</v>
      </c>
      <c r="M3255" s="4" t="s">
        <v>3746</v>
      </c>
      <c r="N3255" s="4" t="s">
        <v>3747</v>
      </c>
      <c r="O3255" s="17" t="str">
        <f>INDEX('список ID из СУЭ с должностями'!$A:$F,MATCH(E3255,'список ID из СУЭ с должностями'!$B:$B,0),5)</f>
        <v>ИПП</v>
      </c>
    </row>
    <row r="3256" spans="1:15" ht="120">
      <c r="A3256" s="3" t="s">
        <v>10</v>
      </c>
      <c r="B3256" s="3" t="s">
        <v>2</v>
      </c>
      <c r="C3256" s="4">
        <v>2026</v>
      </c>
      <c r="D3256" s="5" t="s">
        <v>12</v>
      </c>
      <c r="E3256" s="4">
        <v>446</v>
      </c>
      <c r="F3256" s="4" t="s">
        <v>1643</v>
      </c>
      <c r="G3256" s="4" t="s">
        <v>1640</v>
      </c>
      <c r="H3256" s="4" t="s">
        <v>41</v>
      </c>
      <c r="I3256" s="4" t="s">
        <v>3193</v>
      </c>
      <c r="J3256" s="4" t="s">
        <v>3194</v>
      </c>
      <c r="K3256" s="4" t="s">
        <v>35</v>
      </c>
      <c r="L3256" s="4" t="s">
        <v>3743</v>
      </c>
      <c r="M3256" s="4" t="s">
        <v>3746</v>
      </c>
      <c r="N3256" s="4" t="s">
        <v>3747</v>
      </c>
      <c r="O3256" s="17">
        <f>INDEX('список ID из СУЭ с должностями'!$A:$F,MATCH(E3256,'список ID из СУЭ с должностями'!$B:$B,0),5)</f>
        <v>0</v>
      </c>
    </row>
    <row r="3257" spans="1:15" ht="135">
      <c r="A3257" s="3" t="s">
        <v>10</v>
      </c>
      <c r="B3257" s="3" t="s">
        <v>2</v>
      </c>
      <c r="C3257" s="4">
        <v>2026</v>
      </c>
      <c r="D3257" s="5" t="s">
        <v>12</v>
      </c>
      <c r="E3257" s="4">
        <v>446</v>
      </c>
      <c r="F3257" s="4" t="s">
        <v>1643</v>
      </c>
      <c r="G3257" s="4" t="s">
        <v>1640</v>
      </c>
      <c r="H3257" s="4" t="s">
        <v>15</v>
      </c>
      <c r="I3257" s="4" t="s">
        <v>3195</v>
      </c>
      <c r="J3257" s="4" t="s">
        <v>3196</v>
      </c>
      <c r="K3257" s="4" t="s">
        <v>23</v>
      </c>
      <c r="L3257" s="4" t="s">
        <v>3743</v>
      </c>
      <c r="M3257" s="4" t="s">
        <v>3748</v>
      </c>
      <c r="N3257" s="4" t="s">
        <v>3749</v>
      </c>
      <c r="O3257" s="17">
        <f>INDEX('список ID из СУЭ с должностями'!$A:$F,MATCH(E3257,'список ID из СУЭ с должностями'!$B:$B,0),5)</f>
        <v>0</v>
      </c>
    </row>
    <row r="3258" spans="1:15" ht="195">
      <c r="A3258" s="3" t="s">
        <v>10</v>
      </c>
      <c r="B3258" s="3" t="s">
        <v>2</v>
      </c>
      <c r="C3258" s="4">
        <v>2026</v>
      </c>
      <c r="D3258" s="5" t="s">
        <v>12</v>
      </c>
      <c r="E3258" s="4">
        <v>446</v>
      </c>
      <c r="F3258" s="4" t="s">
        <v>1643</v>
      </c>
      <c r="G3258" s="4" t="s">
        <v>1640</v>
      </c>
      <c r="H3258" s="4" t="s">
        <v>15</v>
      </c>
      <c r="I3258" s="4" t="s">
        <v>3197</v>
      </c>
      <c r="J3258" s="4" t="s">
        <v>3198</v>
      </c>
      <c r="K3258" s="4" t="s">
        <v>23</v>
      </c>
      <c r="L3258" s="4" t="s">
        <v>3743</v>
      </c>
      <c r="M3258" s="4" t="s">
        <v>3748</v>
      </c>
      <c r="N3258" s="4" t="s">
        <v>3752</v>
      </c>
      <c r="O3258" s="17">
        <f>INDEX('список ID из СУЭ с должностями'!$A:$F,MATCH(E3258,'список ID из СУЭ с должностями'!$B:$B,0),5)</f>
        <v>0</v>
      </c>
    </row>
    <row r="3259" spans="1:15" ht="135">
      <c r="A3259" s="3" t="s">
        <v>10</v>
      </c>
      <c r="B3259" s="3" t="s">
        <v>2</v>
      </c>
      <c r="C3259" s="4">
        <v>2026</v>
      </c>
      <c r="D3259" s="5" t="s">
        <v>12</v>
      </c>
      <c r="E3259" s="4">
        <v>446</v>
      </c>
      <c r="F3259" s="4" t="s">
        <v>1643</v>
      </c>
      <c r="G3259" s="4" t="s">
        <v>1640</v>
      </c>
      <c r="H3259" s="4" t="s">
        <v>15</v>
      </c>
      <c r="I3259" s="4" t="s">
        <v>1842</v>
      </c>
      <c r="J3259" s="4" t="s">
        <v>3199</v>
      </c>
      <c r="K3259" s="4" t="s">
        <v>23</v>
      </c>
      <c r="L3259" s="4" t="s">
        <v>3743</v>
      </c>
      <c r="M3259" s="4" t="s">
        <v>3748</v>
      </c>
      <c r="N3259" s="4" t="s">
        <v>3752</v>
      </c>
      <c r="O3259" s="17">
        <f>INDEX('список ID из СУЭ с должностями'!$A:$F,MATCH(E3259,'список ID из СУЭ с должностями'!$B:$B,0),5)</f>
        <v>0</v>
      </c>
    </row>
    <row r="3260" spans="1:15" ht="315">
      <c r="A3260" s="3" t="s">
        <v>10</v>
      </c>
      <c r="B3260" s="3" t="s">
        <v>2</v>
      </c>
      <c r="C3260" s="4">
        <v>2026</v>
      </c>
      <c r="D3260" s="5" t="s">
        <v>12</v>
      </c>
      <c r="E3260" s="4">
        <v>446</v>
      </c>
      <c r="F3260" s="4" t="s">
        <v>1643</v>
      </c>
      <c r="G3260" s="4" t="s">
        <v>1640</v>
      </c>
      <c r="H3260" s="4" t="s">
        <v>15</v>
      </c>
      <c r="I3260" s="4" t="s">
        <v>3200</v>
      </c>
      <c r="J3260" s="4" t="s">
        <v>3201</v>
      </c>
      <c r="K3260" s="4" t="s">
        <v>23</v>
      </c>
      <c r="L3260" s="4" t="s">
        <v>3743</v>
      </c>
      <c r="M3260" s="4" t="s">
        <v>3748</v>
      </c>
      <c r="N3260" s="4" t="s">
        <v>3752</v>
      </c>
      <c r="O3260" s="17">
        <f>INDEX('список ID из СУЭ с должностями'!$A:$F,MATCH(E3260,'список ID из СУЭ с должностями'!$B:$B,0),5)</f>
        <v>0</v>
      </c>
    </row>
    <row r="3261" spans="1:15" ht="210">
      <c r="A3261" s="3" t="s">
        <v>10</v>
      </c>
      <c r="B3261" s="3" t="s">
        <v>2</v>
      </c>
      <c r="C3261" s="4">
        <v>2026</v>
      </c>
      <c r="D3261" s="5" t="s">
        <v>12</v>
      </c>
      <c r="E3261" s="4">
        <v>446</v>
      </c>
      <c r="F3261" s="4" t="s">
        <v>1643</v>
      </c>
      <c r="G3261" s="4" t="s">
        <v>1640</v>
      </c>
      <c r="H3261" s="4" t="s">
        <v>15</v>
      </c>
      <c r="I3261" s="4" t="s">
        <v>3202</v>
      </c>
      <c r="J3261" s="4" t="s">
        <v>3203</v>
      </c>
      <c r="K3261" s="4" t="s">
        <v>23</v>
      </c>
      <c r="L3261" s="4" t="s">
        <v>3743</v>
      </c>
      <c r="M3261" s="4" t="s">
        <v>3748</v>
      </c>
      <c r="N3261" s="4" t="s">
        <v>3752</v>
      </c>
      <c r="O3261" s="17">
        <f>INDEX('список ID из СУЭ с должностями'!$A:$F,MATCH(E3261,'список ID из СУЭ с должностями'!$B:$B,0),5)</f>
        <v>0</v>
      </c>
    </row>
    <row r="3262" spans="1:15" ht="105">
      <c r="A3262" s="3" t="s">
        <v>10</v>
      </c>
      <c r="B3262" s="3" t="s">
        <v>11</v>
      </c>
      <c r="C3262" s="4">
        <v>2026</v>
      </c>
      <c r="D3262" s="5" t="s">
        <v>12</v>
      </c>
      <c r="E3262" s="4">
        <v>447</v>
      </c>
      <c r="F3262" s="4" t="s">
        <v>1256</v>
      </c>
      <c r="G3262" s="4" t="s">
        <v>1253</v>
      </c>
      <c r="H3262" s="4" t="s">
        <v>21</v>
      </c>
      <c r="I3262" s="4" t="s">
        <v>2551</v>
      </c>
      <c r="J3262" s="4" t="s">
        <v>3204</v>
      </c>
      <c r="K3262" s="4" t="s">
        <v>3205</v>
      </c>
      <c r="L3262" s="4" t="s">
        <v>3743</v>
      </c>
      <c r="M3262" s="4" t="s">
        <v>3746</v>
      </c>
      <c r="N3262" s="4" t="s">
        <v>3764</v>
      </c>
      <c r="O3262" s="17">
        <f>INDEX('список ID из СУЭ с должностями'!$A:$F,MATCH(E3262,'список ID из СУЭ с должностями'!$B:$B,0),5)</f>
        <v>0</v>
      </c>
    </row>
    <row r="3263" spans="1:15" ht="210">
      <c r="A3263" s="3" t="s">
        <v>10</v>
      </c>
      <c r="B3263" s="3" t="s">
        <v>11</v>
      </c>
      <c r="C3263" s="4">
        <v>2026</v>
      </c>
      <c r="D3263" s="5" t="s">
        <v>12</v>
      </c>
      <c r="E3263" s="4">
        <v>447</v>
      </c>
      <c r="F3263" s="4" t="s">
        <v>1256</v>
      </c>
      <c r="G3263" s="4" t="s">
        <v>1253</v>
      </c>
      <c r="H3263" s="4" t="s">
        <v>21</v>
      </c>
      <c r="I3263" s="4" t="s">
        <v>1257</v>
      </c>
      <c r="J3263" s="4" t="s">
        <v>3206</v>
      </c>
      <c r="K3263" s="4" t="s">
        <v>25</v>
      </c>
      <c r="L3263" s="4" t="s">
        <v>3743</v>
      </c>
      <c r="M3263" s="4" t="s">
        <v>3746</v>
      </c>
      <c r="N3263" s="4" t="s">
        <v>3747</v>
      </c>
      <c r="O3263" s="17">
        <f>INDEX('список ID из СУЭ с должностями'!$A:$F,MATCH(E3263,'список ID из СУЭ с должностями'!$B:$B,0),5)</f>
        <v>0</v>
      </c>
    </row>
    <row r="3264" spans="1:15" ht="60">
      <c r="A3264" s="3" t="s">
        <v>10</v>
      </c>
      <c r="B3264" s="3" t="s">
        <v>11</v>
      </c>
      <c r="C3264" s="4">
        <v>2026</v>
      </c>
      <c r="D3264" s="5" t="s">
        <v>12</v>
      </c>
      <c r="E3264" s="4">
        <v>447</v>
      </c>
      <c r="F3264" s="4" t="s">
        <v>1256</v>
      </c>
      <c r="G3264" s="4" t="s">
        <v>1253</v>
      </c>
      <c r="H3264" s="4" t="s">
        <v>21</v>
      </c>
      <c r="I3264" s="4" t="s">
        <v>2993</v>
      </c>
      <c r="J3264" s="4" t="s">
        <v>3207</v>
      </c>
      <c r="K3264" s="4" t="s">
        <v>23</v>
      </c>
      <c r="L3264" s="4" t="s">
        <v>3743</v>
      </c>
      <c r="M3264" s="4" t="s">
        <v>3748</v>
      </c>
      <c r="N3264" s="4" t="s">
        <v>3752</v>
      </c>
      <c r="O3264" s="17">
        <f>INDEX('список ID из СУЭ с должностями'!$A:$F,MATCH(E3264,'список ID из СУЭ с должностями'!$B:$B,0),5)</f>
        <v>0</v>
      </c>
    </row>
    <row r="3265" spans="1:15" ht="60">
      <c r="A3265" s="3" t="s">
        <v>10</v>
      </c>
      <c r="B3265" s="3" t="s">
        <v>11</v>
      </c>
      <c r="C3265" s="4">
        <v>2026</v>
      </c>
      <c r="D3265" s="5" t="s">
        <v>12</v>
      </c>
      <c r="E3265" s="4">
        <v>447</v>
      </c>
      <c r="F3265" s="4" t="s">
        <v>1256</v>
      </c>
      <c r="G3265" s="4" t="s">
        <v>1253</v>
      </c>
      <c r="H3265" s="4" t="s">
        <v>15</v>
      </c>
      <c r="I3265" s="4" t="s">
        <v>3208</v>
      </c>
      <c r="J3265" s="4" t="s">
        <v>3209</v>
      </c>
      <c r="K3265" s="4" t="s">
        <v>30</v>
      </c>
      <c r="L3265" s="4" t="s">
        <v>3742</v>
      </c>
      <c r="M3265" s="4" t="s">
        <v>3746</v>
      </c>
      <c r="N3265" s="4" t="s">
        <v>3747</v>
      </c>
      <c r="O3265" s="17">
        <f>INDEX('список ID из СУЭ с должностями'!$A:$F,MATCH(E3265,'список ID из СУЭ с должностями'!$B:$B,0),5)</f>
        <v>0</v>
      </c>
    </row>
    <row r="3266" spans="1:15" ht="60">
      <c r="A3266" s="3" t="s">
        <v>10</v>
      </c>
      <c r="B3266" s="3" t="s">
        <v>11</v>
      </c>
      <c r="C3266" s="4">
        <v>2026</v>
      </c>
      <c r="D3266" s="5" t="s">
        <v>12</v>
      </c>
      <c r="E3266" s="4">
        <v>447</v>
      </c>
      <c r="F3266" s="4" t="s">
        <v>1256</v>
      </c>
      <c r="G3266" s="4" t="s">
        <v>1253</v>
      </c>
      <c r="H3266" s="4" t="s">
        <v>21</v>
      </c>
      <c r="I3266" s="4" t="s">
        <v>2989</v>
      </c>
      <c r="J3266" s="4" t="s">
        <v>3210</v>
      </c>
      <c r="K3266" s="4" t="s">
        <v>855</v>
      </c>
      <c r="L3266" s="4" t="s">
        <v>3743</v>
      </c>
      <c r="M3266" s="4" t="s">
        <v>3746</v>
      </c>
      <c r="N3266" s="4" t="s">
        <v>3764</v>
      </c>
      <c r="O3266" s="17">
        <f>INDEX('список ID из СУЭ с должностями'!$A:$F,MATCH(E3266,'список ID из СУЭ с должностями'!$B:$B,0),5)</f>
        <v>0</v>
      </c>
    </row>
    <row r="3267" spans="1:15" ht="105">
      <c r="A3267" s="3" t="s">
        <v>10</v>
      </c>
      <c r="B3267" s="3" t="s">
        <v>11</v>
      </c>
      <c r="C3267" s="4">
        <v>2026</v>
      </c>
      <c r="D3267" s="5" t="s">
        <v>12</v>
      </c>
      <c r="E3267" s="4">
        <v>447</v>
      </c>
      <c r="F3267" s="4" t="s">
        <v>1256</v>
      </c>
      <c r="G3267" s="4" t="s">
        <v>1253</v>
      </c>
      <c r="H3267" s="4" t="s">
        <v>41</v>
      </c>
      <c r="I3267" s="4" t="s">
        <v>2998</v>
      </c>
      <c r="J3267" s="4" t="s">
        <v>2999</v>
      </c>
      <c r="K3267" s="4" t="s">
        <v>3000</v>
      </c>
      <c r="L3267" s="4" t="s">
        <v>3743</v>
      </c>
      <c r="M3267" s="4" t="s">
        <v>3746</v>
      </c>
      <c r="N3267" s="4" t="s">
        <v>3764</v>
      </c>
      <c r="O3267" s="17">
        <f>INDEX('список ID из СУЭ с должностями'!$A:$F,MATCH(E3267,'список ID из СУЭ с должностями'!$B:$B,0),5)</f>
        <v>0</v>
      </c>
    </row>
    <row r="3268" spans="1:15" ht="75">
      <c r="A3268" s="3" t="s">
        <v>10</v>
      </c>
      <c r="B3268" s="3" t="s">
        <v>11</v>
      </c>
      <c r="C3268" s="4">
        <v>2026</v>
      </c>
      <c r="D3268" s="5" t="s">
        <v>12</v>
      </c>
      <c r="E3268" s="4">
        <v>447</v>
      </c>
      <c r="F3268" s="4" t="s">
        <v>1256</v>
      </c>
      <c r="G3268" s="4" t="s">
        <v>1253</v>
      </c>
      <c r="H3268" s="4" t="s">
        <v>21</v>
      </c>
      <c r="I3268" s="4" t="s">
        <v>1263</v>
      </c>
      <c r="J3268" s="4" t="s">
        <v>3211</v>
      </c>
      <c r="K3268" s="4" t="s">
        <v>52</v>
      </c>
      <c r="L3268" s="4" t="s">
        <v>3743</v>
      </c>
      <c r="M3268" s="4" t="s">
        <v>3746</v>
      </c>
      <c r="N3268" s="4" t="s">
        <v>3747</v>
      </c>
      <c r="O3268" s="17">
        <f>INDEX('список ID из СУЭ с должностями'!$A:$F,MATCH(E3268,'список ID из СУЭ с должностями'!$B:$B,0),5)</f>
        <v>0</v>
      </c>
    </row>
    <row r="3269" spans="1:15" ht="225">
      <c r="A3269" s="3" t="s">
        <v>10</v>
      </c>
      <c r="B3269" s="3" t="s">
        <v>11</v>
      </c>
      <c r="C3269" s="4">
        <v>2026</v>
      </c>
      <c r="D3269" s="5" t="s">
        <v>12</v>
      </c>
      <c r="E3269" s="4">
        <v>447</v>
      </c>
      <c r="F3269" s="4" t="s">
        <v>1256</v>
      </c>
      <c r="G3269" s="4" t="s">
        <v>1253</v>
      </c>
      <c r="H3269" s="4" t="s">
        <v>21</v>
      </c>
      <c r="I3269" s="4" t="s">
        <v>2995</v>
      </c>
      <c r="J3269" s="4" t="s">
        <v>2996</v>
      </c>
      <c r="K3269" s="4" t="s">
        <v>2997</v>
      </c>
      <c r="L3269" s="4" t="s">
        <v>3743</v>
      </c>
      <c r="M3269" s="4" t="s">
        <v>3746</v>
      </c>
      <c r="N3269" s="4" t="s">
        <v>3764</v>
      </c>
      <c r="O3269" s="17">
        <f>INDEX('список ID из СУЭ с должностями'!$A:$F,MATCH(E3269,'список ID из СУЭ с должностями'!$B:$B,0),5)</f>
        <v>0</v>
      </c>
    </row>
    <row r="3270" spans="1:15" ht="75">
      <c r="A3270" s="3" t="s">
        <v>10</v>
      </c>
      <c r="B3270" s="3" t="s">
        <v>11</v>
      </c>
      <c r="C3270" s="4">
        <v>2026</v>
      </c>
      <c r="D3270" s="5" t="s">
        <v>12</v>
      </c>
      <c r="E3270" s="4">
        <v>447</v>
      </c>
      <c r="F3270" s="4" t="s">
        <v>1256</v>
      </c>
      <c r="G3270" s="4" t="s">
        <v>1253</v>
      </c>
      <c r="H3270" s="4" t="s">
        <v>15</v>
      </c>
      <c r="I3270" s="4" t="s">
        <v>3212</v>
      </c>
      <c r="J3270" s="4" t="s">
        <v>132</v>
      </c>
      <c r="K3270" s="4" t="s">
        <v>20</v>
      </c>
      <c r="L3270" s="4" t="s">
        <v>3742</v>
      </c>
      <c r="M3270" s="4" t="s">
        <v>3746</v>
      </c>
      <c r="N3270" s="4" t="s">
        <v>3747</v>
      </c>
      <c r="O3270" s="17">
        <f>INDEX('список ID из СУЭ с должностями'!$A:$F,MATCH(E3270,'список ID из СУЭ с должностями'!$B:$B,0),5)</f>
        <v>0</v>
      </c>
    </row>
    <row r="3271" spans="1:15" ht="240">
      <c r="A3271" s="3" t="s">
        <v>10</v>
      </c>
      <c r="B3271" s="3" t="s">
        <v>11</v>
      </c>
      <c r="C3271" s="4">
        <v>2026</v>
      </c>
      <c r="D3271" s="5" t="s">
        <v>12</v>
      </c>
      <c r="E3271" s="4">
        <v>447</v>
      </c>
      <c r="F3271" s="4" t="s">
        <v>1256</v>
      </c>
      <c r="G3271" s="4" t="s">
        <v>1253</v>
      </c>
      <c r="H3271" s="4" t="s">
        <v>21</v>
      </c>
      <c r="I3271" s="4" t="s">
        <v>3213</v>
      </c>
      <c r="J3271" s="4" t="s">
        <v>3214</v>
      </c>
      <c r="K3271" s="4" t="s">
        <v>1267</v>
      </c>
      <c r="L3271" s="4" t="s">
        <v>3743</v>
      </c>
      <c r="M3271" s="4" t="s">
        <v>3746</v>
      </c>
      <c r="N3271" s="4" t="s">
        <v>3764</v>
      </c>
      <c r="O3271" s="17">
        <f>INDEX('список ID из СУЭ с должностями'!$A:$F,MATCH(E3271,'список ID из СУЭ с должностями'!$B:$B,0),5)</f>
        <v>0</v>
      </c>
    </row>
    <row r="3272" spans="1:15" ht="60">
      <c r="A3272" s="3" t="s">
        <v>10</v>
      </c>
      <c r="B3272" s="3" t="s">
        <v>11</v>
      </c>
      <c r="C3272" s="4">
        <v>2026</v>
      </c>
      <c r="D3272" s="5" t="s">
        <v>12</v>
      </c>
      <c r="E3272" s="4">
        <v>448</v>
      </c>
      <c r="F3272" s="4" t="s">
        <v>84</v>
      </c>
      <c r="G3272" s="4" t="s">
        <v>2668</v>
      </c>
      <c r="H3272" s="4" t="s">
        <v>15</v>
      </c>
      <c r="I3272" s="4" t="s">
        <v>2705</v>
      </c>
      <c r="J3272" s="4" t="s">
        <v>2706</v>
      </c>
      <c r="K3272" s="4" t="s">
        <v>2679</v>
      </c>
      <c r="L3272" s="4" t="s">
        <v>3743</v>
      </c>
      <c r="M3272" s="4" t="s">
        <v>3746</v>
      </c>
      <c r="N3272" s="4" t="s">
        <v>3757</v>
      </c>
      <c r="O3272" s="17">
        <f>INDEX('список ID из СУЭ с должностями'!$A:$F,MATCH(E3272,'список ID из СУЭ с должностями'!$B:$B,0),5)</f>
        <v>0</v>
      </c>
    </row>
    <row r="3273" spans="1:15" ht="60">
      <c r="A3273" s="3" t="s">
        <v>10</v>
      </c>
      <c r="B3273" s="3" t="s">
        <v>11</v>
      </c>
      <c r="C3273" s="4">
        <v>2026</v>
      </c>
      <c r="D3273" s="5" t="s">
        <v>12</v>
      </c>
      <c r="E3273" s="4">
        <v>448</v>
      </c>
      <c r="F3273" s="4" t="s">
        <v>84</v>
      </c>
      <c r="G3273" s="4" t="s">
        <v>2668</v>
      </c>
      <c r="H3273" s="4" t="s">
        <v>21</v>
      </c>
      <c r="I3273" s="4" t="s">
        <v>2699</v>
      </c>
      <c r="J3273" s="4" t="s">
        <v>2700</v>
      </c>
      <c r="K3273" s="4" t="s">
        <v>524</v>
      </c>
      <c r="L3273" s="4" t="s">
        <v>3742</v>
      </c>
      <c r="M3273" s="4" t="s">
        <v>3746</v>
      </c>
      <c r="N3273" s="4" t="s">
        <v>3757</v>
      </c>
      <c r="O3273" s="17">
        <f>INDEX('список ID из СУЭ с должностями'!$A:$F,MATCH(E3273,'список ID из СУЭ с должностями'!$B:$B,0),5)</f>
        <v>0</v>
      </c>
    </row>
    <row r="3274" spans="1:15" ht="60">
      <c r="A3274" s="3" t="s">
        <v>10</v>
      </c>
      <c r="B3274" s="3" t="s">
        <v>11</v>
      </c>
      <c r="C3274" s="4">
        <v>2026</v>
      </c>
      <c r="D3274" s="5" t="s">
        <v>12</v>
      </c>
      <c r="E3274" s="4">
        <v>448</v>
      </c>
      <c r="F3274" s="4" t="s">
        <v>84</v>
      </c>
      <c r="G3274" s="4" t="s">
        <v>2668</v>
      </c>
      <c r="H3274" s="4" t="s">
        <v>15</v>
      </c>
      <c r="I3274" s="4" t="s">
        <v>2709</v>
      </c>
      <c r="J3274" s="4" t="s">
        <v>2710</v>
      </c>
      <c r="K3274" s="4" t="s">
        <v>23</v>
      </c>
      <c r="L3274" s="4" t="s">
        <v>3743</v>
      </c>
      <c r="M3274" s="4" t="s">
        <v>3748</v>
      </c>
      <c r="N3274" s="4" t="s">
        <v>3749</v>
      </c>
      <c r="O3274" s="17">
        <f>INDEX('список ID из СУЭ с должностями'!$A:$F,MATCH(E3274,'список ID из СУЭ с должностями'!$B:$B,0),5)</f>
        <v>0</v>
      </c>
    </row>
    <row r="3275" spans="1:15" ht="60">
      <c r="A3275" s="3" t="s">
        <v>10</v>
      </c>
      <c r="B3275" s="3" t="s">
        <v>11</v>
      </c>
      <c r="C3275" s="4">
        <v>2026</v>
      </c>
      <c r="D3275" s="5" t="s">
        <v>12</v>
      </c>
      <c r="E3275" s="4">
        <v>448</v>
      </c>
      <c r="F3275" s="4" t="s">
        <v>84</v>
      </c>
      <c r="G3275" s="4" t="s">
        <v>2668</v>
      </c>
      <c r="H3275" s="4" t="s">
        <v>15</v>
      </c>
      <c r="I3275" s="4" t="s">
        <v>2714</v>
      </c>
      <c r="J3275" s="4" t="s">
        <v>2715</v>
      </c>
      <c r="K3275" s="4" t="s">
        <v>2679</v>
      </c>
      <c r="L3275" s="4" t="s">
        <v>3743</v>
      </c>
      <c r="M3275" s="4" t="s">
        <v>3746</v>
      </c>
      <c r="N3275" s="4" t="s">
        <v>3757</v>
      </c>
      <c r="O3275" s="17">
        <f>INDEX('список ID из СУЭ с должностями'!$A:$F,MATCH(E3275,'список ID из СУЭ с должностями'!$B:$B,0),5)</f>
        <v>0</v>
      </c>
    </row>
    <row r="3276" spans="1:15" ht="90">
      <c r="A3276" s="3" t="s">
        <v>10</v>
      </c>
      <c r="B3276" s="3" t="s">
        <v>11</v>
      </c>
      <c r="C3276" s="4">
        <v>2026</v>
      </c>
      <c r="D3276" s="5" t="s">
        <v>12</v>
      </c>
      <c r="E3276" s="4">
        <v>448</v>
      </c>
      <c r="F3276" s="4" t="s">
        <v>84</v>
      </c>
      <c r="G3276" s="4" t="s">
        <v>2668</v>
      </c>
      <c r="H3276" s="4" t="s">
        <v>15</v>
      </c>
      <c r="I3276" s="4" t="s">
        <v>3215</v>
      </c>
      <c r="J3276" s="4" t="s">
        <v>3216</v>
      </c>
      <c r="K3276" s="4" t="s">
        <v>2681</v>
      </c>
      <c r="L3276" s="4" t="s">
        <v>3743</v>
      </c>
      <c r="M3276" s="4" t="s">
        <v>3746</v>
      </c>
      <c r="N3276" s="4" t="s">
        <v>3757</v>
      </c>
      <c r="O3276" s="17">
        <f>INDEX('список ID из СУЭ с должностями'!$A:$F,MATCH(E3276,'список ID из СУЭ с должностями'!$B:$B,0),5)</f>
        <v>0</v>
      </c>
    </row>
    <row r="3277" spans="1:15" ht="135">
      <c r="A3277" s="3" t="s">
        <v>10</v>
      </c>
      <c r="B3277" s="3" t="s">
        <v>11</v>
      </c>
      <c r="C3277" s="4">
        <v>2026</v>
      </c>
      <c r="D3277" s="5" t="s">
        <v>12</v>
      </c>
      <c r="E3277" s="4">
        <v>448</v>
      </c>
      <c r="F3277" s="4" t="s">
        <v>84</v>
      </c>
      <c r="G3277" s="4" t="s">
        <v>2668</v>
      </c>
      <c r="H3277" s="4" t="s">
        <v>15</v>
      </c>
      <c r="I3277" s="4" t="s">
        <v>3217</v>
      </c>
      <c r="J3277" s="4" t="s">
        <v>3218</v>
      </c>
      <c r="K3277" s="4" t="s">
        <v>522</v>
      </c>
      <c r="L3277" s="4" t="s">
        <v>3743</v>
      </c>
      <c r="M3277" s="4" t="s">
        <v>3746</v>
      </c>
      <c r="N3277" s="4" t="s">
        <v>3757</v>
      </c>
      <c r="O3277" s="17">
        <f>INDEX('список ID из СУЭ с должностями'!$A:$F,MATCH(E3277,'список ID из СУЭ с должностями'!$B:$B,0),5)</f>
        <v>0</v>
      </c>
    </row>
    <row r="3278" spans="1:15" ht="255">
      <c r="A3278" s="3" t="s">
        <v>10</v>
      </c>
      <c r="B3278" s="3" t="s">
        <v>11</v>
      </c>
      <c r="C3278" s="4">
        <v>2026</v>
      </c>
      <c r="D3278" s="5" t="s">
        <v>12</v>
      </c>
      <c r="E3278" s="4">
        <v>448</v>
      </c>
      <c r="F3278" s="4" t="s">
        <v>84</v>
      </c>
      <c r="G3278" s="4" t="s">
        <v>2668</v>
      </c>
      <c r="H3278" s="4" t="s">
        <v>15</v>
      </c>
      <c r="I3278" s="4" t="s">
        <v>1323</v>
      </c>
      <c r="J3278" s="4" t="s">
        <v>1324</v>
      </c>
      <c r="K3278" s="4" t="s">
        <v>35</v>
      </c>
      <c r="L3278" s="4" t="s">
        <v>3743</v>
      </c>
      <c r="M3278" s="4" t="s">
        <v>3746</v>
      </c>
      <c r="N3278" s="4" t="s">
        <v>3747</v>
      </c>
      <c r="O3278" s="17">
        <f>INDEX('список ID из СУЭ с должностями'!$A:$F,MATCH(E3278,'список ID из СУЭ с должностями'!$B:$B,0),5)</f>
        <v>0</v>
      </c>
    </row>
    <row r="3279" spans="1:15" ht="165">
      <c r="A3279" s="3" t="s">
        <v>10</v>
      </c>
      <c r="B3279" s="3" t="s">
        <v>11</v>
      </c>
      <c r="C3279" s="4">
        <v>2026</v>
      </c>
      <c r="D3279" s="5" t="s">
        <v>12</v>
      </c>
      <c r="E3279" s="4">
        <v>449</v>
      </c>
      <c r="F3279" s="4" t="s">
        <v>851</v>
      </c>
      <c r="G3279" s="4" t="s">
        <v>852</v>
      </c>
      <c r="H3279" s="4" t="s">
        <v>21</v>
      </c>
      <c r="I3279" s="4" t="s">
        <v>806</v>
      </c>
      <c r="J3279" s="4" t="s">
        <v>853</v>
      </c>
      <c r="K3279" s="4" t="s">
        <v>35</v>
      </c>
      <c r="L3279" s="4" t="s">
        <v>3742</v>
      </c>
      <c r="M3279" s="4" t="s">
        <v>3746</v>
      </c>
      <c r="N3279" s="4" t="s">
        <v>3747</v>
      </c>
      <c r="O3279" s="17">
        <f>INDEX('список ID из СУЭ с должностями'!$A:$F,MATCH(E3279,'список ID из СУЭ с должностями'!$B:$B,0),5)</f>
        <v>0</v>
      </c>
    </row>
    <row r="3280" spans="1:15" ht="165">
      <c r="A3280" s="3" t="s">
        <v>10</v>
      </c>
      <c r="B3280" s="3" t="s">
        <v>11</v>
      </c>
      <c r="C3280" s="4">
        <v>2026</v>
      </c>
      <c r="D3280" s="5" t="s">
        <v>12</v>
      </c>
      <c r="E3280" s="4">
        <v>449</v>
      </c>
      <c r="F3280" s="4" t="s">
        <v>851</v>
      </c>
      <c r="G3280" s="4" t="s">
        <v>852</v>
      </c>
      <c r="H3280" s="4" t="s">
        <v>15</v>
      </c>
      <c r="I3280" s="4" t="s">
        <v>855</v>
      </c>
      <c r="J3280" s="4" t="s">
        <v>856</v>
      </c>
      <c r="K3280" s="4" t="s">
        <v>35</v>
      </c>
      <c r="L3280" s="4" t="s">
        <v>3743</v>
      </c>
      <c r="M3280" s="4" t="s">
        <v>3746</v>
      </c>
      <c r="N3280" s="4" t="s">
        <v>3747</v>
      </c>
      <c r="O3280" s="17">
        <f>INDEX('список ID из СУЭ с должностями'!$A:$F,MATCH(E3280,'список ID из СУЭ с должностями'!$B:$B,0),5)</f>
        <v>0</v>
      </c>
    </row>
    <row r="3281" spans="1:15" ht="165">
      <c r="A3281" s="3" t="s">
        <v>10</v>
      </c>
      <c r="B3281" s="3" t="s">
        <v>11</v>
      </c>
      <c r="C3281" s="4">
        <v>2026</v>
      </c>
      <c r="D3281" s="5" t="s">
        <v>12</v>
      </c>
      <c r="E3281" s="4">
        <v>449</v>
      </c>
      <c r="F3281" s="4" t="s">
        <v>851</v>
      </c>
      <c r="G3281" s="4" t="s">
        <v>852</v>
      </c>
      <c r="H3281" s="4" t="s">
        <v>41</v>
      </c>
      <c r="I3281" s="4" t="s">
        <v>857</v>
      </c>
      <c r="J3281" s="4" t="s">
        <v>858</v>
      </c>
      <c r="K3281" s="4" t="s">
        <v>35</v>
      </c>
      <c r="L3281" s="4" t="s">
        <v>3742</v>
      </c>
      <c r="M3281" s="4" t="s">
        <v>3746</v>
      </c>
      <c r="N3281" s="4" t="s">
        <v>3747</v>
      </c>
      <c r="O3281" s="17">
        <f>INDEX('список ID из СУЭ с должностями'!$A:$F,MATCH(E3281,'список ID из СУЭ с должностями'!$B:$B,0),5)</f>
        <v>0</v>
      </c>
    </row>
    <row r="3282" spans="1:15" ht="165">
      <c r="A3282" s="3" t="s">
        <v>10</v>
      </c>
      <c r="B3282" s="3" t="s">
        <v>11</v>
      </c>
      <c r="C3282" s="4">
        <v>2026</v>
      </c>
      <c r="D3282" s="5" t="s">
        <v>12</v>
      </c>
      <c r="E3282" s="4">
        <v>449</v>
      </c>
      <c r="F3282" s="4" t="s">
        <v>851</v>
      </c>
      <c r="G3282" s="4" t="s">
        <v>852</v>
      </c>
      <c r="H3282" s="4" t="s">
        <v>15</v>
      </c>
      <c r="I3282" s="4" t="s">
        <v>149</v>
      </c>
      <c r="J3282" s="4" t="s">
        <v>859</v>
      </c>
      <c r="K3282" s="4" t="s">
        <v>52</v>
      </c>
      <c r="L3282" s="4" t="s">
        <v>3743</v>
      </c>
      <c r="M3282" s="4" t="s">
        <v>3746</v>
      </c>
      <c r="N3282" s="4" t="s">
        <v>3747</v>
      </c>
      <c r="O3282" s="17">
        <f>INDEX('список ID из СУЭ с должностями'!$A:$F,MATCH(E3282,'список ID из СУЭ с должностями'!$B:$B,0),5)</f>
        <v>0</v>
      </c>
    </row>
    <row r="3283" spans="1:15" ht="225">
      <c r="A3283" s="3" t="s">
        <v>10</v>
      </c>
      <c r="B3283" s="3" t="s">
        <v>11</v>
      </c>
      <c r="C3283" s="4">
        <v>2026</v>
      </c>
      <c r="D3283" s="5" t="s">
        <v>12</v>
      </c>
      <c r="E3283" s="4">
        <v>449</v>
      </c>
      <c r="F3283" s="4" t="s">
        <v>851</v>
      </c>
      <c r="G3283" s="4" t="s">
        <v>852</v>
      </c>
      <c r="H3283" s="4" t="s">
        <v>15</v>
      </c>
      <c r="I3283" s="4" t="s">
        <v>303</v>
      </c>
      <c r="J3283" s="4" t="s">
        <v>860</v>
      </c>
      <c r="K3283" s="4" t="s">
        <v>52</v>
      </c>
      <c r="L3283" s="4" t="s">
        <v>3743</v>
      </c>
      <c r="M3283" s="4" t="s">
        <v>3746</v>
      </c>
      <c r="N3283" s="4" t="s">
        <v>3747</v>
      </c>
      <c r="O3283" s="17">
        <f>INDEX('список ID из СУЭ с должностями'!$A:$F,MATCH(E3283,'список ID из СУЭ с должностями'!$B:$B,0),5)</f>
        <v>0</v>
      </c>
    </row>
    <row r="3284" spans="1:15" ht="90">
      <c r="A3284" s="3" t="s">
        <v>10</v>
      </c>
      <c r="B3284" s="3" t="s">
        <v>11</v>
      </c>
      <c r="C3284" s="4">
        <v>2026</v>
      </c>
      <c r="D3284" s="5" t="s">
        <v>12</v>
      </c>
      <c r="E3284" s="4">
        <v>450</v>
      </c>
      <c r="F3284" s="4" t="s">
        <v>116</v>
      </c>
      <c r="G3284" s="4" t="s">
        <v>117</v>
      </c>
      <c r="H3284" s="4" t="s">
        <v>21</v>
      </c>
      <c r="I3284" s="4" t="s">
        <v>569</v>
      </c>
      <c r="J3284" s="4" t="s">
        <v>1091</v>
      </c>
      <c r="K3284" s="4" t="s">
        <v>126</v>
      </c>
      <c r="L3284" s="4" t="s">
        <v>3742</v>
      </c>
      <c r="M3284" s="4" t="s">
        <v>3750</v>
      </c>
      <c r="N3284" s="4" t="s">
        <v>3751</v>
      </c>
      <c r="O3284" s="17">
        <f>INDEX('список ID из СУЭ с должностями'!$A:$F,MATCH(E3284,'список ID из СУЭ с должностями'!$B:$B,0),5)</f>
        <v>0</v>
      </c>
    </row>
    <row r="3285" spans="1:15" ht="75">
      <c r="A3285" s="3" t="s">
        <v>10</v>
      </c>
      <c r="B3285" s="3" t="s">
        <v>11</v>
      </c>
      <c r="C3285" s="4">
        <v>2026</v>
      </c>
      <c r="D3285" s="5" t="s">
        <v>12</v>
      </c>
      <c r="E3285" s="4">
        <v>450</v>
      </c>
      <c r="F3285" s="4" t="s">
        <v>116</v>
      </c>
      <c r="G3285" s="4" t="s">
        <v>117</v>
      </c>
      <c r="H3285" s="4" t="s">
        <v>15</v>
      </c>
      <c r="I3285" s="4" t="s">
        <v>566</v>
      </c>
      <c r="J3285" s="4" t="s">
        <v>132</v>
      </c>
      <c r="K3285" s="4" t="s">
        <v>52</v>
      </c>
      <c r="L3285" s="4" t="s">
        <v>3742</v>
      </c>
      <c r="M3285" s="4" t="s">
        <v>3746</v>
      </c>
      <c r="N3285" s="4" t="s">
        <v>3747</v>
      </c>
      <c r="O3285" s="17">
        <f>INDEX('список ID из СУЭ с должностями'!$A:$F,MATCH(E3285,'список ID из СУЭ с должностями'!$B:$B,0),5)</f>
        <v>0</v>
      </c>
    </row>
    <row r="3286" spans="1:15" ht="75">
      <c r="A3286" s="3" t="s">
        <v>10</v>
      </c>
      <c r="B3286" s="3" t="s">
        <v>11</v>
      </c>
      <c r="C3286" s="4">
        <v>2026</v>
      </c>
      <c r="D3286" s="5" t="s">
        <v>12</v>
      </c>
      <c r="E3286" s="4">
        <v>450</v>
      </c>
      <c r="F3286" s="4" t="s">
        <v>116</v>
      </c>
      <c r="G3286" s="4" t="s">
        <v>117</v>
      </c>
      <c r="H3286" s="4" t="s">
        <v>15</v>
      </c>
      <c r="I3286" s="4" t="s">
        <v>570</v>
      </c>
      <c r="J3286" s="4" t="s">
        <v>132</v>
      </c>
      <c r="K3286" s="4" t="s">
        <v>23</v>
      </c>
      <c r="L3286" s="4" t="s">
        <v>3742</v>
      </c>
      <c r="M3286" s="4" t="s">
        <v>3748</v>
      </c>
      <c r="N3286" s="4" t="s">
        <v>3752</v>
      </c>
      <c r="O3286" s="17">
        <f>INDEX('список ID из СУЭ с должностями'!$A:$F,MATCH(E3286,'список ID из СУЭ с должностями'!$B:$B,0),5)</f>
        <v>0</v>
      </c>
    </row>
    <row r="3287" spans="1:15" ht="75">
      <c r="A3287" s="3" t="s">
        <v>10</v>
      </c>
      <c r="B3287" s="3" t="s">
        <v>11</v>
      </c>
      <c r="C3287" s="4">
        <v>2026</v>
      </c>
      <c r="D3287" s="5" t="s">
        <v>12</v>
      </c>
      <c r="E3287" s="4">
        <v>450</v>
      </c>
      <c r="F3287" s="4" t="s">
        <v>116</v>
      </c>
      <c r="G3287" s="4" t="s">
        <v>117</v>
      </c>
      <c r="H3287" s="4" t="s">
        <v>15</v>
      </c>
      <c r="I3287" s="4" t="s">
        <v>564</v>
      </c>
      <c r="J3287" s="4" t="s">
        <v>164</v>
      </c>
      <c r="K3287" s="4" t="s">
        <v>139</v>
      </c>
      <c r="L3287" s="4" t="s">
        <v>3742</v>
      </c>
      <c r="M3287" s="4" t="s">
        <v>3750</v>
      </c>
      <c r="N3287" s="4" t="s">
        <v>3751</v>
      </c>
      <c r="O3287" s="17">
        <f>INDEX('список ID из СУЭ с должностями'!$A:$F,MATCH(E3287,'список ID из СУЭ с должностями'!$B:$B,0),5)</f>
        <v>0</v>
      </c>
    </row>
    <row r="3288" spans="1:15" ht="75">
      <c r="A3288" s="3" t="s">
        <v>10</v>
      </c>
      <c r="B3288" s="3" t="s">
        <v>11</v>
      </c>
      <c r="C3288" s="4">
        <v>2026</v>
      </c>
      <c r="D3288" s="5" t="s">
        <v>12</v>
      </c>
      <c r="E3288" s="4">
        <v>450</v>
      </c>
      <c r="F3288" s="4" t="s">
        <v>116</v>
      </c>
      <c r="G3288" s="4" t="s">
        <v>117</v>
      </c>
      <c r="H3288" s="4" t="s">
        <v>15</v>
      </c>
      <c r="I3288" s="4" t="s">
        <v>1090</v>
      </c>
      <c r="J3288" s="4" t="s">
        <v>1091</v>
      </c>
      <c r="K3288" s="4" t="s">
        <v>312</v>
      </c>
      <c r="L3288" s="4" t="s">
        <v>3742</v>
      </c>
      <c r="M3288" s="4" t="s">
        <v>3746</v>
      </c>
      <c r="N3288" s="4" t="s">
        <v>3755</v>
      </c>
      <c r="O3288" s="17">
        <f>INDEX('список ID из СУЭ с должностями'!$A:$F,MATCH(E3288,'список ID из СУЭ с должностями'!$B:$B,0),5)</f>
        <v>0</v>
      </c>
    </row>
    <row r="3289" spans="1:15" ht="75">
      <c r="A3289" s="3" t="s">
        <v>10</v>
      </c>
      <c r="B3289" s="3" t="s">
        <v>11</v>
      </c>
      <c r="C3289" s="4">
        <v>2026</v>
      </c>
      <c r="D3289" s="5" t="s">
        <v>12</v>
      </c>
      <c r="E3289" s="4">
        <v>450</v>
      </c>
      <c r="F3289" s="4" t="s">
        <v>116</v>
      </c>
      <c r="G3289" s="4" t="s">
        <v>117</v>
      </c>
      <c r="H3289" s="4" t="s">
        <v>15</v>
      </c>
      <c r="I3289" s="4" t="s">
        <v>1088</v>
      </c>
      <c r="J3289" s="4" t="s">
        <v>3219</v>
      </c>
      <c r="K3289" s="4" t="s">
        <v>310</v>
      </c>
      <c r="L3289" s="4" t="s">
        <v>3743</v>
      </c>
      <c r="M3289" s="4" t="s">
        <v>3746</v>
      </c>
      <c r="N3289" s="4" t="s">
        <v>3755</v>
      </c>
      <c r="O3289" s="17">
        <f>INDEX('список ID из СУЭ с должностями'!$A:$F,MATCH(E3289,'список ID из СУЭ с должностями'!$B:$B,0),5)</f>
        <v>0</v>
      </c>
    </row>
    <row r="3290" spans="1:15" ht="75">
      <c r="A3290" s="3" t="s">
        <v>10</v>
      </c>
      <c r="B3290" s="3" t="s">
        <v>11</v>
      </c>
      <c r="C3290" s="4">
        <v>2026</v>
      </c>
      <c r="D3290" s="5" t="s">
        <v>12</v>
      </c>
      <c r="E3290" s="4">
        <v>450</v>
      </c>
      <c r="F3290" s="4" t="s">
        <v>116</v>
      </c>
      <c r="G3290" s="4" t="s">
        <v>117</v>
      </c>
      <c r="H3290" s="4" t="s">
        <v>15</v>
      </c>
      <c r="I3290" s="4" t="s">
        <v>1092</v>
      </c>
      <c r="J3290" s="4" t="s">
        <v>132</v>
      </c>
      <c r="K3290" s="4" t="s">
        <v>52</v>
      </c>
      <c r="L3290" s="4" t="s">
        <v>3742</v>
      </c>
      <c r="M3290" s="4" t="s">
        <v>3746</v>
      </c>
      <c r="N3290" s="4" t="s">
        <v>3747</v>
      </c>
      <c r="O3290" s="17">
        <f>INDEX('список ID из СУЭ с должностями'!$A:$F,MATCH(E3290,'список ID из СУЭ с должностями'!$B:$B,0),5)</f>
        <v>0</v>
      </c>
    </row>
    <row r="3291" spans="1:15" ht="75">
      <c r="A3291" s="3" t="s">
        <v>10</v>
      </c>
      <c r="B3291" s="3" t="s">
        <v>11</v>
      </c>
      <c r="C3291" s="4">
        <v>2026</v>
      </c>
      <c r="D3291" s="5" t="s">
        <v>12</v>
      </c>
      <c r="E3291" s="4">
        <v>450</v>
      </c>
      <c r="F3291" s="4" t="s">
        <v>116</v>
      </c>
      <c r="G3291" s="4" t="s">
        <v>117</v>
      </c>
      <c r="H3291" s="4" t="s">
        <v>15</v>
      </c>
      <c r="I3291" s="4" t="s">
        <v>1084</v>
      </c>
      <c r="J3291" s="4" t="s">
        <v>132</v>
      </c>
      <c r="K3291" s="4" t="s">
        <v>52</v>
      </c>
      <c r="L3291" s="4" t="s">
        <v>3742</v>
      </c>
      <c r="M3291" s="4" t="s">
        <v>3746</v>
      </c>
      <c r="N3291" s="4" t="s">
        <v>3747</v>
      </c>
      <c r="O3291" s="17">
        <f>INDEX('список ID из СУЭ с должностями'!$A:$F,MATCH(E3291,'список ID из СУЭ с должностями'!$B:$B,0),5)</f>
        <v>0</v>
      </c>
    </row>
    <row r="3292" spans="1:15" ht="75">
      <c r="A3292" s="3" t="s">
        <v>10</v>
      </c>
      <c r="B3292" s="3" t="s">
        <v>11</v>
      </c>
      <c r="C3292" s="4">
        <v>2026</v>
      </c>
      <c r="D3292" s="5" t="s">
        <v>12</v>
      </c>
      <c r="E3292" s="4">
        <v>450</v>
      </c>
      <c r="F3292" s="4" t="s">
        <v>116</v>
      </c>
      <c r="G3292" s="4" t="s">
        <v>117</v>
      </c>
      <c r="H3292" s="4" t="s">
        <v>21</v>
      </c>
      <c r="I3292" s="4" t="s">
        <v>571</v>
      </c>
      <c r="J3292" s="4" t="s">
        <v>3220</v>
      </c>
      <c r="K3292" s="4" t="s">
        <v>310</v>
      </c>
      <c r="L3292" s="4" t="s">
        <v>3743</v>
      </c>
      <c r="M3292" s="4" t="s">
        <v>3746</v>
      </c>
      <c r="N3292" s="4" t="s">
        <v>3755</v>
      </c>
      <c r="O3292" s="17">
        <f>INDEX('список ID из СУЭ с должностями'!$A:$F,MATCH(E3292,'список ID из СУЭ с должностями'!$B:$B,0),5)</f>
        <v>0</v>
      </c>
    </row>
    <row r="3293" spans="1:15" ht="75">
      <c r="A3293" s="3" t="s">
        <v>10</v>
      </c>
      <c r="B3293" s="3" t="s">
        <v>11</v>
      </c>
      <c r="C3293" s="4">
        <v>2026</v>
      </c>
      <c r="D3293" s="5" t="s">
        <v>12</v>
      </c>
      <c r="E3293" s="4">
        <v>450</v>
      </c>
      <c r="F3293" s="4" t="s">
        <v>116</v>
      </c>
      <c r="G3293" s="4" t="s">
        <v>117</v>
      </c>
      <c r="H3293" s="4" t="s">
        <v>15</v>
      </c>
      <c r="I3293" s="4" t="s">
        <v>573</v>
      </c>
      <c r="J3293" s="4" t="s">
        <v>132</v>
      </c>
      <c r="K3293" s="4" t="s">
        <v>52</v>
      </c>
      <c r="L3293" s="4" t="s">
        <v>3742</v>
      </c>
      <c r="M3293" s="4" t="s">
        <v>3746</v>
      </c>
      <c r="N3293" s="4" t="s">
        <v>3747</v>
      </c>
      <c r="O3293" s="17">
        <f>INDEX('список ID из СУЭ с должностями'!$A:$F,MATCH(E3293,'список ID из СУЭ с должностями'!$B:$B,0),5)</f>
        <v>0</v>
      </c>
    </row>
    <row r="3294" spans="1:15" ht="45">
      <c r="A3294" s="3" t="s">
        <v>10</v>
      </c>
      <c r="B3294" s="3" t="s">
        <v>11</v>
      </c>
      <c r="C3294" s="4">
        <v>2026</v>
      </c>
      <c r="D3294" s="5" t="s">
        <v>12</v>
      </c>
      <c r="E3294" s="4">
        <v>451</v>
      </c>
      <c r="F3294" s="4" t="s">
        <v>116</v>
      </c>
      <c r="G3294" s="4" t="s">
        <v>3221</v>
      </c>
      <c r="H3294" s="4" t="s">
        <v>15</v>
      </c>
      <c r="I3294" s="4" t="s">
        <v>3222</v>
      </c>
      <c r="J3294" s="4" t="s">
        <v>3223</v>
      </c>
      <c r="K3294" s="4" t="s">
        <v>23</v>
      </c>
      <c r="L3294" s="4" t="s">
        <v>3743</v>
      </c>
      <c r="M3294" s="4" t="s">
        <v>3748</v>
      </c>
      <c r="N3294" s="4" t="s">
        <v>3752</v>
      </c>
      <c r="O3294" s="17">
        <f>INDEX('список ID из СУЭ с должностями'!$A:$F,MATCH(E3294,'список ID из СУЭ с должностями'!$B:$B,0),5)</f>
        <v>0</v>
      </c>
    </row>
    <row r="3295" spans="1:15" ht="409.5">
      <c r="A3295" s="3" t="s">
        <v>10</v>
      </c>
      <c r="B3295" s="3" t="s">
        <v>11</v>
      </c>
      <c r="C3295" s="4">
        <v>2026</v>
      </c>
      <c r="D3295" s="5" t="s">
        <v>12</v>
      </c>
      <c r="E3295" s="4">
        <v>451</v>
      </c>
      <c r="F3295" s="4" t="s">
        <v>116</v>
      </c>
      <c r="G3295" s="4" t="s">
        <v>3221</v>
      </c>
      <c r="H3295" s="4" t="s">
        <v>15</v>
      </c>
      <c r="I3295" s="4" t="s">
        <v>3224</v>
      </c>
      <c r="J3295" s="4" t="s">
        <v>3225</v>
      </c>
      <c r="K3295" s="4" t="s">
        <v>3226</v>
      </c>
      <c r="L3295" s="4" t="s">
        <v>3743</v>
      </c>
      <c r="M3295" s="4" t="s">
        <v>3746</v>
      </c>
      <c r="N3295" s="4" t="s">
        <v>3783</v>
      </c>
      <c r="O3295" s="17">
        <f>INDEX('список ID из СУЭ с должностями'!$A:$F,MATCH(E3295,'список ID из СУЭ с должностями'!$B:$B,0),5)</f>
        <v>0</v>
      </c>
    </row>
    <row r="3296" spans="1:15" ht="300">
      <c r="A3296" s="3" t="s">
        <v>10</v>
      </c>
      <c r="B3296" s="3" t="s">
        <v>11</v>
      </c>
      <c r="C3296" s="4">
        <v>2026</v>
      </c>
      <c r="D3296" s="5" t="s">
        <v>12</v>
      </c>
      <c r="E3296" s="4">
        <v>451</v>
      </c>
      <c r="F3296" s="4" t="s">
        <v>116</v>
      </c>
      <c r="G3296" s="4" t="s">
        <v>3221</v>
      </c>
      <c r="H3296" s="4" t="s">
        <v>15</v>
      </c>
      <c r="I3296" s="4" t="s">
        <v>3227</v>
      </c>
      <c r="J3296" s="4" t="s">
        <v>3228</v>
      </c>
      <c r="K3296" s="4" t="s">
        <v>3226</v>
      </c>
      <c r="L3296" s="4" t="s">
        <v>3743</v>
      </c>
      <c r="M3296" s="4" t="s">
        <v>3746</v>
      </c>
      <c r="N3296" s="4" t="s">
        <v>3783</v>
      </c>
      <c r="O3296" s="17">
        <f>INDEX('список ID из СУЭ с должностями'!$A:$F,MATCH(E3296,'список ID из СУЭ с должностями'!$B:$B,0),5)</f>
        <v>0</v>
      </c>
    </row>
    <row r="3297" spans="1:15" ht="409.5">
      <c r="A3297" s="3" t="s">
        <v>10</v>
      </c>
      <c r="B3297" s="3" t="s">
        <v>11</v>
      </c>
      <c r="C3297" s="4">
        <v>2026</v>
      </c>
      <c r="D3297" s="5" t="s">
        <v>12</v>
      </c>
      <c r="E3297" s="4">
        <v>451</v>
      </c>
      <c r="F3297" s="4" t="s">
        <v>116</v>
      </c>
      <c r="G3297" s="4" t="s">
        <v>3221</v>
      </c>
      <c r="H3297" s="4" t="s">
        <v>15</v>
      </c>
      <c r="I3297" s="4" t="s">
        <v>3229</v>
      </c>
      <c r="J3297" s="4" t="s">
        <v>3230</v>
      </c>
      <c r="K3297" s="4" t="s">
        <v>23</v>
      </c>
      <c r="L3297" s="4" t="s">
        <v>3743</v>
      </c>
      <c r="M3297" s="4" t="s">
        <v>3748</v>
      </c>
      <c r="N3297" s="4" t="s">
        <v>3752</v>
      </c>
      <c r="O3297" s="17">
        <f>INDEX('список ID из СУЭ с должностями'!$A:$F,MATCH(E3297,'список ID из СУЭ с должностями'!$B:$B,0),5)</f>
        <v>0</v>
      </c>
    </row>
    <row r="3298" spans="1:15" ht="105">
      <c r="A3298" s="3" t="s">
        <v>10</v>
      </c>
      <c r="B3298" s="3" t="s">
        <v>11</v>
      </c>
      <c r="C3298" s="4">
        <v>2026</v>
      </c>
      <c r="D3298" s="5" t="s">
        <v>12</v>
      </c>
      <c r="E3298" s="4">
        <v>452</v>
      </c>
      <c r="F3298" s="4" t="s">
        <v>116</v>
      </c>
      <c r="G3298" s="4" t="s">
        <v>117</v>
      </c>
      <c r="H3298" s="4" t="s">
        <v>15</v>
      </c>
      <c r="I3298" s="4" t="s">
        <v>1476</v>
      </c>
      <c r="J3298" s="4" t="s">
        <v>3231</v>
      </c>
      <c r="K3298" s="4" t="s">
        <v>55</v>
      </c>
      <c r="L3298" s="4" t="s">
        <v>3743</v>
      </c>
      <c r="M3298" s="4" t="s">
        <v>3746</v>
      </c>
      <c r="N3298" s="4" t="s">
        <v>3747</v>
      </c>
      <c r="O3298" s="17">
        <f>INDEX('список ID из СУЭ с должностями'!$A:$F,MATCH(E3298,'список ID из СУЭ с должностями'!$B:$B,0),5)</f>
        <v>0</v>
      </c>
    </row>
    <row r="3299" spans="1:15" ht="90">
      <c r="A3299" s="3" t="s">
        <v>10</v>
      </c>
      <c r="B3299" s="3" t="s">
        <v>11</v>
      </c>
      <c r="C3299" s="4">
        <v>2026</v>
      </c>
      <c r="D3299" s="5" t="s">
        <v>12</v>
      </c>
      <c r="E3299" s="4">
        <v>452</v>
      </c>
      <c r="F3299" s="4" t="s">
        <v>116</v>
      </c>
      <c r="G3299" s="4" t="s">
        <v>117</v>
      </c>
      <c r="H3299" s="4" t="s">
        <v>15</v>
      </c>
      <c r="I3299" s="4" t="s">
        <v>135</v>
      </c>
      <c r="J3299" s="4" t="s">
        <v>3232</v>
      </c>
      <c r="K3299" s="4" t="s">
        <v>126</v>
      </c>
      <c r="L3299" s="4" t="s">
        <v>3742</v>
      </c>
      <c r="M3299" s="4" t="s">
        <v>3750</v>
      </c>
      <c r="N3299" s="4" t="s">
        <v>3751</v>
      </c>
      <c r="O3299" s="17">
        <f>INDEX('список ID из СУЭ с должностями'!$A:$F,MATCH(E3299,'список ID из СУЭ с должностями'!$B:$B,0),5)</f>
        <v>0</v>
      </c>
    </row>
    <row r="3300" spans="1:15" ht="75">
      <c r="A3300" s="3" t="s">
        <v>10</v>
      </c>
      <c r="B3300" s="3" t="s">
        <v>11</v>
      </c>
      <c r="C3300" s="4">
        <v>2026</v>
      </c>
      <c r="D3300" s="5" t="s">
        <v>12</v>
      </c>
      <c r="E3300" s="4">
        <v>452</v>
      </c>
      <c r="F3300" s="4" t="s">
        <v>116</v>
      </c>
      <c r="G3300" s="4" t="s">
        <v>117</v>
      </c>
      <c r="H3300" s="4" t="s">
        <v>15</v>
      </c>
      <c r="I3300" s="4" t="s">
        <v>3233</v>
      </c>
      <c r="J3300" s="4" t="s">
        <v>3234</v>
      </c>
      <c r="K3300" s="4" t="s">
        <v>139</v>
      </c>
      <c r="L3300" s="4" t="s">
        <v>3742</v>
      </c>
      <c r="M3300" s="4" t="s">
        <v>3750</v>
      </c>
      <c r="N3300" s="4" t="s">
        <v>3751</v>
      </c>
      <c r="O3300" s="17">
        <f>INDEX('список ID из СУЭ с должностями'!$A:$F,MATCH(E3300,'список ID из СУЭ с должностями'!$B:$B,0),5)</f>
        <v>0</v>
      </c>
    </row>
    <row r="3301" spans="1:15" ht="90">
      <c r="A3301" s="3" t="s">
        <v>10</v>
      </c>
      <c r="B3301" s="3" t="s">
        <v>11</v>
      </c>
      <c r="C3301" s="4">
        <v>2026</v>
      </c>
      <c r="D3301" s="5" t="s">
        <v>12</v>
      </c>
      <c r="E3301" s="4">
        <v>452</v>
      </c>
      <c r="F3301" s="4" t="s">
        <v>116</v>
      </c>
      <c r="G3301" s="4" t="s">
        <v>117</v>
      </c>
      <c r="H3301" s="4" t="s">
        <v>15</v>
      </c>
      <c r="I3301" s="4" t="s">
        <v>3235</v>
      </c>
      <c r="J3301" s="4" t="s">
        <v>3236</v>
      </c>
      <c r="K3301" s="4" t="s">
        <v>55</v>
      </c>
      <c r="L3301" s="4" t="s">
        <v>3743</v>
      </c>
      <c r="M3301" s="4" t="s">
        <v>3746</v>
      </c>
      <c r="N3301" s="4" t="s">
        <v>3747</v>
      </c>
      <c r="O3301" s="17">
        <f>INDEX('список ID из СУЭ с должностями'!$A:$F,MATCH(E3301,'список ID из СУЭ с должностями'!$B:$B,0),5)</f>
        <v>0</v>
      </c>
    </row>
    <row r="3302" spans="1:15" ht="75">
      <c r="A3302" s="3" t="s">
        <v>10</v>
      </c>
      <c r="B3302" s="3" t="s">
        <v>11</v>
      </c>
      <c r="C3302" s="4">
        <v>2026</v>
      </c>
      <c r="D3302" s="5" t="s">
        <v>12</v>
      </c>
      <c r="E3302" s="4">
        <v>452</v>
      </c>
      <c r="F3302" s="4" t="s">
        <v>116</v>
      </c>
      <c r="G3302" s="4" t="s">
        <v>117</v>
      </c>
      <c r="H3302" s="4" t="s">
        <v>15</v>
      </c>
      <c r="I3302" s="4" t="s">
        <v>3237</v>
      </c>
      <c r="J3302" s="4" t="s">
        <v>132</v>
      </c>
      <c r="K3302" s="4" t="s">
        <v>55</v>
      </c>
      <c r="L3302" s="4" t="s">
        <v>3742</v>
      </c>
      <c r="M3302" s="4" t="s">
        <v>3746</v>
      </c>
      <c r="N3302" s="4" t="s">
        <v>3747</v>
      </c>
      <c r="O3302" s="17">
        <f>INDEX('список ID из СУЭ с должностями'!$A:$F,MATCH(E3302,'список ID из СУЭ с должностями'!$B:$B,0),5)</f>
        <v>0</v>
      </c>
    </row>
    <row r="3303" spans="1:15" ht="75">
      <c r="A3303" s="3" t="s">
        <v>10</v>
      </c>
      <c r="B3303" s="3" t="s">
        <v>11</v>
      </c>
      <c r="C3303" s="4">
        <v>2026</v>
      </c>
      <c r="D3303" s="5" t="s">
        <v>12</v>
      </c>
      <c r="E3303" s="4">
        <v>452</v>
      </c>
      <c r="F3303" s="4" t="s">
        <v>116</v>
      </c>
      <c r="G3303" s="4" t="s">
        <v>117</v>
      </c>
      <c r="H3303" s="4" t="s">
        <v>15</v>
      </c>
      <c r="I3303" s="4" t="s">
        <v>3238</v>
      </c>
      <c r="J3303" s="4" t="s">
        <v>3239</v>
      </c>
      <c r="K3303" s="4" t="s">
        <v>55</v>
      </c>
      <c r="L3303" s="4" t="s">
        <v>3743</v>
      </c>
      <c r="M3303" s="4" t="s">
        <v>3746</v>
      </c>
      <c r="N3303" s="4" t="s">
        <v>3747</v>
      </c>
      <c r="O3303" s="17">
        <f>INDEX('список ID из СУЭ с должностями'!$A:$F,MATCH(E3303,'список ID из СУЭ с должностями'!$B:$B,0),5)</f>
        <v>0</v>
      </c>
    </row>
    <row r="3304" spans="1:15" ht="105">
      <c r="A3304" s="3" t="s">
        <v>10</v>
      </c>
      <c r="B3304" s="3" t="s">
        <v>11</v>
      </c>
      <c r="C3304" s="4">
        <v>2026</v>
      </c>
      <c r="D3304" s="5" t="s">
        <v>12</v>
      </c>
      <c r="E3304" s="4">
        <v>452</v>
      </c>
      <c r="F3304" s="4" t="s">
        <v>116</v>
      </c>
      <c r="G3304" s="4" t="s">
        <v>117</v>
      </c>
      <c r="H3304" s="4" t="s">
        <v>15</v>
      </c>
      <c r="I3304" s="4" t="s">
        <v>3240</v>
      </c>
      <c r="J3304" s="4" t="s">
        <v>1475</v>
      </c>
      <c r="K3304" s="4" t="s">
        <v>55</v>
      </c>
      <c r="L3304" s="4" t="s">
        <v>3743</v>
      </c>
      <c r="M3304" s="4" t="s">
        <v>3746</v>
      </c>
      <c r="N3304" s="4" t="s">
        <v>3747</v>
      </c>
      <c r="O3304" s="17">
        <f>INDEX('список ID из СУЭ с должностями'!$A:$F,MATCH(E3304,'список ID из СУЭ с должностями'!$B:$B,0),5)</f>
        <v>0</v>
      </c>
    </row>
    <row r="3305" spans="1:15" ht="75">
      <c r="A3305" s="3" t="s">
        <v>10</v>
      </c>
      <c r="B3305" s="3" t="s">
        <v>11</v>
      </c>
      <c r="C3305" s="4">
        <v>2026</v>
      </c>
      <c r="D3305" s="5" t="s">
        <v>12</v>
      </c>
      <c r="E3305" s="4">
        <v>452</v>
      </c>
      <c r="F3305" s="4" t="s">
        <v>116</v>
      </c>
      <c r="G3305" s="4" t="s">
        <v>117</v>
      </c>
      <c r="H3305" s="4" t="s">
        <v>21</v>
      </c>
      <c r="I3305" s="4" t="s">
        <v>1483</v>
      </c>
      <c r="J3305" s="4" t="s">
        <v>3241</v>
      </c>
      <c r="K3305" s="4" t="s">
        <v>55</v>
      </c>
      <c r="L3305" s="4" t="s">
        <v>3743</v>
      </c>
      <c r="M3305" s="4" t="s">
        <v>3746</v>
      </c>
      <c r="N3305" s="4" t="s">
        <v>3747</v>
      </c>
      <c r="O3305" s="17">
        <f>INDEX('список ID из СУЭ с должностями'!$A:$F,MATCH(E3305,'список ID из СУЭ с должностями'!$B:$B,0),5)</f>
        <v>0</v>
      </c>
    </row>
    <row r="3306" spans="1:15" ht="75">
      <c r="A3306" s="3" t="s">
        <v>10</v>
      </c>
      <c r="B3306" s="3" t="s">
        <v>11</v>
      </c>
      <c r="C3306" s="4">
        <v>2026</v>
      </c>
      <c r="D3306" s="5" t="s">
        <v>12</v>
      </c>
      <c r="E3306" s="4">
        <v>452</v>
      </c>
      <c r="F3306" s="4" t="s">
        <v>116</v>
      </c>
      <c r="G3306" s="4" t="s">
        <v>117</v>
      </c>
      <c r="H3306" s="4" t="s">
        <v>15</v>
      </c>
      <c r="I3306" s="4" t="s">
        <v>3242</v>
      </c>
      <c r="J3306" s="4" t="s">
        <v>3243</v>
      </c>
      <c r="K3306" s="4" t="s">
        <v>55</v>
      </c>
      <c r="L3306" s="4" t="s">
        <v>3743</v>
      </c>
      <c r="M3306" s="4" t="s">
        <v>3746</v>
      </c>
      <c r="N3306" s="4" t="s">
        <v>3747</v>
      </c>
      <c r="O3306" s="17">
        <f>INDEX('список ID из СУЭ с должностями'!$A:$F,MATCH(E3306,'список ID из СУЭ с должностями'!$B:$B,0),5)</f>
        <v>0</v>
      </c>
    </row>
    <row r="3307" spans="1:15" ht="105">
      <c r="A3307" s="3" t="s">
        <v>10</v>
      </c>
      <c r="B3307" s="3" t="s">
        <v>11</v>
      </c>
      <c r="C3307" s="4">
        <v>2026</v>
      </c>
      <c r="D3307" s="5" t="s">
        <v>12</v>
      </c>
      <c r="E3307" s="4">
        <v>453</v>
      </c>
      <c r="F3307" s="4" t="s">
        <v>2982</v>
      </c>
      <c r="G3307" s="4" t="s">
        <v>1488</v>
      </c>
      <c r="H3307" s="4" t="s">
        <v>15</v>
      </c>
      <c r="I3307" s="4" t="s">
        <v>1489</v>
      </c>
      <c r="J3307" s="4" t="s">
        <v>1490</v>
      </c>
      <c r="K3307" s="4" t="s">
        <v>35</v>
      </c>
      <c r="L3307" s="4" t="s">
        <v>3743</v>
      </c>
      <c r="M3307" s="4" t="s">
        <v>3746</v>
      </c>
      <c r="N3307" s="4" t="s">
        <v>3747</v>
      </c>
      <c r="O3307" s="17">
        <f>INDEX('список ID из СУЭ с должностями'!$A:$F,MATCH(E3307,'список ID из СУЭ с должностями'!$B:$B,0),5)</f>
        <v>0</v>
      </c>
    </row>
    <row r="3308" spans="1:15" ht="240">
      <c r="A3308" s="3" t="s">
        <v>10</v>
      </c>
      <c r="B3308" s="3" t="s">
        <v>11</v>
      </c>
      <c r="C3308" s="4">
        <v>2026</v>
      </c>
      <c r="D3308" s="5" t="s">
        <v>12</v>
      </c>
      <c r="E3308" s="4">
        <v>453</v>
      </c>
      <c r="F3308" s="4" t="s">
        <v>2982</v>
      </c>
      <c r="G3308" s="4" t="s">
        <v>1488</v>
      </c>
      <c r="H3308" s="4" t="s">
        <v>15</v>
      </c>
      <c r="I3308" s="4" t="s">
        <v>2737</v>
      </c>
      <c r="J3308" s="4" t="s">
        <v>3244</v>
      </c>
      <c r="K3308" s="4" t="s">
        <v>2741</v>
      </c>
      <c r="L3308" s="4" t="s">
        <v>3743</v>
      </c>
      <c r="M3308" s="4" t="s">
        <v>3746</v>
      </c>
      <c r="N3308" s="4" t="s">
        <v>3778</v>
      </c>
      <c r="O3308" s="17">
        <f>INDEX('список ID из СУЭ с должностями'!$A:$F,MATCH(E3308,'список ID из СУЭ с должностями'!$B:$B,0),5)</f>
        <v>0</v>
      </c>
    </row>
    <row r="3309" spans="1:15" ht="135">
      <c r="A3309" s="3" t="s">
        <v>10</v>
      </c>
      <c r="B3309" s="3" t="s">
        <v>11</v>
      </c>
      <c r="C3309" s="4">
        <v>2026</v>
      </c>
      <c r="D3309" s="5" t="s">
        <v>12</v>
      </c>
      <c r="E3309" s="4">
        <v>453</v>
      </c>
      <c r="F3309" s="4" t="s">
        <v>2982</v>
      </c>
      <c r="G3309" s="4" t="s">
        <v>1488</v>
      </c>
      <c r="H3309" s="4" t="s">
        <v>15</v>
      </c>
      <c r="I3309" s="4" t="s">
        <v>2749</v>
      </c>
      <c r="J3309" s="4" t="s">
        <v>3245</v>
      </c>
      <c r="K3309" s="4" t="s">
        <v>201</v>
      </c>
      <c r="L3309" s="4" t="s">
        <v>3743</v>
      </c>
      <c r="M3309" s="4" t="s">
        <v>3746</v>
      </c>
      <c r="N3309" s="4" t="s">
        <v>3778</v>
      </c>
      <c r="O3309" s="17">
        <f>INDEX('список ID из СУЭ с должностями'!$A:$F,MATCH(E3309,'список ID из СУЭ с должностями'!$B:$B,0),5)</f>
        <v>0</v>
      </c>
    </row>
    <row r="3310" spans="1:15" ht="105">
      <c r="A3310" s="3" t="s">
        <v>10</v>
      </c>
      <c r="B3310" s="3" t="s">
        <v>11</v>
      </c>
      <c r="C3310" s="4">
        <v>2026</v>
      </c>
      <c r="D3310" s="5" t="s">
        <v>12</v>
      </c>
      <c r="E3310" s="4">
        <v>453</v>
      </c>
      <c r="F3310" s="4" t="s">
        <v>2982</v>
      </c>
      <c r="G3310" s="4" t="s">
        <v>1488</v>
      </c>
      <c r="H3310" s="4" t="s">
        <v>15</v>
      </c>
      <c r="I3310" s="4" t="s">
        <v>1493</v>
      </c>
      <c r="J3310" s="4" t="s">
        <v>2751</v>
      </c>
      <c r="K3310" s="4" t="s">
        <v>201</v>
      </c>
      <c r="L3310" s="4" t="s">
        <v>3743</v>
      </c>
      <c r="M3310" s="4" t="s">
        <v>3746</v>
      </c>
      <c r="N3310" s="4" t="s">
        <v>3778</v>
      </c>
      <c r="O3310" s="17">
        <f>INDEX('список ID из СУЭ с должностями'!$A:$F,MATCH(E3310,'список ID из СУЭ с должностями'!$B:$B,0),5)</f>
        <v>0</v>
      </c>
    </row>
    <row r="3311" spans="1:15" ht="195">
      <c r="A3311" s="3" t="s">
        <v>10</v>
      </c>
      <c r="B3311" s="3" t="s">
        <v>11</v>
      </c>
      <c r="C3311" s="4">
        <v>2026</v>
      </c>
      <c r="D3311" s="5" t="s">
        <v>12</v>
      </c>
      <c r="E3311" s="4">
        <v>453</v>
      </c>
      <c r="F3311" s="4" t="s">
        <v>2982</v>
      </c>
      <c r="G3311" s="4" t="s">
        <v>1488</v>
      </c>
      <c r="H3311" s="4" t="s">
        <v>15</v>
      </c>
      <c r="I3311" s="4" t="s">
        <v>1495</v>
      </c>
      <c r="J3311" s="4" t="s">
        <v>3246</v>
      </c>
      <c r="K3311" s="4" t="s">
        <v>23</v>
      </c>
      <c r="L3311" s="4" t="s">
        <v>3743</v>
      </c>
      <c r="M3311" s="4" t="s">
        <v>3748</v>
      </c>
      <c r="N3311" s="4" t="s">
        <v>3752</v>
      </c>
      <c r="O3311" s="17">
        <f>INDEX('список ID из СУЭ с должностями'!$A:$F,MATCH(E3311,'список ID из СУЭ с должностями'!$B:$B,0),5)</f>
        <v>0</v>
      </c>
    </row>
    <row r="3312" spans="1:15" ht="225">
      <c r="A3312" s="3" t="s">
        <v>10</v>
      </c>
      <c r="B3312" s="3" t="s">
        <v>11</v>
      </c>
      <c r="C3312" s="4">
        <v>2026</v>
      </c>
      <c r="D3312" s="5" t="s">
        <v>12</v>
      </c>
      <c r="E3312" s="4">
        <v>453</v>
      </c>
      <c r="F3312" s="4" t="s">
        <v>2982</v>
      </c>
      <c r="G3312" s="4" t="s">
        <v>1488</v>
      </c>
      <c r="H3312" s="4" t="s">
        <v>15</v>
      </c>
      <c r="I3312" s="4" t="s">
        <v>1499</v>
      </c>
      <c r="J3312" s="4" t="s">
        <v>3247</v>
      </c>
      <c r="K3312" s="4" t="s">
        <v>33</v>
      </c>
      <c r="L3312" s="4" t="s">
        <v>3743</v>
      </c>
      <c r="M3312" s="4" t="s">
        <v>3746</v>
      </c>
      <c r="N3312" s="4" t="s">
        <v>3778</v>
      </c>
      <c r="O3312" s="17">
        <f>INDEX('список ID из СУЭ с должностями'!$A:$F,MATCH(E3312,'список ID из СУЭ с должностями'!$B:$B,0),5)</f>
        <v>0</v>
      </c>
    </row>
    <row r="3313" spans="1:15" ht="105">
      <c r="A3313" s="3" t="s">
        <v>10</v>
      </c>
      <c r="B3313" s="3" t="s">
        <v>11</v>
      </c>
      <c r="C3313" s="4">
        <v>2026</v>
      </c>
      <c r="D3313" s="5" t="s">
        <v>12</v>
      </c>
      <c r="E3313" s="4">
        <v>453</v>
      </c>
      <c r="F3313" s="4" t="s">
        <v>2982</v>
      </c>
      <c r="G3313" s="4" t="s">
        <v>1488</v>
      </c>
      <c r="H3313" s="4" t="s">
        <v>21</v>
      </c>
      <c r="I3313" s="4" t="s">
        <v>1497</v>
      </c>
      <c r="J3313" s="4" t="s">
        <v>3248</v>
      </c>
      <c r="K3313" s="4" t="s">
        <v>1497</v>
      </c>
      <c r="L3313" s="4" t="s">
        <v>3743</v>
      </c>
      <c r="M3313" s="4" t="s">
        <v>3746</v>
      </c>
      <c r="N3313" s="4" t="s">
        <v>3778</v>
      </c>
      <c r="O3313" s="17">
        <f>INDEX('список ID из СУЭ с должностями'!$A:$F,MATCH(E3313,'список ID из СУЭ с должностями'!$B:$B,0),5)</f>
        <v>0</v>
      </c>
    </row>
    <row r="3314" spans="1:15" ht="285">
      <c r="A3314" s="3" t="s">
        <v>10</v>
      </c>
      <c r="B3314" s="3" t="s">
        <v>11</v>
      </c>
      <c r="C3314" s="4">
        <v>2026</v>
      </c>
      <c r="D3314" s="5" t="s">
        <v>12</v>
      </c>
      <c r="E3314" s="4">
        <v>454</v>
      </c>
      <c r="F3314" s="4" t="s">
        <v>2371</v>
      </c>
      <c r="G3314" s="4" t="s">
        <v>2368</v>
      </c>
      <c r="H3314" s="4" t="s">
        <v>21</v>
      </c>
      <c r="I3314" s="4" t="s">
        <v>2360</v>
      </c>
      <c r="J3314" s="4" t="s">
        <v>3249</v>
      </c>
      <c r="K3314" s="4" t="s">
        <v>25</v>
      </c>
      <c r="L3314" s="4" t="s">
        <v>3743</v>
      </c>
      <c r="M3314" s="4" t="s">
        <v>3746</v>
      </c>
      <c r="N3314" s="4" t="s">
        <v>3747</v>
      </c>
      <c r="O3314" s="17">
        <f>INDEX('список ID из СУЭ с должностями'!$A:$F,MATCH(E3314,'список ID из СУЭ с должностями'!$B:$B,0),5)</f>
        <v>0</v>
      </c>
    </row>
    <row r="3315" spans="1:15" ht="255">
      <c r="A3315" s="3" t="s">
        <v>10</v>
      </c>
      <c r="B3315" s="3" t="s">
        <v>11</v>
      </c>
      <c r="C3315" s="4">
        <v>2026</v>
      </c>
      <c r="D3315" s="5" t="s">
        <v>12</v>
      </c>
      <c r="E3315" s="4">
        <v>454</v>
      </c>
      <c r="F3315" s="4" t="s">
        <v>2371</v>
      </c>
      <c r="G3315" s="4" t="s">
        <v>2368</v>
      </c>
      <c r="H3315" s="4" t="s">
        <v>15</v>
      </c>
      <c r="I3315" s="4" t="s">
        <v>147</v>
      </c>
      <c r="J3315" s="4" t="s">
        <v>2425</v>
      </c>
      <c r="K3315" s="4" t="s">
        <v>35</v>
      </c>
      <c r="L3315" s="4" t="s">
        <v>3743</v>
      </c>
      <c r="M3315" s="4" t="s">
        <v>3746</v>
      </c>
      <c r="N3315" s="4" t="s">
        <v>3747</v>
      </c>
      <c r="O3315" s="17">
        <f>INDEX('список ID из СУЭ с должностями'!$A:$F,MATCH(E3315,'список ID из СУЭ с должностями'!$B:$B,0),5)</f>
        <v>0</v>
      </c>
    </row>
    <row r="3316" spans="1:15" ht="345">
      <c r="A3316" s="3" t="s">
        <v>10</v>
      </c>
      <c r="B3316" s="3" t="s">
        <v>11</v>
      </c>
      <c r="C3316" s="4">
        <v>2026</v>
      </c>
      <c r="D3316" s="5" t="s">
        <v>12</v>
      </c>
      <c r="E3316" s="4">
        <v>454</v>
      </c>
      <c r="F3316" s="4" t="s">
        <v>2371</v>
      </c>
      <c r="G3316" s="4" t="s">
        <v>2368</v>
      </c>
      <c r="H3316" s="4" t="s">
        <v>15</v>
      </c>
      <c r="I3316" s="4" t="s">
        <v>303</v>
      </c>
      <c r="J3316" s="4" t="s">
        <v>3250</v>
      </c>
      <c r="K3316" s="4" t="s">
        <v>66</v>
      </c>
      <c r="L3316" s="4" t="s">
        <v>3743</v>
      </c>
      <c r="M3316" s="4" t="s">
        <v>3746</v>
      </c>
      <c r="N3316" s="4" t="s">
        <v>3747</v>
      </c>
      <c r="O3316" s="17">
        <f>INDEX('список ID из СУЭ с должностями'!$A:$F,MATCH(E3316,'список ID из СУЭ с должностями'!$B:$B,0),5)</f>
        <v>0</v>
      </c>
    </row>
    <row r="3317" spans="1:15" ht="330">
      <c r="A3317" s="3" t="s">
        <v>10</v>
      </c>
      <c r="B3317" s="3" t="s">
        <v>11</v>
      </c>
      <c r="C3317" s="4">
        <v>2026</v>
      </c>
      <c r="D3317" s="5" t="s">
        <v>12</v>
      </c>
      <c r="E3317" s="4">
        <v>454</v>
      </c>
      <c r="F3317" s="4" t="s">
        <v>2371</v>
      </c>
      <c r="G3317" s="4" t="s">
        <v>2368</v>
      </c>
      <c r="H3317" s="4" t="s">
        <v>15</v>
      </c>
      <c r="I3317" s="4" t="s">
        <v>149</v>
      </c>
      <c r="J3317" s="4" t="s">
        <v>3251</v>
      </c>
      <c r="K3317" s="4" t="s">
        <v>30</v>
      </c>
      <c r="L3317" s="4" t="s">
        <v>3743</v>
      </c>
      <c r="M3317" s="4" t="s">
        <v>3746</v>
      </c>
      <c r="N3317" s="4" t="s">
        <v>3747</v>
      </c>
      <c r="O3317" s="17">
        <f>INDEX('список ID из СУЭ с должностями'!$A:$F,MATCH(E3317,'список ID из СУЭ с должностями'!$B:$B,0),5)</f>
        <v>0</v>
      </c>
    </row>
    <row r="3318" spans="1:15" ht="409.5">
      <c r="A3318" s="3" t="s">
        <v>10</v>
      </c>
      <c r="B3318" s="3" t="s">
        <v>11</v>
      </c>
      <c r="C3318" s="4">
        <v>2026</v>
      </c>
      <c r="D3318" s="5" t="s">
        <v>12</v>
      </c>
      <c r="E3318" s="4">
        <v>454</v>
      </c>
      <c r="F3318" s="4" t="s">
        <v>2371</v>
      </c>
      <c r="G3318" s="4" t="s">
        <v>2368</v>
      </c>
      <c r="H3318" s="4" t="s">
        <v>15</v>
      </c>
      <c r="I3318" s="4" t="s">
        <v>2357</v>
      </c>
      <c r="J3318" s="4" t="s">
        <v>2387</v>
      </c>
      <c r="K3318" s="4" t="s">
        <v>25</v>
      </c>
      <c r="L3318" s="4" t="s">
        <v>3743</v>
      </c>
      <c r="M3318" s="4" t="s">
        <v>3746</v>
      </c>
      <c r="N3318" s="4" t="s">
        <v>3747</v>
      </c>
      <c r="O3318" s="17">
        <f>INDEX('список ID из СУЭ с должностями'!$A:$F,MATCH(E3318,'список ID из СУЭ с должностями'!$B:$B,0),5)</f>
        <v>0</v>
      </c>
    </row>
    <row r="3319" spans="1:15" ht="150">
      <c r="A3319" s="3" t="s">
        <v>10</v>
      </c>
      <c r="B3319" s="3" t="s">
        <v>11</v>
      </c>
      <c r="C3319" s="4">
        <v>2026</v>
      </c>
      <c r="D3319" s="5" t="s">
        <v>12</v>
      </c>
      <c r="E3319" s="4">
        <v>455</v>
      </c>
      <c r="F3319" s="4" t="s">
        <v>3252</v>
      </c>
      <c r="G3319" s="4" t="s">
        <v>1253</v>
      </c>
      <c r="H3319" s="4" t="s">
        <v>21</v>
      </c>
      <c r="I3319" s="4" t="s">
        <v>3253</v>
      </c>
      <c r="J3319" s="4" t="s">
        <v>3254</v>
      </c>
      <c r="K3319" s="4" t="s">
        <v>3255</v>
      </c>
      <c r="L3319" s="4" t="s">
        <v>3743</v>
      </c>
      <c r="M3319" s="4" t="s">
        <v>3746</v>
      </c>
      <c r="N3319" s="4" t="s">
        <v>3764</v>
      </c>
      <c r="O3319" s="17">
        <f>INDEX('список ID из СУЭ с должностями'!$A:$F,MATCH(E3319,'список ID из СУЭ с должностями'!$B:$B,0),5)</f>
        <v>0</v>
      </c>
    </row>
    <row r="3320" spans="1:15" ht="210">
      <c r="A3320" s="3" t="s">
        <v>10</v>
      </c>
      <c r="B3320" s="3" t="s">
        <v>11</v>
      </c>
      <c r="C3320" s="4">
        <v>2026</v>
      </c>
      <c r="D3320" s="5" t="s">
        <v>12</v>
      </c>
      <c r="E3320" s="4">
        <v>455</v>
      </c>
      <c r="F3320" s="4" t="s">
        <v>3252</v>
      </c>
      <c r="G3320" s="4" t="s">
        <v>1253</v>
      </c>
      <c r="H3320" s="4" t="s">
        <v>41</v>
      </c>
      <c r="I3320" s="4" t="s">
        <v>3256</v>
      </c>
      <c r="J3320" s="4" t="s">
        <v>3257</v>
      </c>
      <c r="K3320" s="4" t="s">
        <v>20</v>
      </c>
      <c r="L3320" s="4" t="s">
        <v>3743</v>
      </c>
      <c r="M3320" s="4" t="s">
        <v>3746</v>
      </c>
      <c r="N3320" s="4" t="s">
        <v>3747</v>
      </c>
      <c r="O3320" s="17">
        <f>INDEX('список ID из СУЭ с должностями'!$A:$F,MATCH(E3320,'список ID из СУЭ с должностями'!$B:$B,0),5)</f>
        <v>0</v>
      </c>
    </row>
    <row r="3321" spans="1:15" ht="105">
      <c r="A3321" s="3" t="s">
        <v>10</v>
      </c>
      <c r="B3321" s="3" t="s">
        <v>11</v>
      </c>
      <c r="C3321" s="4">
        <v>2026</v>
      </c>
      <c r="D3321" s="5" t="s">
        <v>12</v>
      </c>
      <c r="E3321" s="4">
        <v>455</v>
      </c>
      <c r="F3321" s="4" t="s">
        <v>3252</v>
      </c>
      <c r="G3321" s="4" t="s">
        <v>1253</v>
      </c>
      <c r="H3321" s="4" t="s">
        <v>21</v>
      </c>
      <c r="I3321" s="4" t="s">
        <v>3258</v>
      </c>
      <c r="J3321" s="4" t="s">
        <v>3259</v>
      </c>
      <c r="K3321" s="4" t="s">
        <v>3000</v>
      </c>
      <c r="L3321" s="4" t="s">
        <v>3743</v>
      </c>
      <c r="M3321" s="4" t="s">
        <v>3746</v>
      </c>
      <c r="N3321" s="4" t="s">
        <v>3764</v>
      </c>
      <c r="O3321" s="17">
        <f>INDEX('список ID из СУЭ с должностями'!$A:$F,MATCH(E3321,'список ID из СУЭ с должностями'!$B:$B,0),5)</f>
        <v>0</v>
      </c>
    </row>
    <row r="3322" spans="1:15" ht="120">
      <c r="A3322" s="3" t="s">
        <v>10</v>
      </c>
      <c r="B3322" s="3" t="s">
        <v>11</v>
      </c>
      <c r="C3322" s="4">
        <v>2026</v>
      </c>
      <c r="D3322" s="5" t="s">
        <v>12</v>
      </c>
      <c r="E3322" s="4">
        <v>455</v>
      </c>
      <c r="F3322" s="4" t="s">
        <v>3252</v>
      </c>
      <c r="G3322" s="4" t="s">
        <v>1253</v>
      </c>
      <c r="H3322" s="4" t="s">
        <v>21</v>
      </c>
      <c r="I3322" s="4" t="s">
        <v>3260</v>
      </c>
      <c r="J3322" s="4" t="s">
        <v>3261</v>
      </c>
      <c r="K3322" s="4" t="s">
        <v>2992</v>
      </c>
      <c r="L3322" s="4" t="s">
        <v>3743</v>
      </c>
      <c r="M3322" s="4" t="s">
        <v>3746</v>
      </c>
      <c r="N3322" s="4" t="s">
        <v>3764</v>
      </c>
      <c r="O3322" s="17">
        <f>INDEX('список ID из СУЭ с должностями'!$A:$F,MATCH(E3322,'список ID из СУЭ с должностями'!$B:$B,0),5)</f>
        <v>0</v>
      </c>
    </row>
    <row r="3323" spans="1:15" ht="240">
      <c r="A3323" s="3" t="s">
        <v>10</v>
      </c>
      <c r="B3323" s="3" t="s">
        <v>11</v>
      </c>
      <c r="C3323" s="4">
        <v>2026</v>
      </c>
      <c r="D3323" s="5" t="s">
        <v>12</v>
      </c>
      <c r="E3323" s="4">
        <v>455</v>
      </c>
      <c r="F3323" s="4" t="s">
        <v>3252</v>
      </c>
      <c r="G3323" s="4" t="s">
        <v>1253</v>
      </c>
      <c r="H3323" s="4" t="s">
        <v>21</v>
      </c>
      <c r="I3323" s="4" t="s">
        <v>2987</v>
      </c>
      <c r="J3323" s="4" t="s">
        <v>3262</v>
      </c>
      <c r="K3323" s="4" t="s">
        <v>855</v>
      </c>
      <c r="L3323" s="4" t="s">
        <v>3743</v>
      </c>
      <c r="M3323" s="4" t="s">
        <v>3746</v>
      </c>
      <c r="N3323" s="4" t="s">
        <v>3764</v>
      </c>
      <c r="O3323" s="17">
        <f>INDEX('список ID из СУЭ с должностями'!$A:$F,MATCH(E3323,'список ID из СУЭ с должностями'!$B:$B,0),5)</f>
        <v>0</v>
      </c>
    </row>
    <row r="3324" spans="1:15" ht="165">
      <c r="A3324" s="3" t="s">
        <v>10</v>
      </c>
      <c r="B3324" s="3" t="s">
        <v>11</v>
      </c>
      <c r="C3324" s="4">
        <v>2026</v>
      </c>
      <c r="D3324" s="5" t="s">
        <v>12</v>
      </c>
      <c r="E3324" s="4">
        <v>455</v>
      </c>
      <c r="F3324" s="4" t="s">
        <v>3252</v>
      </c>
      <c r="G3324" s="4" t="s">
        <v>1253</v>
      </c>
      <c r="H3324" s="4" t="s">
        <v>21</v>
      </c>
      <c r="I3324" s="4" t="s">
        <v>3263</v>
      </c>
      <c r="J3324" s="4" t="s">
        <v>3264</v>
      </c>
      <c r="K3324" s="4" t="s">
        <v>1267</v>
      </c>
      <c r="L3324" s="4" t="s">
        <v>3743</v>
      </c>
      <c r="M3324" s="4" t="s">
        <v>3746</v>
      </c>
      <c r="N3324" s="4" t="s">
        <v>3764</v>
      </c>
      <c r="O3324" s="17">
        <f>INDEX('список ID из СУЭ с должностями'!$A:$F,MATCH(E3324,'список ID из СУЭ с должностями'!$B:$B,0),5)</f>
        <v>0</v>
      </c>
    </row>
    <row r="3325" spans="1:15" ht="150">
      <c r="A3325" s="3" t="s">
        <v>10</v>
      </c>
      <c r="B3325" s="3" t="s">
        <v>11</v>
      </c>
      <c r="C3325" s="4">
        <v>2026</v>
      </c>
      <c r="D3325" s="5" t="s">
        <v>12</v>
      </c>
      <c r="E3325" s="4">
        <v>455</v>
      </c>
      <c r="F3325" s="4" t="s">
        <v>3252</v>
      </c>
      <c r="G3325" s="4" t="s">
        <v>1253</v>
      </c>
      <c r="H3325" s="4" t="s">
        <v>15</v>
      </c>
      <c r="I3325" s="4" t="s">
        <v>198</v>
      </c>
      <c r="J3325" s="4" t="s">
        <v>3265</v>
      </c>
      <c r="K3325" s="4" t="s">
        <v>20</v>
      </c>
      <c r="L3325" s="4" t="s">
        <v>3743</v>
      </c>
      <c r="M3325" s="4" t="s">
        <v>3746</v>
      </c>
      <c r="N3325" s="4" t="s">
        <v>3747</v>
      </c>
      <c r="O3325" s="17">
        <f>INDEX('список ID из СУЭ с должностями'!$A:$F,MATCH(E3325,'список ID из СУЭ с должностями'!$B:$B,0),5)</f>
        <v>0</v>
      </c>
    </row>
    <row r="3326" spans="1:15" ht="60">
      <c r="A3326" s="3" t="s">
        <v>10</v>
      </c>
      <c r="B3326" s="3" t="s">
        <v>11</v>
      </c>
      <c r="C3326" s="4">
        <v>2026</v>
      </c>
      <c r="D3326" s="5" t="s">
        <v>12</v>
      </c>
      <c r="E3326" s="4">
        <v>456</v>
      </c>
      <c r="F3326" s="4" t="s">
        <v>385</v>
      </c>
      <c r="G3326" s="4" t="s">
        <v>3266</v>
      </c>
      <c r="H3326" s="4" t="s">
        <v>15</v>
      </c>
      <c r="I3326" s="4" t="s">
        <v>3267</v>
      </c>
      <c r="J3326" s="4" t="s">
        <v>3268</v>
      </c>
      <c r="K3326" s="4" t="s">
        <v>23</v>
      </c>
      <c r="L3326" s="4" t="s">
        <v>3743</v>
      </c>
      <c r="M3326" s="4" t="s">
        <v>3748</v>
      </c>
      <c r="N3326" s="4" t="s">
        <v>3749</v>
      </c>
      <c r="O3326" s="17">
        <f>INDEX('список ID из СУЭ с должностями'!$A:$F,MATCH(E3326,'список ID из СУЭ с должностями'!$B:$B,0),5)</f>
        <v>0</v>
      </c>
    </row>
    <row r="3327" spans="1:15" ht="60">
      <c r="A3327" s="3" t="s">
        <v>10</v>
      </c>
      <c r="B3327" s="3" t="s">
        <v>11</v>
      </c>
      <c r="C3327" s="4">
        <v>2026</v>
      </c>
      <c r="D3327" s="5" t="s">
        <v>12</v>
      </c>
      <c r="E3327" s="4">
        <v>456</v>
      </c>
      <c r="F3327" s="4" t="s">
        <v>385</v>
      </c>
      <c r="G3327" s="4" t="s">
        <v>3266</v>
      </c>
      <c r="H3327" s="4" t="s">
        <v>21</v>
      </c>
      <c r="I3327" s="4" t="s">
        <v>3269</v>
      </c>
      <c r="J3327" s="4" t="s">
        <v>3270</v>
      </c>
      <c r="K3327" s="4" t="s">
        <v>55</v>
      </c>
      <c r="L3327" s="4" t="s">
        <v>3743</v>
      </c>
      <c r="M3327" s="4" t="s">
        <v>3746</v>
      </c>
      <c r="N3327" s="4" t="s">
        <v>3747</v>
      </c>
      <c r="O3327" s="17">
        <f>INDEX('список ID из СУЭ с должностями'!$A:$F,MATCH(E3327,'список ID из СУЭ с должностями'!$B:$B,0),5)</f>
        <v>0</v>
      </c>
    </row>
    <row r="3328" spans="1:15" ht="105">
      <c r="A3328" s="3" t="s">
        <v>10</v>
      </c>
      <c r="B3328" s="3" t="s">
        <v>11</v>
      </c>
      <c r="C3328" s="4">
        <v>2026</v>
      </c>
      <c r="D3328" s="5" t="s">
        <v>12</v>
      </c>
      <c r="E3328" s="4">
        <v>456</v>
      </c>
      <c r="F3328" s="4" t="s">
        <v>385</v>
      </c>
      <c r="G3328" s="4" t="s">
        <v>3266</v>
      </c>
      <c r="H3328" s="4" t="s">
        <v>15</v>
      </c>
      <c r="I3328" s="4" t="s">
        <v>3271</v>
      </c>
      <c r="J3328" s="4" t="s">
        <v>3272</v>
      </c>
      <c r="K3328" s="4" t="s">
        <v>52</v>
      </c>
      <c r="L3328" s="4" t="s">
        <v>3743</v>
      </c>
      <c r="M3328" s="4" t="s">
        <v>3746</v>
      </c>
      <c r="N3328" s="4" t="s">
        <v>3747</v>
      </c>
      <c r="O3328" s="17">
        <f>INDEX('список ID из СУЭ с должностями'!$A:$F,MATCH(E3328,'список ID из СУЭ с должностями'!$B:$B,0),5)</f>
        <v>0</v>
      </c>
    </row>
    <row r="3329" spans="1:15" ht="75">
      <c r="A3329" s="3" t="s">
        <v>10</v>
      </c>
      <c r="B3329" s="3" t="s">
        <v>11</v>
      </c>
      <c r="C3329" s="4">
        <v>2026</v>
      </c>
      <c r="D3329" s="5" t="s">
        <v>12</v>
      </c>
      <c r="E3329" s="4">
        <v>456</v>
      </c>
      <c r="F3329" s="4" t="s">
        <v>385</v>
      </c>
      <c r="G3329" s="4" t="s">
        <v>3266</v>
      </c>
      <c r="H3329" s="4" t="s">
        <v>15</v>
      </c>
      <c r="I3329" s="4" t="s">
        <v>3273</v>
      </c>
      <c r="J3329" s="4" t="s">
        <v>3274</v>
      </c>
      <c r="K3329" s="4" t="s">
        <v>52</v>
      </c>
      <c r="L3329" s="4" t="s">
        <v>3743</v>
      </c>
      <c r="M3329" s="4" t="s">
        <v>3746</v>
      </c>
      <c r="N3329" s="4" t="s">
        <v>3747</v>
      </c>
      <c r="O3329" s="17">
        <f>INDEX('список ID из СУЭ с должностями'!$A:$F,MATCH(E3329,'список ID из СУЭ с должностями'!$B:$B,0),5)</f>
        <v>0</v>
      </c>
    </row>
    <row r="3330" spans="1:15" ht="105">
      <c r="A3330" s="3" t="s">
        <v>10</v>
      </c>
      <c r="B3330" s="3" t="s">
        <v>11</v>
      </c>
      <c r="C3330" s="4">
        <v>2026</v>
      </c>
      <c r="D3330" s="5" t="s">
        <v>12</v>
      </c>
      <c r="E3330" s="4">
        <v>456</v>
      </c>
      <c r="F3330" s="4" t="s">
        <v>385</v>
      </c>
      <c r="G3330" s="4" t="s">
        <v>3266</v>
      </c>
      <c r="H3330" s="4" t="s">
        <v>15</v>
      </c>
      <c r="I3330" s="4" t="s">
        <v>3275</v>
      </c>
      <c r="J3330" s="4" t="s">
        <v>3276</v>
      </c>
      <c r="K3330" s="4" t="s">
        <v>52</v>
      </c>
      <c r="L3330" s="4" t="s">
        <v>3743</v>
      </c>
      <c r="M3330" s="4" t="s">
        <v>3746</v>
      </c>
      <c r="N3330" s="4" t="s">
        <v>3747</v>
      </c>
      <c r="O3330" s="17">
        <f>INDEX('список ID из СУЭ с должностями'!$A:$F,MATCH(E3330,'список ID из СУЭ с должностями'!$B:$B,0),5)</f>
        <v>0</v>
      </c>
    </row>
    <row r="3331" spans="1:15" ht="45">
      <c r="A3331" s="3" t="s">
        <v>10</v>
      </c>
      <c r="B3331" s="3" t="s">
        <v>11</v>
      </c>
      <c r="C3331" s="4">
        <v>2026</v>
      </c>
      <c r="D3331" s="5" t="s">
        <v>12</v>
      </c>
      <c r="E3331" s="4">
        <v>456</v>
      </c>
      <c r="F3331" s="4" t="s">
        <v>385</v>
      </c>
      <c r="G3331" s="4" t="s">
        <v>3266</v>
      </c>
      <c r="H3331" s="4" t="s">
        <v>15</v>
      </c>
      <c r="I3331" s="4" t="s">
        <v>3277</v>
      </c>
      <c r="J3331" s="4" t="s">
        <v>2325</v>
      </c>
      <c r="K3331" s="4" t="s">
        <v>52</v>
      </c>
      <c r="L3331" s="4" t="s">
        <v>3742</v>
      </c>
      <c r="M3331" s="4" t="s">
        <v>3746</v>
      </c>
      <c r="N3331" s="4" t="s">
        <v>3747</v>
      </c>
      <c r="O3331" s="17">
        <f>INDEX('список ID из СУЭ с должностями'!$A:$F,MATCH(E3331,'список ID из СУЭ с должностями'!$B:$B,0),5)</f>
        <v>0</v>
      </c>
    </row>
    <row r="3332" spans="1:15" ht="60">
      <c r="A3332" s="3" t="s">
        <v>10</v>
      </c>
      <c r="B3332" s="3" t="s">
        <v>11</v>
      </c>
      <c r="C3332" s="4">
        <v>2026</v>
      </c>
      <c r="D3332" s="5" t="s">
        <v>12</v>
      </c>
      <c r="E3332" s="4">
        <v>456</v>
      </c>
      <c r="F3332" s="4" t="s">
        <v>385</v>
      </c>
      <c r="G3332" s="4" t="s">
        <v>3266</v>
      </c>
      <c r="H3332" s="4" t="s">
        <v>15</v>
      </c>
      <c r="I3332" s="4" t="s">
        <v>3278</v>
      </c>
      <c r="J3332" s="4" t="s">
        <v>3279</v>
      </c>
      <c r="K3332" s="4" t="s">
        <v>30</v>
      </c>
      <c r="L3332" s="4" t="s">
        <v>3742</v>
      </c>
      <c r="M3332" s="4" t="s">
        <v>3746</v>
      </c>
      <c r="N3332" s="4" t="s">
        <v>3747</v>
      </c>
      <c r="O3332" s="17">
        <f>INDEX('список ID из СУЭ с должностями'!$A:$F,MATCH(E3332,'список ID из СУЭ с должностями'!$B:$B,0),5)</f>
        <v>0</v>
      </c>
    </row>
    <row r="3333" spans="1:15" ht="75">
      <c r="A3333" s="3" t="s">
        <v>10</v>
      </c>
      <c r="B3333" s="3" t="s">
        <v>11</v>
      </c>
      <c r="C3333" s="4">
        <v>2026</v>
      </c>
      <c r="D3333" s="5" t="s">
        <v>12</v>
      </c>
      <c r="E3333" s="4">
        <v>457</v>
      </c>
      <c r="F3333" s="4" t="s">
        <v>193</v>
      </c>
      <c r="G3333" s="4" t="s">
        <v>3280</v>
      </c>
      <c r="H3333" s="4" t="s">
        <v>15</v>
      </c>
      <c r="I3333" s="4" t="s">
        <v>3281</v>
      </c>
      <c r="J3333" s="4" t="s">
        <v>182</v>
      </c>
      <c r="K3333" s="4" t="s">
        <v>38</v>
      </c>
      <c r="L3333" s="4" t="s">
        <v>3742</v>
      </c>
      <c r="M3333" s="4" t="s">
        <v>3746</v>
      </c>
      <c r="N3333" s="4" t="s">
        <v>3747</v>
      </c>
      <c r="O3333" s="17" t="str">
        <f>INDEX('список ID из СУЭ с должностями'!$A:$F,MATCH(E3333,'список ID из СУЭ с должностями'!$B:$B,0),5)</f>
        <v>Инж смены</v>
      </c>
    </row>
    <row r="3334" spans="1:15" ht="75">
      <c r="A3334" s="3" t="s">
        <v>10</v>
      </c>
      <c r="B3334" s="3" t="s">
        <v>11</v>
      </c>
      <c r="C3334" s="4">
        <v>2026</v>
      </c>
      <c r="D3334" s="5" t="s">
        <v>12</v>
      </c>
      <c r="E3334" s="4">
        <v>457</v>
      </c>
      <c r="F3334" s="4" t="s">
        <v>193</v>
      </c>
      <c r="G3334" s="4" t="s">
        <v>3280</v>
      </c>
      <c r="H3334" s="4" t="s">
        <v>15</v>
      </c>
      <c r="I3334" s="4" t="s">
        <v>3282</v>
      </c>
      <c r="J3334" s="4" t="s">
        <v>602</v>
      </c>
      <c r="K3334" s="4" t="s">
        <v>38</v>
      </c>
      <c r="L3334" s="4" t="s">
        <v>3742</v>
      </c>
      <c r="M3334" s="4" t="s">
        <v>3746</v>
      </c>
      <c r="N3334" s="4" t="s">
        <v>3747</v>
      </c>
      <c r="O3334" s="17" t="str">
        <f>INDEX('список ID из СУЭ с должностями'!$A:$F,MATCH(E3334,'список ID из СУЭ с должностями'!$B:$B,0),5)</f>
        <v>Инж смены</v>
      </c>
    </row>
    <row r="3335" spans="1:15" ht="75">
      <c r="A3335" s="3" t="s">
        <v>10</v>
      </c>
      <c r="B3335" s="3" t="s">
        <v>11</v>
      </c>
      <c r="C3335" s="4">
        <v>2026</v>
      </c>
      <c r="D3335" s="5" t="s">
        <v>12</v>
      </c>
      <c r="E3335" s="4">
        <v>457</v>
      </c>
      <c r="F3335" s="4" t="s">
        <v>193</v>
      </c>
      <c r="G3335" s="4" t="s">
        <v>3280</v>
      </c>
      <c r="H3335" s="4" t="s">
        <v>15</v>
      </c>
      <c r="I3335" s="4" t="s">
        <v>1446</v>
      </c>
      <c r="J3335" s="4" t="s">
        <v>3283</v>
      </c>
      <c r="K3335" s="4" t="s">
        <v>52</v>
      </c>
      <c r="L3335" s="4" t="s">
        <v>3742</v>
      </c>
      <c r="M3335" s="4" t="s">
        <v>3746</v>
      </c>
      <c r="N3335" s="4" t="s">
        <v>3747</v>
      </c>
      <c r="O3335" s="17" t="str">
        <f>INDEX('список ID из СУЭ с должностями'!$A:$F,MATCH(E3335,'список ID из СУЭ с должностями'!$B:$B,0),5)</f>
        <v>Инж смены</v>
      </c>
    </row>
    <row r="3336" spans="1:15" ht="75">
      <c r="A3336" s="3" t="s">
        <v>10</v>
      </c>
      <c r="B3336" s="3" t="s">
        <v>11</v>
      </c>
      <c r="C3336" s="4">
        <v>2026</v>
      </c>
      <c r="D3336" s="5" t="s">
        <v>12</v>
      </c>
      <c r="E3336" s="4">
        <v>457</v>
      </c>
      <c r="F3336" s="4" t="s">
        <v>193</v>
      </c>
      <c r="G3336" s="4" t="s">
        <v>3280</v>
      </c>
      <c r="H3336" s="4" t="s">
        <v>15</v>
      </c>
      <c r="I3336" s="4" t="s">
        <v>3284</v>
      </c>
      <c r="J3336" s="4" t="s">
        <v>604</v>
      </c>
      <c r="K3336" s="4" t="s">
        <v>38</v>
      </c>
      <c r="L3336" s="4" t="s">
        <v>3742</v>
      </c>
      <c r="M3336" s="4" t="s">
        <v>3746</v>
      </c>
      <c r="N3336" s="4" t="s">
        <v>3747</v>
      </c>
      <c r="O3336" s="17" t="str">
        <f>INDEX('список ID из СУЭ с должностями'!$A:$F,MATCH(E3336,'список ID из СУЭ с должностями'!$B:$B,0),5)</f>
        <v>Инж смены</v>
      </c>
    </row>
    <row r="3337" spans="1:15" ht="75">
      <c r="A3337" s="3" t="s">
        <v>10</v>
      </c>
      <c r="B3337" s="3" t="s">
        <v>11</v>
      </c>
      <c r="C3337" s="4">
        <v>2026</v>
      </c>
      <c r="D3337" s="5" t="s">
        <v>12</v>
      </c>
      <c r="E3337" s="4">
        <v>457</v>
      </c>
      <c r="F3337" s="4" t="s">
        <v>193</v>
      </c>
      <c r="G3337" s="4" t="s">
        <v>3280</v>
      </c>
      <c r="H3337" s="4" t="s">
        <v>21</v>
      </c>
      <c r="I3337" s="4" t="s">
        <v>607</v>
      </c>
      <c r="J3337" s="4" t="s">
        <v>3285</v>
      </c>
      <c r="K3337" s="4" t="s">
        <v>38</v>
      </c>
      <c r="L3337" s="4" t="s">
        <v>3742</v>
      </c>
      <c r="M3337" s="4" t="s">
        <v>3746</v>
      </c>
      <c r="N3337" s="4" t="s">
        <v>3747</v>
      </c>
      <c r="O3337" s="17" t="str">
        <f>INDEX('список ID из СУЭ с должностями'!$A:$F,MATCH(E3337,'список ID из СУЭ с должностями'!$B:$B,0),5)</f>
        <v>Инж смены</v>
      </c>
    </row>
    <row r="3338" spans="1:15" ht="75">
      <c r="A3338" s="3" t="s">
        <v>10</v>
      </c>
      <c r="B3338" s="3" t="s">
        <v>11</v>
      </c>
      <c r="C3338" s="4">
        <v>2026</v>
      </c>
      <c r="D3338" s="5" t="s">
        <v>12</v>
      </c>
      <c r="E3338" s="4">
        <v>457</v>
      </c>
      <c r="F3338" s="4" t="s">
        <v>193</v>
      </c>
      <c r="G3338" s="4" t="s">
        <v>3280</v>
      </c>
      <c r="H3338" s="4" t="s">
        <v>21</v>
      </c>
      <c r="I3338" s="4" t="s">
        <v>3286</v>
      </c>
      <c r="J3338" s="4" t="s">
        <v>3287</v>
      </c>
      <c r="K3338" s="4" t="s">
        <v>55</v>
      </c>
      <c r="L3338" s="4" t="s">
        <v>3742</v>
      </c>
      <c r="M3338" s="4" t="s">
        <v>3746</v>
      </c>
      <c r="N3338" s="4" t="s">
        <v>3747</v>
      </c>
      <c r="O3338" s="17" t="str">
        <f>INDEX('список ID из СУЭ с должностями'!$A:$F,MATCH(E3338,'список ID из СУЭ с должностями'!$B:$B,0),5)</f>
        <v>Инж смены</v>
      </c>
    </row>
    <row r="3339" spans="1:15" ht="75">
      <c r="A3339" s="3" t="s">
        <v>10</v>
      </c>
      <c r="B3339" s="3" t="s">
        <v>11</v>
      </c>
      <c r="C3339" s="4">
        <v>2026</v>
      </c>
      <c r="D3339" s="5" t="s">
        <v>12</v>
      </c>
      <c r="E3339" s="4">
        <v>457</v>
      </c>
      <c r="F3339" s="4" t="s">
        <v>193</v>
      </c>
      <c r="G3339" s="4" t="s">
        <v>3280</v>
      </c>
      <c r="H3339" s="4" t="s">
        <v>15</v>
      </c>
      <c r="I3339" s="4" t="s">
        <v>3288</v>
      </c>
      <c r="J3339" s="4" t="s">
        <v>2486</v>
      </c>
      <c r="K3339" s="4" t="s">
        <v>38</v>
      </c>
      <c r="L3339" s="4" t="s">
        <v>3742</v>
      </c>
      <c r="M3339" s="4" t="s">
        <v>3746</v>
      </c>
      <c r="N3339" s="4" t="s">
        <v>3747</v>
      </c>
      <c r="O3339" s="17" t="str">
        <f>INDEX('список ID из СУЭ с должностями'!$A:$F,MATCH(E3339,'список ID из СУЭ с должностями'!$B:$B,0),5)</f>
        <v>Инж смены</v>
      </c>
    </row>
    <row r="3340" spans="1:15" ht="75">
      <c r="A3340" s="3" t="s">
        <v>10</v>
      </c>
      <c r="B3340" s="3" t="s">
        <v>11</v>
      </c>
      <c r="C3340" s="4">
        <v>2026</v>
      </c>
      <c r="D3340" s="5" t="s">
        <v>12</v>
      </c>
      <c r="E3340" s="4">
        <v>457</v>
      </c>
      <c r="F3340" s="4" t="s">
        <v>193</v>
      </c>
      <c r="G3340" s="4" t="s">
        <v>3280</v>
      </c>
      <c r="H3340" s="4" t="s">
        <v>15</v>
      </c>
      <c r="I3340" s="4" t="s">
        <v>3289</v>
      </c>
      <c r="J3340" s="4" t="s">
        <v>3290</v>
      </c>
      <c r="K3340" s="4" t="s">
        <v>52</v>
      </c>
      <c r="L3340" s="4" t="s">
        <v>3742</v>
      </c>
      <c r="M3340" s="4" t="s">
        <v>3746</v>
      </c>
      <c r="N3340" s="4" t="s">
        <v>3747</v>
      </c>
      <c r="O3340" s="17" t="str">
        <f>INDEX('список ID из СУЭ с должностями'!$A:$F,MATCH(E3340,'список ID из СУЭ с должностями'!$B:$B,0),5)</f>
        <v>Инж смены</v>
      </c>
    </row>
    <row r="3341" spans="1:15" ht="75">
      <c r="A3341" s="3" t="s">
        <v>10</v>
      </c>
      <c r="B3341" s="3" t="s">
        <v>11</v>
      </c>
      <c r="C3341" s="4">
        <v>2026</v>
      </c>
      <c r="D3341" s="5" t="s">
        <v>12</v>
      </c>
      <c r="E3341" s="4">
        <v>457</v>
      </c>
      <c r="F3341" s="4" t="s">
        <v>193</v>
      </c>
      <c r="G3341" s="4" t="s">
        <v>3280</v>
      </c>
      <c r="H3341" s="4" t="s">
        <v>41</v>
      </c>
      <c r="I3341" s="4" t="s">
        <v>288</v>
      </c>
      <c r="J3341" s="4" t="s">
        <v>3291</v>
      </c>
      <c r="K3341" s="4" t="s">
        <v>52</v>
      </c>
      <c r="L3341" s="4" t="s">
        <v>3742</v>
      </c>
      <c r="M3341" s="4" t="s">
        <v>3746</v>
      </c>
      <c r="N3341" s="4" t="s">
        <v>3747</v>
      </c>
      <c r="O3341" s="17" t="str">
        <f>INDEX('список ID из СУЭ с должностями'!$A:$F,MATCH(E3341,'список ID из СУЭ с должностями'!$B:$B,0),5)</f>
        <v>Инж смены</v>
      </c>
    </row>
    <row r="3342" spans="1:15" ht="105">
      <c r="A3342" s="3" t="s">
        <v>10</v>
      </c>
      <c r="B3342" s="3" t="s">
        <v>11</v>
      </c>
      <c r="C3342" s="4">
        <v>2026</v>
      </c>
      <c r="D3342" s="5" t="s">
        <v>12</v>
      </c>
      <c r="E3342" s="4">
        <v>458</v>
      </c>
      <c r="F3342" s="4" t="s">
        <v>1290</v>
      </c>
      <c r="G3342" s="4" t="s">
        <v>1056</v>
      </c>
      <c r="H3342" s="4" t="s">
        <v>15</v>
      </c>
      <c r="I3342" s="4" t="s">
        <v>356</v>
      </c>
      <c r="J3342" s="4" t="s">
        <v>357</v>
      </c>
      <c r="K3342" s="4" t="s">
        <v>38</v>
      </c>
      <c r="L3342" s="4" t="s">
        <v>3743</v>
      </c>
      <c r="M3342" s="4" t="s">
        <v>3746</v>
      </c>
      <c r="N3342" s="4" t="s">
        <v>3747</v>
      </c>
      <c r="O3342" s="17">
        <f>INDEX('список ID из СУЭ с должностями'!$A:$F,MATCH(E3342,'список ID из СУЭ с должностями'!$B:$B,0),5)</f>
        <v>0</v>
      </c>
    </row>
    <row r="3343" spans="1:15" ht="409.5">
      <c r="A3343" s="3" t="s">
        <v>10</v>
      </c>
      <c r="B3343" s="3" t="s">
        <v>11</v>
      </c>
      <c r="C3343" s="4">
        <v>2026</v>
      </c>
      <c r="D3343" s="5" t="s">
        <v>12</v>
      </c>
      <c r="E3343" s="4">
        <v>458</v>
      </c>
      <c r="F3343" s="4" t="s">
        <v>1290</v>
      </c>
      <c r="G3343" s="4" t="s">
        <v>1056</v>
      </c>
      <c r="H3343" s="4" t="s">
        <v>15</v>
      </c>
      <c r="I3343" s="4" t="s">
        <v>354</v>
      </c>
      <c r="J3343" s="4" t="s">
        <v>1059</v>
      </c>
      <c r="K3343" s="4" t="s">
        <v>25</v>
      </c>
      <c r="L3343" s="4" t="s">
        <v>3743</v>
      </c>
      <c r="M3343" s="4" t="s">
        <v>3746</v>
      </c>
      <c r="N3343" s="4" t="s">
        <v>3747</v>
      </c>
      <c r="O3343" s="17">
        <f>INDEX('список ID из СУЭ с должностями'!$A:$F,MATCH(E3343,'список ID из СУЭ с должностями'!$B:$B,0),5)</f>
        <v>0</v>
      </c>
    </row>
    <row r="3344" spans="1:15" ht="330">
      <c r="A3344" s="3" t="s">
        <v>10</v>
      </c>
      <c r="B3344" s="3" t="s">
        <v>11</v>
      </c>
      <c r="C3344" s="4">
        <v>2026</v>
      </c>
      <c r="D3344" s="5" t="s">
        <v>12</v>
      </c>
      <c r="E3344" s="4">
        <v>458</v>
      </c>
      <c r="F3344" s="4" t="s">
        <v>1290</v>
      </c>
      <c r="G3344" s="4" t="s">
        <v>1056</v>
      </c>
      <c r="H3344" s="4" t="s">
        <v>15</v>
      </c>
      <c r="I3344" s="4" t="s">
        <v>323</v>
      </c>
      <c r="J3344" s="4" t="s">
        <v>826</v>
      </c>
      <c r="K3344" s="4" t="s">
        <v>151</v>
      </c>
      <c r="L3344" s="4" t="s">
        <v>3743</v>
      </c>
      <c r="M3344" s="4" t="s">
        <v>3746</v>
      </c>
      <c r="N3344" s="4" t="s">
        <v>3747</v>
      </c>
      <c r="O3344" s="17">
        <f>INDEX('список ID из СУЭ с должностями'!$A:$F,MATCH(E3344,'список ID из СУЭ с должностями'!$B:$B,0),5)</f>
        <v>0</v>
      </c>
    </row>
    <row r="3345" spans="1:15" ht="330">
      <c r="A3345" s="3" t="s">
        <v>10</v>
      </c>
      <c r="B3345" s="3" t="s">
        <v>11</v>
      </c>
      <c r="C3345" s="4">
        <v>2026</v>
      </c>
      <c r="D3345" s="5" t="s">
        <v>12</v>
      </c>
      <c r="E3345" s="4">
        <v>458</v>
      </c>
      <c r="F3345" s="4" t="s">
        <v>1290</v>
      </c>
      <c r="G3345" s="4" t="s">
        <v>1056</v>
      </c>
      <c r="H3345" s="4" t="s">
        <v>15</v>
      </c>
      <c r="I3345" s="4" t="s">
        <v>325</v>
      </c>
      <c r="J3345" s="4" t="s">
        <v>1060</v>
      </c>
      <c r="K3345" s="4" t="s">
        <v>35</v>
      </c>
      <c r="L3345" s="4" t="s">
        <v>3743</v>
      </c>
      <c r="M3345" s="4" t="s">
        <v>3746</v>
      </c>
      <c r="N3345" s="4" t="s">
        <v>3747</v>
      </c>
      <c r="O3345" s="17">
        <f>INDEX('список ID из СУЭ с должностями'!$A:$F,MATCH(E3345,'список ID из СУЭ с должностями'!$B:$B,0),5)</f>
        <v>0</v>
      </c>
    </row>
    <row r="3346" spans="1:15" ht="60">
      <c r="A3346" s="3" t="s">
        <v>10</v>
      </c>
      <c r="B3346" s="3" t="s">
        <v>11</v>
      </c>
      <c r="C3346" s="4">
        <v>2026</v>
      </c>
      <c r="D3346" s="5" t="s">
        <v>12</v>
      </c>
      <c r="E3346" s="4">
        <v>459</v>
      </c>
      <c r="F3346" s="4" t="s">
        <v>67</v>
      </c>
      <c r="G3346" s="4" t="s">
        <v>2918</v>
      </c>
      <c r="H3346" s="4" t="s">
        <v>21</v>
      </c>
      <c r="I3346" s="4" t="s">
        <v>2929</v>
      </c>
      <c r="J3346" s="4" t="s">
        <v>2930</v>
      </c>
      <c r="K3346" s="4" t="s">
        <v>52</v>
      </c>
      <c r="L3346" s="4" t="s">
        <v>3742</v>
      </c>
      <c r="M3346" s="4" t="s">
        <v>3746</v>
      </c>
      <c r="N3346" s="4" t="s">
        <v>3747</v>
      </c>
      <c r="O3346" s="17">
        <f>INDEX('список ID из СУЭ с должностями'!$A:$F,MATCH(E3346,'список ID из СУЭ с должностями'!$B:$B,0),5)</f>
        <v>0</v>
      </c>
    </row>
    <row r="3347" spans="1:15" ht="405">
      <c r="A3347" s="3" t="s">
        <v>10</v>
      </c>
      <c r="B3347" s="3" t="s">
        <v>11</v>
      </c>
      <c r="C3347" s="4">
        <v>2026</v>
      </c>
      <c r="D3347" s="5" t="s">
        <v>12</v>
      </c>
      <c r="E3347" s="4">
        <v>459</v>
      </c>
      <c r="F3347" s="4" t="s">
        <v>67</v>
      </c>
      <c r="G3347" s="4" t="s">
        <v>2918</v>
      </c>
      <c r="H3347" s="4" t="s">
        <v>21</v>
      </c>
      <c r="I3347" s="4" t="s">
        <v>2931</v>
      </c>
      <c r="J3347" s="4" t="s">
        <v>3292</v>
      </c>
      <c r="K3347" s="4" t="s">
        <v>30</v>
      </c>
      <c r="L3347" s="4" t="s">
        <v>3743</v>
      </c>
      <c r="M3347" s="4" t="s">
        <v>3746</v>
      </c>
      <c r="N3347" s="4" t="s">
        <v>3747</v>
      </c>
      <c r="O3347" s="17">
        <f>INDEX('список ID из СУЭ с должностями'!$A:$F,MATCH(E3347,'список ID из СУЭ с должностями'!$B:$B,0),5)</f>
        <v>0</v>
      </c>
    </row>
    <row r="3348" spans="1:15" ht="60">
      <c r="A3348" s="3" t="s">
        <v>10</v>
      </c>
      <c r="B3348" s="3" t="s">
        <v>11</v>
      </c>
      <c r="C3348" s="4">
        <v>2026</v>
      </c>
      <c r="D3348" s="5" t="s">
        <v>12</v>
      </c>
      <c r="E3348" s="4">
        <v>459</v>
      </c>
      <c r="F3348" s="4" t="s">
        <v>67</v>
      </c>
      <c r="G3348" s="4" t="s">
        <v>2918</v>
      </c>
      <c r="H3348" s="4" t="s">
        <v>15</v>
      </c>
      <c r="I3348" s="4" t="s">
        <v>2933</v>
      </c>
      <c r="J3348" s="4" t="s">
        <v>115</v>
      </c>
      <c r="K3348" s="4" t="s">
        <v>151</v>
      </c>
      <c r="L3348" s="4" t="s">
        <v>3742</v>
      </c>
      <c r="M3348" s="4" t="s">
        <v>3746</v>
      </c>
      <c r="N3348" s="4" t="s">
        <v>3747</v>
      </c>
      <c r="O3348" s="17">
        <f>INDEX('список ID из СУЭ с должностями'!$A:$F,MATCH(E3348,'список ID из СУЭ с должностями'!$B:$B,0),5)</f>
        <v>0</v>
      </c>
    </row>
    <row r="3349" spans="1:15" ht="135">
      <c r="A3349" s="3" t="s">
        <v>10</v>
      </c>
      <c r="B3349" s="3" t="s">
        <v>11</v>
      </c>
      <c r="C3349" s="4">
        <v>2026</v>
      </c>
      <c r="D3349" s="5" t="s">
        <v>12</v>
      </c>
      <c r="E3349" s="4">
        <v>459</v>
      </c>
      <c r="F3349" s="4" t="s">
        <v>67</v>
      </c>
      <c r="G3349" s="4" t="s">
        <v>2918</v>
      </c>
      <c r="H3349" s="4" t="s">
        <v>15</v>
      </c>
      <c r="I3349" s="4" t="s">
        <v>3293</v>
      </c>
      <c r="J3349" s="4" t="s">
        <v>3294</v>
      </c>
      <c r="K3349" s="4" t="s">
        <v>35</v>
      </c>
      <c r="L3349" s="4" t="s">
        <v>3743</v>
      </c>
      <c r="M3349" s="4" t="s">
        <v>3746</v>
      </c>
      <c r="N3349" s="4" t="s">
        <v>3747</v>
      </c>
      <c r="O3349" s="17">
        <f>INDEX('список ID из СУЭ с должностями'!$A:$F,MATCH(E3349,'список ID из СУЭ с должностями'!$B:$B,0),5)</f>
        <v>0</v>
      </c>
    </row>
    <row r="3350" spans="1:15" ht="105">
      <c r="A3350" s="3" t="s">
        <v>10</v>
      </c>
      <c r="B3350" s="3" t="s">
        <v>11</v>
      </c>
      <c r="C3350" s="4">
        <v>2026</v>
      </c>
      <c r="D3350" s="5" t="s">
        <v>12</v>
      </c>
      <c r="E3350" s="4">
        <v>459</v>
      </c>
      <c r="F3350" s="4" t="s">
        <v>67</v>
      </c>
      <c r="G3350" s="4" t="s">
        <v>2918</v>
      </c>
      <c r="H3350" s="4" t="s">
        <v>41</v>
      </c>
      <c r="I3350" s="4" t="s">
        <v>2927</v>
      </c>
      <c r="J3350" s="4" t="s">
        <v>3295</v>
      </c>
      <c r="K3350" s="4" t="s">
        <v>20</v>
      </c>
      <c r="L3350" s="4" t="s">
        <v>3743</v>
      </c>
      <c r="M3350" s="4" t="s">
        <v>3746</v>
      </c>
      <c r="N3350" s="4" t="s">
        <v>3747</v>
      </c>
      <c r="O3350" s="17">
        <f>INDEX('список ID из СУЭ с должностями'!$A:$F,MATCH(E3350,'список ID из СУЭ с должностями'!$B:$B,0),5)</f>
        <v>0</v>
      </c>
    </row>
    <row r="3351" spans="1:15" ht="345">
      <c r="A3351" s="3" t="s">
        <v>10</v>
      </c>
      <c r="B3351" s="3" t="s">
        <v>11</v>
      </c>
      <c r="C3351" s="4">
        <v>2026</v>
      </c>
      <c r="D3351" s="5" t="s">
        <v>12</v>
      </c>
      <c r="E3351" s="4">
        <v>459</v>
      </c>
      <c r="F3351" s="4" t="s">
        <v>67</v>
      </c>
      <c r="G3351" s="4" t="s">
        <v>2918</v>
      </c>
      <c r="H3351" s="4" t="s">
        <v>15</v>
      </c>
      <c r="I3351" s="4" t="s">
        <v>3296</v>
      </c>
      <c r="J3351" s="4" t="s">
        <v>3297</v>
      </c>
      <c r="K3351" s="4" t="s">
        <v>3298</v>
      </c>
      <c r="L3351" s="4" t="s">
        <v>3743</v>
      </c>
      <c r="M3351" s="4" t="s">
        <v>3746</v>
      </c>
      <c r="N3351" s="4" t="s">
        <v>3754</v>
      </c>
      <c r="O3351" s="17">
        <f>INDEX('список ID из СУЭ с должностями'!$A:$F,MATCH(E3351,'список ID из СУЭ с должностями'!$B:$B,0),5)</f>
        <v>0</v>
      </c>
    </row>
    <row r="3352" spans="1:15" ht="45">
      <c r="A3352" s="3" t="s">
        <v>10</v>
      </c>
      <c r="B3352" s="3" t="s">
        <v>3299</v>
      </c>
      <c r="C3352" s="4">
        <v>2026</v>
      </c>
      <c r="D3352" s="5" t="s">
        <v>12</v>
      </c>
      <c r="E3352" s="4">
        <v>460</v>
      </c>
      <c r="F3352" s="4" t="s">
        <v>1384</v>
      </c>
      <c r="G3352" s="4" t="s">
        <v>1385</v>
      </c>
      <c r="H3352" s="4" t="s">
        <v>21</v>
      </c>
      <c r="I3352" s="4" t="s">
        <v>3300</v>
      </c>
      <c r="J3352" s="4" t="s">
        <v>132</v>
      </c>
      <c r="K3352" s="4" t="s">
        <v>52</v>
      </c>
      <c r="L3352" s="4" t="s">
        <v>3742</v>
      </c>
      <c r="M3352" s="4" t="s">
        <v>3746</v>
      </c>
      <c r="N3352" s="4" t="s">
        <v>3747</v>
      </c>
      <c r="O3352" s="17">
        <f>INDEX('список ID из СУЭ с должностями'!$A:$F,MATCH(E3352,'список ID из СУЭ с должностями'!$B:$B,0),5)</f>
        <v>0</v>
      </c>
    </row>
    <row r="3353" spans="1:15" ht="240">
      <c r="A3353" s="3" t="s">
        <v>10</v>
      </c>
      <c r="B3353" s="3" t="s">
        <v>3299</v>
      </c>
      <c r="C3353" s="4">
        <v>2026</v>
      </c>
      <c r="D3353" s="5" t="s">
        <v>12</v>
      </c>
      <c r="E3353" s="4">
        <v>460</v>
      </c>
      <c r="F3353" s="4" t="s">
        <v>1384</v>
      </c>
      <c r="G3353" s="4" t="s">
        <v>1385</v>
      </c>
      <c r="H3353" s="4" t="s">
        <v>41</v>
      </c>
      <c r="I3353" s="4" t="s">
        <v>3301</v>
      </c>
      <c r="J3353" s="4" t="s">
        <v>3302</v>
      </c>
      <c r="K3353" s="4" t="s">
        <v>23</v>
      </c>
      <c r="L3353" s="4" t="s">
        <v>3743</v>
      </c>
      <c r="M3353" s="4" t="s">
        <v>3748</v>
      </c>
      <c r="N3353" s="4" t="s">
        <v>3752</v>
      </c>
      <c r="O3353" s="17">
        <f>INDEX('список ID из СУЭ с должностями'!$A:$F,MATCH(E3353,'список ID из СУЭ с должностями'!$B:$B,0),5)</f>
        <v>0</v>
      </c>
    </row>
    <row r="3354" spans="1:15" ht="60">
      <c r="A3354" s="3" t="s">
        <v>10</v>
      </c>
      <c r="B3354" s="3" t="s">
        <v>3299</v>
      </c>
      <c r="C3354" s="4">
        <v>2026</v>
      </c>
      <c r="D3354" s="5" t="s">
        <v>12</v>
      </c>
      <c r="E3354" s="4">
        <v>460</v>
      </c>
      <c r="F3354" s="4" t="s">
        <v>1384</v>
      </c>
      <c r="G3354" s="4" t="s">
        <v>1385</v>
      </c>
      <c r="H3354" s="4" t="s">
        <v>21</v>
      </c>
      <c r="I3354" s="4" t="s">
        <v>3303</v>
      </c>
      <c r="J3354" s="4" t="s">
        <v>3304</v>
      </c>
      <c r="K3354" s="4" t="s">
        <v>30</v>
      </c>
      <c r="L3354" s="4" t="s">
        <v>3743</v>
      </c>
      <c r="M3354" s="4" t="s">
        <v>3746</v>
      </c>
      <c r="N3354" s="4" t="s">
        <v>3747</v>
      </c>
      <c r="O3354" s="17">
        <f>INDEX('список ID из СУЭ с должностями'!$A:$F,MATCH(E3354,'список ID из СУЭ с должностями'!$B:$B,0),5)</f>
        <v>0</v>
      </c>
    </row>
    <row r="3355" spans="1:15" ht="45">
      <c r="A3355" s="3" t="s">
        <v>10</v>
      </c>
      <c r="B3355" s="3" t="s">
        <v>3299</v>
      </c>
      <c r="C3355" s="4">
        <v>2026</v>
      </c>
      <c r="D3355" s="5" t="s">
        <v>12</v>
      </c>
      <c r="E3355" s="4">
        <v>460</v>
      </c>
      <c r="F3355" s="4" t="s">
        <v>1384</v>
      </c>
      <c r="G3355" s="4" t="s">
        <v>1385</v>
      </c>
      <c r="H3355" s="4" t="s">
        <v>21</v>
      </c>
      <c r="I3355" s="4" t="s">
        <v>3305</v>
      </c>
      <c r="J3355" s="4" t="s">
        <v>182</v>
      </c>
      <c r="K3355" s="4" t="s">
        <v>35</v>
      </c>
      <c r="L3355" s="4" t="s">
        <v>3742</v>
      </c>
      <c r="M3355" s="4" t="s">
        <v>3746</v>
      </c>
      <c r="N3355" s="4" t="s">
        <v>3747</v>
      </c>
      <c r="O3355" s="17">
        <f>INDEX('список ID из СУЭ с должностями'!$A:$F,MATCH(E3355,'список ID из СУЭ с должностями'!$B:$B,0),5)</f>
        <v>0</v>
      </c>
    </row>
    <row r="3356" spans="1:15" ht="60">
      <c r="A3356" s="3" t="s">
        <v>10</v>
      </c>
      <c r="B3356" s="3" t="s">
        <v>3299</v>
      </c>
      <c r="C3356" s="4">
        <v>2026</v>
      </c>
      <c r="D3356" s="5" t="s">
        <v>12</v>
      </c>
      <c r="E3356" s="4">
        <v>460</v>
      </c>
      <c r="F3356" s="4" t="s">
        <v>1384</v>
      </c>
      <c r="G3356" s="4" t="s">
        <v>1385</v>
      </c>
      <c r="H3356" s="4" t="s">
        <v>15</v>
      </c>
      <c r="I3356" s="4" t="s">
        <v>3306</v>
      </c>
      <c r="J3356" s="4" t="s">
        <v>79</v>
      </c>
      <c r="K3356" s="4" t="s">
        <v>30</v>
      </c>
      <c r="L3356" s="4" t="s">
        <v>3742</v>
      </c>
      <c r="M3356" s="4" t="s">
        <v>3746</v>
      </c>
      <c r="N3356" s="4" t="s">
        <v>3747</v>
      </c>
      <c r="O3356" s="17">
        <f>INDEX('список ID из СУЭ с должностями'!$A:$F,MATCH(E3356,'список ID из СУЭ с должностями'!$B:$B,0),5)</f>
        <v>0</v>
      </c>
    </row>
    <row r="3357" spans="1:15" ht="60">
      <c r="A3357" s="3" t="s">
        <v>10</v>
      </c>
      <c r="B3357" s="3" t="s">
        <v>3299</v>
      </c>
      <c r="C3357" s="4">
        <v>2026</v>
      </c>
      <c r="D3357" s="5" t="s">
        <v>12</v>
      </c>
      <c r="E3357" s="4">
        <v>460</v>
      </c>
      <c r="F3357" s="4" t="s">
        <v>1384</v>
      </c>
      <c r="G3357" s="4" t="s">
        <v>1385</v>
      </c>
      <c r="H3357" s="4" t="s">
        <v>15</v>
      </c>
      <c r="I3357" s="4" t="s">
        <v>3307</v>
      </c>
      <c r="J3357" s="4" t="s">
        <v>79</v>
      </c>
      <c r="K3357" s="4" t="s">
        <v>30</v>
      </c>
      <c r="L3357" s="4" t="s">
        <v>3742</v>
      </c>
      <c r="M3357" s="4" t="s">
        <v>3746</v>
      </c>
      <c r="N3357" s="4" t="s">
        <v>3747</v>
      </c>
      <c r="O3357" s="17">
        <f>INDEX('список ID из СУЭ с должностями'!$A:$F,MATCH(E3357,'список ID из СУЭ с должностями'!$B:$B,0),5)</f>
        <v>0</v>
      </c>
    </row>
    <row r="3358" spans="1:15" ht="60">
      <c r="A3358" s="3" t="s">
        <v>10</v>
      </c>
      <c r="B3358" s="3" t="s">
        <v>11</v>
      </c>
      <c r="C3358" s="4">
        <v>2026</v>
      </c>
      <c r="D3358" s="5" t="s">
        <v>12</v>
      </c>
      <c r="E3358" s="4">
        <v>461</v>
      </c>
      <c r="F3358" s="4" t="s">
        <v>193</v>
      </c>
      <c r="G3358" s="4" t="s">
        <v>3032</v>
      </c>
      <c r="H3358" s="4" t="s">
        <v>15</v>
      </c>
      <c r="I3358" s="4" t="s">
        <v>1446</v>
      </c>
      <c r="J3358" s="4" t="s">
        <v>3308</v>
      </c>
      <c r="K3358" s="4" t="s">
        <v>66</v>
      </c>
      <c r="L3358" s="4" t="s">
        <v>3742</v>
      </c>
      <c r="M3358" s="4" t="s">
        <v>3746</v>
      </c>
      <c r="N3358" s="4" t="s">
        <v>3747</v>
      </c>
      <c r="O3358" s="17" t="str">
        <f>INDEX('список ID из СУЭ с должностями'!$A:$F,MATCH(E3358,'список ID из СУЭ с должностями'!$B:$B,0),5)</f>
        <v>Инж смены</v>
      </c>
    </row>
    <row r="3359" spans="1:15" ht="195">
      <c r="A3359" s="3" t="s">
        <v>10</v>
      </c>
      <c r="B3359" s="3" t="s">
        <v>11</v>
      </c>
      <c r="C3359" s="4">
        <v>2026</v>
      </c>
      <c r="D3359" s="5" t="s">
        <v>12</v>
      </c>
      <c r="E3359" s="4">
        <v>461</v>
      </c>
      <c r="F3359" s="4" t="s">
        <v>193</v>
      </c>
      <c r="G3359" s="4" t="s">
        <v>3032</v>
      </c>
      <c r="H3359" s="4" t="s">
        <v>15</v>
      </c>
      <c r="I3359" s="4" t="s">
        <v>33</v>
      </c>
      <c r="J3359" s="4" t="s">
        <v>2275</v>
      </c>
      <c r="K3359" s="4" t="s">
        <v>35</v>
      </c>
      <c r="L3359" s="4" t="s">
        <v>3743</v>
      </c>
      <c r="M3359" s="4" t="s">
        <v>3746</v>
      </c>
      <c r="N3359" s="4" t="s">
        <v>3747</v>
      </c>
      <c r="O3359" s="17" t="str">
        <f>INDEX('список ID из СУЭ с должностями'!$A:$F,MATCH(E3359,'список ID из СУЭ с должностями'!$B:$B,0),5)</f>
        <v>Инж смены</v>
      </c>
    </row>
    <row r="3360" spans="1:15" ht="105">
      <c r="A3360" s="3" t="s">
        <v>10</v>
      </c>
      <c r="B3360" s="3" t="s">
        <v>11</v>
      </c>
      <c r="C3360" s="4">
        <v>2026</v>
      </c>
      <c r="D3360" s="5" t="s">
        <v>12</v>
      </c>
      <c r="E3360" s="4">
        <v>461</v>
      </c>
      <c r="F3360" s="4" t="s">
        <v>193</v>
      </c>
      <c r="G3360" s="4" t="s">
        <v>3032</v>
      </c>
      <c r="H3360" s="4" t="s">
        <v>15</v>
      </c>
      <c r="I3360" s="4" t="s">
        <v>201</v>
      </c>
      <c r="J3360" s="4" t="s">
        <v>2274</v>
      </c>
      <c r="K3360" s="4" t="s">
        <v>188</v>
      </c>
      <c r="L3360" s="4" t="s">
        <v>3743</v>
      </c>
      <c r="M3360" s="4" t="s">
        <v>3746</v>
      </c>
      <c r="N3360" s="4" t="s">
        <v>3747</v>
      </c>
      <c r="O3360" s="17" t="str">
        <f>INDEX('список ID из СУЭ с должностями'!$A:$F,MATCH(E3360,'список ID из СУЭ с должностями'!$B:$B,0),5)</f>
        <v>Инж смены</v>
      </c>
    </row>
    <row r="3361" spans="1:15" ht="105">
      <c r="A3361" s="3" t="s">
        <v>10</v>
      </c>
      <c r="B3361" s="3" t="s">
        <v>11</v>
      </c>
      <c r="C3361" s="4">
        <v>2026</v>
      </c>
      <c r="D3361" s="5" t="s">
        <v>12</v>
      </c>
      <c r="E3361" s="4">
        <v>461</v>
      </c>
      <c r="F3361" s="4" t="s">
        <v>193</v>
      </c>
      <c r="G3361" s="4" t="s">
        <v>3032</v>
      </c>
      <c r="H3361" s="4" t="s">
        <v>15</v>
      </c>
      <c r="I3361" s="4" t="s">
        <v>984</v>
      </c>
      <c r="J3361" s="4" t="s">
        <v>2273</v>
      </c>
      <c r="K3361" s="4" t="s">
        <v>66</v>
      </c>
      <c r="L3361" s="4" t="s">
        <v>3743</v>
      </c>
      <c r="M3361" s="4" t="s">
        <v>3746</v>
      </c>
      <c r="N3361" s="4" t="s">
        <v>3747</v>
      </c>
      <c r="O3361" s="17" t="str">
        <f>INDEX('список ID из СУЭ с должностями'!$A:$F,MATCH(E3361,'список ID из СУЭ с должностями'!$B:$B,0),5)</f>
        <v>Инж смены</v>
      </c>
    </row>
    <row r="3362" spans="1:15" ht="60">
      <c r="A3362" s="3" t="s">
        <v>10</v>
      </c>
      <c r="B3362" s="3" t="s">
        <v>11</v>
      </c>
      <c r="C3362" s="4">
        <v>2026</v>
      </c>
      <c r="D3362" s="5" t="s">
        <v>12</v>
      </c>
      <c r="E3362" s="4">
        <v>461</v>
      </c>
      <c r="F3362" s="4" t="s">
        <v>193</v>
      </c>
      <c r="G3362" s="4" t="s">
        <v>3032</v>
      </c>
      <c r="H3362" s="4" t="s">
        <v>15</v>
      </c>
      <c r="I3362" s="4" t="s">
        <v>1444</v>
      </c>
      <c r="J3362" s="4" t="s">
        <v>1445</v>
      </c>
      <c r="K3362" s="4" t="s">
        <v>66</v>
      </c>
      <c r="L3362" s="4" t="s">
        <v>3743</v>
      </c>
      <c r="M3362" s="4" t="s">
        <v>3746</v>
      </c>
      <c r="N3362" s="4" t="s">
        <v>3747</v>
      </c>
      <c r="O3362" s="17" t="str">
        <f>INDEX('список ID из СУЭ с должностями'!$A:$F,MATCH(E3362,'список ID из СУЭ с должностями'!$B:$B,0),5)</f>
        <v>Инж смены</v>
      </c>
    </row>
    <row r="3363" spans="1:15" ht="60">
      <c r="A3363" s="3" t="s">
        <v>10</v>
      </c>
      <c r="B3363" s="3" t="s">
        <v>11</v>
      </c>
      <c r="C3363" s="4">
        <v>2026</v>
      </c>
      <c r="D3363" s="5" t="s">
        <v>12</v>
      </c>
      <c r="E3363" s="4">
        <v>461</v>
      </c>
      <c r="F3363" s="4" t="s">
        <v>193</v>
      </c>
      <c r="G3363" s="4" t="s">
        <v>3032</v>
      </c>
      <c r="H3363" s="4" t="s">
        <v>15</v>
      </c>
      <c r="I3363" s="4" t="s">
        <v>1250</v>
      </c>
      <c r="J3363" s="4" t="s">
        <v>115</v>
      </c>
      <c r="K3363" s="4" t="s">
        <v>52</v>
      </c>
      <c r="L3363" s="4" t="s">
        <v>3742</v>
      </c>
      <c r="M3363" s="4" t="s">
        <v>3746</v>
      </c>
      <c r="N3363" s="4" t="s">
        <v>3747</v>
      </c>
      <c r="O3363" s="17" t="str">
        <f>INDEX('список ID из СУЭ с должностями'!$A:$F,MATCH(E3363,'список ID из СУЭ с должностями'!$B:$B,0),5)</f>
        <v>Инж смены</v>
      </c>
    </row>
    <row r="3364" spans="1:15" ht="75">
      <c r="A3364" s="3" t="s">
        <v>10</v>
      </c>
      <c r="B3364" s="3" t="s">
        <v>11</v>
      </c>
      <c r="C3364" s="4">
        <v>2026</v>
      </c>
      <c r="D3364" s="5" t="s">
        <v>12</v>
      </c>
      <c r="E3364" s="4">
        <v>461</v>
      </c>
      <c r="F3364" s="4" t="s">
        <v>193</v>
      </c>
      <c r="G3364" s="4" t="s">
        <v>3032</v>
      </c>
      <c r="H3364" s="4" t="s">
        <v>15</v>
      </c>
      <c r="I3364" s="4" t="s">
        <v>1448</v>
      </c>
      <c r="J3364" s="4" t="s">
        <v>1449</v>
      </c>
      <c r="K3364" s="4" t="s">
        <v>20</v>
      </c>
      <c r="L3364" s="4" t="s">
        <v>3743</v>
      </c>
      <c r="M3364" s="4" t="s">
        <v>3746</v>
      </c>
      <c r="N3364" s="4" t="s">
        <v>3747</v>
      </c>
      <c r="O3364" s="17" t="str">
        <f>INDEX('список ID из СУЭ с должностями'!$A:$F,MATCH(E3364,'список ID из СУЭ с должностями'!$B:$B,0),5)</f>
        <v>Инж смены</v>
      </c>
    </row>
    <row r="3365" spans="1:15" ht="150">
      <c r="A3365" s="3" t="s">
        <v>10</v>
      </c>
      <c r="B3365" s="3" t="s">
        <v>11</v>
      </c>
      <c r="C3365" s="4">
        <v>2026</v>
      </c>
      <c r="D3365" s="5" t="s">
        <v>12</v>
      </c>
      <c r="E3365" s="4">
        <v>462</v>
      </c>
      <c r="F3365" s="4" t="s">
        <v>239</v>
      </c>
      <c r="G3365" s="4" t="s">
        <v>3309</v>
      </c>
      <c r="H3365" s="4" t="s">
        <v>41</v>
      </c>
      <c r="I3365" s="4" t="s">
        <v>42</v>
      </c>
      <c r="J3365" s="4" t="s">
        <v>43</v>
      </c>
      <c r="K3365" s="4" t="s">
        <v>25</v>
      </c>
      <c r="L3365" s="4" t="s">
        <v>3743</v>
      </c>
      <c r="M3365" s="4" t="s">
        <v>3746</v>
      </c>
      <c r="N3365" s="4" t="s">
        <v>3747</v>
      </c>
      <c r="O3365" s="17" t="str">
        <f>INDEX('список ID из СУЭ с должностями'!$A:$F,MATCH(E3365,'список ID из СУЭ с должностями'!$B:$B,0),5)</f>
        <v>ИПП</v>
      </c>
    </row>
    <row r="3366" spans="1:15" ht="75">
      <c r="A3366" s="3" t="s">
        <v>10</v>
      </c>
      <c r="B3366" s="3" t="s">
        <v>11</v>
      </c>
      <c r="C3366" s="4">
        <v>2026</v>
      </c>
      <c r="D3366" s="5" t="s">
        <v>12</v>
      </c>
      <c r="E3366" s="4">
        <v>462</v>
      </c>
      <c r="F3366" s="4" t="s">
        <v>239</v>
      </c>
      <c r="G3366" s="4" t="s">
        <v>3309</v>
      </c>
      <c r="H3366" s="4" t="s">
        <v>15</v>
      </c>
      <c r="I3366" s="4" t="s">
        <v>3310</v>
      </c>
      <c r="J3366" s="4" t="s">
        <v>3311</v>
      </c>
      <c r="K3366" s="4" t="s">
        <v>23</v>
      </c>
      <c r="L3366" s="4" t="s">
        <v>3743</v>
      </c>
      <c r="M3366" s="4" t="s">
        <v>3748</v>
      </c>
      <c r="N3366" s="4" t="s">
        <v>3752</v>
      </c>
      <c r="O3366" s="17" t="str">
        <f>INDEX('список ID из СУЭ с должностями'!$A:$F,MATCH(E3366,'список ID из СУЭ с должностями'!$B:$B,0),5)</f>
        <v>ИПП</v>
      </c>
    </row>
    <row r="3367" spans="1:15" ht="75">
      <c r="A3367" s="3" t="s">
        <v>10</v>
      </c>
      <c r="B3367" s="3" t="s">
        <v>11</v>
      </c>
      <c r="C3367" s="4">
        <v>2026</v>
      </c>
      <c r="D3367" s="5" t="s">
        <v>12</v>
      </c>
      <c r="E3367" s="4">
        <v>462</v>
      </c>
      <c r="F3367" s="4" t="s">
        <v>239</v>
      </c>
      <c r="G3367" s="4" t="s">
        <v>3309</v>
      </c>
      <c r="H3367" s="4" t="s">
        <v>15</v>
      </c>
      <c r="I3367" s="4" t="s">
        <v>1400</v>
      </c>
      <c r="J3367" s="4" t="s">
        <v>65</v>
      </c>
      <c r="K3367" s="4" t="s">
        <v>66</v>
      </c>
      <c r="L3367" s="4" t="s">
        <v>3742</v>
      </c>
      <c r="M3367" s="4" t="s">
        <v>3746</v>
      </c>
      <c r="N3367" s="4" t="s">
        <v>3747</v>
      </c>
      <c r="O3367" s="17" t="str">
        <f>INDEX('список ID из СУЭ с должностями'!$A:$F,MATCH(E3367,'список ID из СУЭ с должностями'!$B:$B,0),5)</f>
        <v>ИПП</v>
      </c>
    </row>
    <row r="3368" spans="1:15" ht="75">
      <c r="A3368" s="3" t="s">
        <v>10</v>
      </c>
      <c r="B3368" s="3" t="s">
        <v>11</v>
      </c>
      <c r="C3368" s="4">
        <v>2026</v>
      </c>
      <c r="D3368" s="5" t="s">
        <v>12</v>
      </c>
      <c r="E3368" s="4">
        <v>462</v>
      </c>
      <c r="F3368" s="4" t="s">
        <v>239</v>
      </c>
      <c r="G3368" s="4" t="s">
        <v>3309</v>
      </c>
      <c r="H3368" s="4" t="s">
        <v>15</v>
      </c>
      <c r="I3368" s="4" t="s">
        <v>1402</v>
      </c>
      <c r="J3368" s="4" t="s">
        <v>1403</v>
      </c>
      <c r="K3368" s="4" t="s">
        <v>35</v>
      </c>
      <c r="L3368" s="4" t="s">
        <v>3743</v>
      </c>
      <c r="M3368" s="4" t="s">
        <v>3746</v>
      </c>
      <c r="N3368" s="4" t="s">
        <v>3747</v>
      </c>
      <c r="O3368" s="17" t="str">
        <f>INDEX('список ID из СУЭ с должностями'!$A:$F,MATCH(E3368,'список ID из СУЭ с должностями'!$B:$B,0),5)</f>
        <v>ИПП</v>
      </c>
    </row>
    <row r="3369" spans="1:15" ht="75">
      <c r="A3369" s="3" t="s">
        <v>10</v>
      </c>
      <c r="B3369" s="3" t="s">
        <v>11</v>
      </c>
      <c r="C3369" s="4">
        <v>2026</v>
      </c>
      <c r="D3369" s="5" t="s">
        <v>12</v>
      </c>
      <c r="E3369" s="4">
        <v>462</v>
      </c>
      <c r="F3369" s="4" t="s">
        <v>239</v>
      </c>
      <c r="G3369" s="4" t="s">
        <v>3309</v>
      </c>
      <c r="H3369" s="4" t="s">
        <v>21</v>
      </c>
      <c r="I3369" s="4" t="s">
        <v>1404</v>
      </c>
      <c r="J3369" s="4" t="s">
        <v>1405</v>
      </c>
      <c r="K3369" s="4" t="s">
        <v>38</v>
      </c>
      <c r="L3369" s="4" t="s">
        <v>3743</v>
      </c>
      <c r="M3369" s="4" t="s">
        <v>3746</v>
      </c>
      <c r="N3369" s="4" t="s">
        <v>3747</v>
      </c>
      <c r="O3369" s="17" t="str">
        <f>INDEX('список ID из СУЭ с должностями'!$A:$F,MATCH(E3369,'список ID из СУЭ с должностями'!$B:$B,0),5)</f>
        <v>ИПП</v>
      </c>
    </row>
    <row r="3370" spans="1:15" ht="75">
      <c r="A3370" s="3" t="s">
        <v>10</v>
      </c>
      <c r="B3370" s="3" t="s">
        <v>11</v>
      </c>
      <c r="C3370" s="4">
        <v>2026</v>
      </c>
      <c r="D3370" s="5" t="s">
        <v>12</v>
      </c>
      <c r="E3370" s="4">
        <v>462</v>
      </c>
      <c r="F3370" s="4" t="s">
        <v>239</v>
      </c>
      <c r="G3370" s="4" t="s">
        <v>3309</v>
      </c>
      <c r="H3370" s="4" t="s">
        <v>15</v>
      </c>
      <c r="I3370" s="4" t="s">
        <v>1407</v>
      </c>
      <c r="J3370" s="4" t="s">
        <v>182</v>
      </c>
      <c r="K3370" s="4" t="s">
        <v>38</v>
      </c>
      <c r="L3370" s="4" t="s">
        <v>3742</v>
      </c>
      <c r="M3370" s="4" t="s">
        <v>3746</v>
      </c>
      <c r="N3370" s="4" t="s">
        <v>3747</v>
      </c>
      <c r="O3370" s="17" t="str">
        <f>INDEX('список ID из СУЭ с должностями'!$A:$F,MATCH(E3370,'список ID из СУЭ с должностями'!$B:$B,0),5)</f>
        <v>ИПП</v>
      </c>
    </row>
    <row r="3371" spans="1:15" ht="75">
      <c r="A3371" s="3" t="s">
        <v>10</v>
      </c>
      <c r="B3371" s="3" t="s">
        <v>11</v>
      </c>
      <c r="C3371" s="4">
        <v>2026</v>
      </c>
      <c r="D3371" s="5" t="s">
        <v>12</v>
      </c>
      <c r="E3371" s="4">
        <v>462</v>
      </c>
      <c r="F3371" s="4" t="s">
        <v>239</v>
      </c>
      <c r="G3371" s="4" t="s">
        <v>3309</v>
      </c>
      <c r="H3371" s="4" t="s">
        <v>15</v>
      </c>
      <c r="I3371" s="4" t="s">
        <v>1406</v>
      </c>
      <c r="J3371" s="4" t="s">
        <v>196</v>
      </c>
      <c r="K3371" s="4" t="s">
        <v>188</v>
      </c>
      <c r="L3371" s="4" t="s">
        <v>3742</v>
      </c>
      <c r="M3371" s="4" t="s">
        <v>3746</v>
      </c>
      <c r="N3371" s="4" t="s">
        <v>3747</v>
      </c>
      <c r="O3371" s="17" t="str">
        <f>INDEX('список ID из СУЭ с должностями'!$A:$F,MATCH(E3371,'список ID из СУЭ с должностями'!$B:$B,0),5)</f>
        <v>ИПП</v>
      </c>
    </row>
    <row r="3372" spans="1:15" ht="75">
      <c r="A3372" s="3" t="s">
        <v>10</v>
      </c>
      <c r="B3372" s="3" t="s">
        <v>11</v>
      </c>
      <c r="C3372" s="4">
        <v>2026</v>
      </c>
      <c r="D3372" s="5" t="s">
        <v>12</v>
      </c>
      <c r="E3372" s="4">
        <v>462</v>
      </c>
      <c r="F3372" s="4" t="s">
        <v>239</v>
      </c>
      <c r="G3372" s="4" t="s">
        <v>3309</v>
      </c>
      <c r="H3372" s="4" t="s">
        <v>15</v>
      </c>
      <c r="I3372" s="4" t="s">
        <v>1408</v>
      </c>
      <c r="J3372" s="4" t="s">
        <v>182</v>
      </c>
      <c r="K3372" s="4" t="s">
        <v>55</v>
      </c>
      <c r="L3372" s="4" t="s">
        <v>3742</v>
      </c>
      <c r="M3372" s="4" t="s">
        <v>3746</v>
      </c>
      <c r="N3372" s="4" t="s">
        <v>3747</v>
      </c>
      <c r="O3372" s="17" t="str">
        <f>INDEX('список ID из СУЭ с должностями'!$A:$F,MATCH(E3372,'список ID из СУЭ с должностями'!$B:$B,0),5)</f>
        <v>ИПП</v>
      </c>
    </row>
    <row r="3373" spans="1:15" ht="150">
      <c r="A3373" s="3" t="s">
        <v>10</v>
      </c>
      <c r="B3373" s="3" t="s">
        <v>11</v>
      </c>
      <c r="C3373" s="4">
        <v>2026</v>
      </c>
      <c r="D3373" s="5" t="s">
        <v>12</v>
      </c>
      <c r="E3373" s="4">
        <v>462</v>
      </c>
      <c r="F3373" s="4" t="s">
        <v>239</v>
      </c>
      <c r="G3373" s="4" t="s">
        <v>3309</v>
      </c>
      <c r="H3373" s="4" t="s">
        <v>21</v>
      </c>
      <c r="I3373" s="4" t="s">
        <v>829</v>
      </c>
      <c r="J3373" s="4" t="s">
        <v>3312</v>
      </c>
      <c r="K3373" s="4" t="s">
        <v>20</v>
      </c>
      <c r="L3373" s="4" t="s">
        <v>3743</v>
      </c>
      <c r="M3373" s="4" t="s">
        <v>3746</v>
      </c>
      <c r="N3373" s="4" t="s">
        <v>3747</v>
      </c>
      <c r="O3373" s="17" t="str">
        <f>INDEX('список ID из СУЭ с должностями'!$A:$F,MATCH(E3373,'список ID из СУЭ с должностями'!$B:$B,0),5)</f>
        <v>ИПП</v>
      </c>
    </row>
    <row r="3374" spans="1:15" ht="225">
      <c r="A3374" s="3" t="s">
        <v>10</v>
      </c>
      <c r="B3374" s="3" t="s">
        <v>11</v>
      </c>
      <c r="C3374" s="4">
        <v>2026</v>
      </c>
      <c r="D3374" s="5" t="s">
        <v>12</v>
      </c>
      <c r="E3374" s="4">
        <v>462</v>
      </c>
      <c r="F3374" s="4" t="s">
        <v>239</v>
      </c>
      <c r="G3374" s="4" t="s">
        <v>3309</v>
      </c>
      <c r="H3374" s="4" t="s">
        <v>15</v>
      </c>
      <c r="I3374" s="4" t="s">
        <v>48</v>
      </c>
      <c r="J3374" s="4" t="s">
        <v>1410</v>
      </c>
      <c r="K3374" s="4" t="s">
        <v>35</v>
      </c>
      <c r="L3374" s="4" t="s">
        <v>3743</v>
      </c>
      <c r="M3374" s="4" t="s">
        <v>3746</v>
      </c>
      <c r="N3374" s="4" t="s">
        <v>3747</v>
      </c>
      <c r="O3374" s="17" t="str">
        <f>INDEX('список ID из СУЭ с должностями'!$A:$F,MATCH(E3374,'список ID из СУЭ с должностями'!$B:$B,0),5)</f>
        <v>ИПП</v>
      </c>
    </row>
    <row r="3375" spans="1:15" ht="45">
      <c r="A3375" s="3" t="s">
        <v>10</v>
      </c>
      <c r="B3375" s="3" t="s">
        <v>11</v>
      </c>
      <c r="C3375" s="4">
        <v>2026</v>
      </c>
      <c r="D3375" s="5" t="s">
        <v>12</v>
      </c>
      <c r="E3375" s="4">
        <v>463</v>
      </c>
      <c r="F3375" s="4" t="s">
        <v>84</v>
      </c>
      <c r="G3375" s="4" t="s">
        <v>68</v>
      </c>
      <c r="H3375" s="4" t="s">
        <v>15</v>
      </c>
      <c r="I3375" s="4" t="s">
        <v>761</v>
      </c>
      <c r="J3375" s="4" t="s">
        <v>65</v>
      </c>
      <c r="K3375" s="4" t="s">
        <v>23</v>
      </c>
      <c r="L3375" s="4" t="s">
        <v>3742</v>
      </c>
      <c r="M3375" s="4" t="s">
        <v>3748</v>
      </c>
      <c r="N3375" s="4" t="s">
        <v>3752</v>
      </c>
      <c r="O3375" s="17">
        <f>INDEX('список ID из СУЭ с должностями'!$A:$F,MATCH(E3375,'список ID из СУЭ с должностями'!$B:$B,0),5)</f>
        <v>0</v>
      </c>
    </row>
    <row r="3376" spans="1:15" ht="45">
      <c r="A3376" s="3" t="s">
        <v>10</v>
      </c>
      <c r="B3376" s="3" t="s">
        <v>11</v>
      </c>
      <c r="C3376" s="4">
        <v>2026</v>
      </c>
      <c r="D3376" s="5" t="s">
        <v>12</v>
      </c>
      <c r="E3376" s="4">
        <v>463</v>
      </c>
      <c r="F3376" s="4" t="s">
        <v>84</v>
      </c>
      <c r="G3376" s="4" t="s">
        <v>68</v>
      </c>
      <c r="H3376" s="4" t="s">
        <v>15</v>
      </c>
      <c r="I3376" s="4" t="s">
        <v>763</v>
      </c>
      <c r="J3376" s="4" t="s">
        <v>3313</v>
      </c>
      <c r="K3376" s="4" t="s">
        <v>23</v>
      </c>
      <c r="L3376" s="4" t="s">
        <v>3742</v>
      </c>
      <c r="M3376" s="4" t="s">
        <v>3748</v>
      </c>
      <c r="N3376" s="4" t="s">
        <v>3752</v>
      </c>
      <c r="O3376" s="17">
        <f>INDEX('список ID из СУЭ с должностями'!$A:$F,MATCH(E3376,'список ID из СУЭ с должностями'!$B:$B,0),5)</f>
        <v>0</v>
      </c>
    </row>
    <row r="3377" spans="1:15" ht="45">
      <c r="A3377" s="3" t="s">
        <v>10</v>
      </c>
      <c r="B3377" s="3" t="s">
        <v>11</v>
      </c>
      <c r="C3377" s="4">
        <v>2026</v>
      </c>
      <c r="D3377" s="5" t="s">
        <v>12</v>
      </c>
      <c r="E3377" s="4">
        <v>463</v>
      </c>
      <c r="F3377" s="4" t="s">
        <v>84</v>
      </c>
      <c r="G3377" s="4" t="s">
        <v>68</v>
      </c>
      <c r="H3377" s="4" t="s">
        <v>15</v>
      </c>
      <c r="I3377" s="4" t="s">
        <v>765</v>
      </c>
      <c r="J3377" s="4" t="s">
        <v>196</v>
      </c>
      <c r="K3377" s="4" t="s">
        <v>23</v>
      </c>
      <c r="L3377" s="4" t="s">
        <v>3742</v>
      </c>
      <c r="M3377" s="4" t="s">
        <v>3748</v>
      </c>
      <c r="N3377" s="4" t="s">
        <v>3752</v>
      </c>
      <c r="O3377" s="17">
        <f>INDEX('список ID из СУЭ с должностями'!$A:$F,MATCH(E3377,'список ID из СУЭ с должностями'!$B:$B,0),5)</f>
        <v>0</v>
      </c>
    </row>
    <row r="3378" spans="1:15" ht="150">
      <c r="A3378" s="3" t="s">
        <v>10</v>
      </c>
      <c r="B3378" s="3" t="s">
        <v>11</v>
      </c>
      <c r="C3378" s="4">
        <v>2026</v>
      </c>
      <c r="D3378" s="5" t="s">
        <v>12</v>
      </c>
      <c r="E3378" s="4">
        <v>464</v>
      </c>
      <c r="F3378" s="4" t="s">
        <v>2426</v>
      </c>
      <c r="G3378" s="4" t="s">
        <v>2427</v>
      </c>
      <c r="H3378" s="4" t="s">
        <v>41</v>
      </c>
      <c r="I3378" s="4" t="s">
        <v>2430</v>
      </c>
      <c r="J3378" s="4" t="s">
        <v>3314</v>
      </c>
      <c r="K3378" s="4" t="s">
        <v>20</v>
      </c>
      <c r="L3378" s="4" t="s">
        <v>3743</v>
      </c>
      <c r="M3378" s="4" t="s">
        <v>3746</v>
      </c>
      <c r="N3378" s="4" t="s">
        <v>3747</v>
      </c>
      <c r="O3378" s="17">
        <f>INDEX('список ID из СУЭ с должностями'!$A:$F,MATCH(E3378,'список ID из СУЭ с должностями'!$B:$B,0),5)</f>
        <v>0</v>
      </c>
    </row>
    <row r="3379" spans="1:15" ht="120">
      <c r="A3379" s="3" t="s">
        <v>10</v>
      </c>
      <c r="B3379" s="3" t="s">
        <v>11</v>
      </c>
      <c r="C3379" s="4">
        <v>2026</v>
      </c>
      <c r="D3379" s="5" t="s">
        <v>12</v>
      </c>
      <c r="E3379" s="4">
        <v>464</v>
      </c>
      <c r="F3379" s="4" t="s">
        <v>2426</v>
      </c>
      <c r="G3379" s="4" t="s">
        <v>2427</v>
      </c>
      <c r="H3379" s="4" t="s">
        <v>21</v>
      </c>
      <c r="I3379" s="4" t="s">
        <v>2432</v>
      </c>
      <c r="J3379" s="4" t="s">
        <v>2433</v>
      </c>
      <c r="K3379" s="4" t="s">
        <v>25</v>
      </c>
      <c r="L3379" s="4" t="s">
        <v>3743</v>
      </c>
      <c r="M3379" s="4" t="s">
        <v>3746</v>
      </c>
      <c r="N3379" s="4" t="s">
        <v>3747</v>
      </c>
      <c r="O3379" s="17">
        <f>INDEX('список ID из СУЭ с должностями'!$A:$F,MATCH(E3379,'список ID из СУЭ с должностями'!$B:$B,0),5)</f>
        <v>0</v>
      </c>
    </row>
    <row r="3380" spans="1:15" ht="120">
      <c r="A3380" s="3" t="s">
        <v>10</v>
      </c>
      <c r="B3380" s="3" t="s">
        <v>11</v>
      </c>
      <c r="C3380" s="4">
        <v>2026</v>
      </c>
      <c r="D3380" s="5" t="s">
        <v>12</v>
      </c>
      <c r="E3380" s="4">
        <v>464</v>
      </c>
      <c r="F3380" s="4" t="s">
        <v>2426</v>
      </c>
      <c r="G3380" s="4" t="s">
        <v>2427</v>
      </c>
      <c r="H3380" s="4" t="s">
        <v>15</v>
      </c>
      <c r="I3380" s="4" t="s">
        <v>460</v>
      </c>
      <c r="J3380" s="4" t="s">
        <v>2428</v>
      </c>
      <c r="K3380" s="4" t="s">
        <v>38</v>
      </c>
      <c r="L3380" s="4" t="s">
        <v>3743</v>
      </c>
      <c r="M3380" s="4" t="s">
        <v>3746</v>
      </c>
      <c r="N3380" s="4" t="s">
        <v>3747</v>
      </c>
      <c r="O3380" s="17">
        <f>INDEX('список ID из СУЭ с должностями'!$A:$F,MATCH(E3380,'список ID из СУЭ с должностями'!$B:$B,0),5)</f>
        <v>0</v>
      </c>
    </row>
    <row r="3381" spans="1:15" ht="195">
      <c r="A3381" s="3" t="s">
        <v>10</v>
      </c>
      <c r="B3381" s="3" t="s">
        <v>11</v>
      </c>
      <c r="C3381" s="4">
        <v>2026</v>
      </c>
      <c r="D3381" s="5" t="s">
        <v>12</v>
      </c>
      <c r="E3381" s="4">
        <v>464</v>
      </c>
      <c r="F3381" s="4" t="s">
        <v>2426</v>
      </c>
      <c r="G3381" s="4" t="s">
        <v>2427</v>
      </c>
      <c r="H3381" s="4" t="s">
        <v>41</v>
      </c>
      <c r="I3381" s="4" t="s">
        <v>147</v>
      </c>
      <c r="J3381" s="4" t="s">
        <v>2438</v>
      </c>
      <c r="K3381" s="4" t="s">
        <v>35</v>
      </c>
      <c r="L3381" s="4" t="s">
        <v>3743</v>
      </c>
      <c r="M3381" s="4" t="s">
        <v>3746</v>
      </c>
      <c r="N3381" s="4" t="s">
        <v>3747</v>
      </c>
      <c r="O3381" s="17">
        <f>INDEX('список ID из СУЭ с должностями'!$A:$F,MATCH(E3381,'список ID из СУЭ с должностями'!$B:$B,0),5)</f>
        <v>0</v>
      </c>
    </row>
    <row r="3382" spans="1:15" ht="315">
      <c r="A3382" s="3" t="s">
        <v>10</v>
      </c>
      <c r="B3382" s="3" t="s">
        <v>11</v>
      </c>
      <c r="C3382" s="4">
        <v>2026</v>
      </c>
      <c r="D3382" s="5" t="s">
        <v>12</v>
      </c>
      <c r="E3382" s="4">
        <v>464</v>
      </c>
      <c r="F3382" s="4" t="s">
        <v>2426</v>
      </c>
      <c r="G3382" s="4" t="s">
        <v>2427</v>
      </c>
      <c r="H3382" s="4" t="s">
        <v>15</v>
      </c>
      <c r="I3382" s="4" t="s">
        <v>2439</v>
      </c>
      <c r="J3382" s="4" t="s">
        <v>2440</v>
      </c>
      <c r="K3382" s="4" t="s">
        <v>151</v>
      </c>
      <c r="L3382" s="4" t="s">
        <v>3743</v>
      </c>
      <c r="M3382" s="4" t="s">
        <v>3746</v>
      </c>
      <c r="N3382" s="4" t="s">
        <v>3747</v>
      </c>
      <c r="O3382" s="17">
        <f>INDEX('список ID из СУЭ с должностями'!$A:$F,MATCH(E3382,'список ID из СУЭ с должностями'!$B:$B,0),5)</f>
        <v>0</v>
      </c>
    </row>
    <row r="3383" spans="1:15" ht="120">
      <c r="A3383" s="3" t="s">
        <v>10</v>
      </c>
      <c r="B3383" s="3" t="s">
        <v>11</v>
      </c>
      <c r="C3383" s="4">
        <v>2026</v>
      </c>
      <c r="D3383" s="5" t="s">
        <v>12</v>
      </c>
      <c r="E3383" s="4">
        <v>464</v>
      </c>
      <c r="F3383" s="4" t="s">
        <v>2426</v>
      </c>
      <c r="G3383" s="4" t="s">
        <v>2427</v>
      </c>
      <c r="H3383" s="4" t="s">
        <v>15</v>
      </c>
      <c r="I3383" s="4" t="s">
        <v>2434</v>
      </c>
      <c r="J3383" s="4" t="s">
        <v>2435</v>
      </c>
      <c r="K3383" s="4" t="s">
        <v>151</v>
      </c>
      <c r="L3383" s="4" t="s">
        <v>3743</v>
      </c>
      <c r="M3383" s="4" t="s">
        <v>3746</v>
      </c>
      <c r="N3383" s="4" t="s">
        <v>3747</v>
      </c>
      <c r="O3383" s="17">
        <f>INDEX('список ID из СУЭ с должностями'!$A:$F,MATCH(E3383,'список ID из СУЭ с должностями'!$B:$B,0),5)</f>
        <v>0</v>
      </c>
    </row>
    <row r="3384" spans="1:15" ht="120">
      <c r="A3384" s="3" t="s">
        <v>10</v>
      </c>
      <c r="B3384" s="3" t="s">
        <v>11</v>
      </c>
      <c r="C3384" s="4">
        <v>2026</v>
      </c>
      <c r="D3384" s="5" t="s">
        <v>12</v>
      </c>
      <c r="E3384" s="4">
        <v>464</v>
      </c>
      <c r="F3384" s="4" t="s">
        <v>2426</v>
      </c>
      <c r="G3384" s="4" t="s">
        <v>2427</v>
      </c>
      <c r="H3384" s="4" t="s">
        <v>41</v>
      </c>
      <c r="I3384" s="4" t="s">
        <v>2436</v>
      </c>
      <c r="J3384" s="4" t="s">
        <v>2437</v>
      </c>
      <c r="K3384" s="4" t="s">
        <v>66</v>
      </c>
      <c r="L3384" s="4" t="s">
        <v>3743</v>
      </c>
      <c r="M3384" s="4" t="s">
        <v>3746</v>
      </c>
      <c r="N3384" s="4" t="s">
        <v>3747</v>
      </c>
      <c r="O3384" s="17">
        <f>INDEX('список ID из СУЭ с должностями'!$A:$F,MATCH(E3384,'список ID из СУЭ с должностями'!$B:$B,0),5)</f>
        <v>0</v>
      </c>
    </row>
    <row r="3385" spans="1:15" ht="75">
      <c r="A3385" s="3" t="s">
        <v>10</v>
      </c>
      <c r="B3385" s="3" t="s">
        <v>11</v>
      </c>
      <c r="C3385" s="4">
        <v>2026</v>
      </c>
      <c r="D3385" s="5" t="s">
        <v>12</v>
      </c>
      <c r="E3385" s="4">
        <v>465</v>
      </c>
      <c r="F3385" s="4" t="s">
        <v>116</v>
      </c>
      <c r="G3385" s="4" t="s">
        <v>117</v>
      </c>
      <c r="H3385" s="4" t="s">
        <v>21</v>
      </c>
      <c r="I3385" s="4" t="s">
        <v>569</v>
      </c>
      <c r="J3385" s="4" t="s">
        <v>3315</v>
      </c>
      <c r="K3385" s="4" t="s">
        <v>35</v>
      </c>
      <c r="L3385" s="4" t="s">
        <v>3742</v>
      </c>
      <c r="M3385" s="4" t="s">
        <v>3746</v>
      </c>
      <c r="N3385" s="4" t="s">
        <v>3747</v>
      </c>
      <c r="O3385" s="17">
        <f>INDEX('список ID из СУЭ с должностями'!$A:$F,MATCH(E3385,'список ID из СУЭ с должностями'!$B:$B,0),5)</f>
        <v>0</v>
      </c>
    </row>
    <row r="3386" spans="1:15" ht="75">
      <c r="A3386" s="3" t="s">
        <v>10</v>
      </c>
      <c r="B3386" s="3" t="s">
        <v>11</v>
      </c>
      <c r="C3386" s="4">
        <v>2026</v>
      </c>
      <c r="D3386" s="5" t="s">
        <v>12</v>
      </c>
      <c r="E3386" s="4">
        <v>465</v>
      </c>
      <c r="F3386" s="4" t="s">
        <v>116</v>
      </c>
      <c r="G3386" s="4" t="s">
        <v>117</v>
      </c>
      <c r="H3386" s="4" t="s">
        <v>15</v>
      </c>
      <c r="I3386" s="4" t="s">
        <v>566</v>
      </c>
      <c r="J3386" s="4" t="s">
        <v>132</v>
      </c>
      <c r="K3386" s="4" t="s">
        <v>30</v>
      </c>
      <c r="L3386" s="4" t="s">
        <v>3742</v>
      </c>
      <c r="M3386" s="4" t="s">
        <v>3746</v>
      </c>
      <c r="N3386" s="4" t="s">
        <v>3747</v>
      </c>
      <c r="O3386" s="17">
        <f>INDEX('список ID из СУЭ с должностями'!$A:$F,MATCH(E3386,'список ID из СУЭ с должностями'!$B:$B,0),5)</f>
        <v>0</v>
      </c>
    </row>
    <row r="3387" spans="1:15" ht="75">
      <c r="A3387" s="3" t="s">
        <v>10</v>
      </c>
      <c r="B3387" s="3" t="s">
        <v>11</v>
      </c>
      <c r="C3387" s="4">
        <v>2026</v>
      </c>
      <c r="D3387" s="5" t="s">
        <v>12</v>
      </c>
      <c r="E3387" s="4">
        <v>465</v>
      </c>
      <c r="F3387" s="4" t="s">
        <v>116</v>
      </c>
      <c r="G3387" s="4" t="s">
        <v>117</v>
      </c>
      <c r="H3387" s="4" t="s">
        <v>15</v>
      </c>
      <c r="I3387" s="4" t="s">
        <v>1092</v>
      </c>
      <c r="J3387" s="4" t="s">
        <v>132</v>
      </c>
      <c r="K3387" s="4" t="s">
        <v>30</v>
      </c>
      <c r="L3387" s="4" t="s">
        <v>3742</v>
      </c>
      <c r="M3387" s="4" t="s">
        <v>3746</v>
      </c>
      <c r="N3387" s="4" t="s">
        <v>3747</v>
      </c>
      <c r="O3387" s="17">
        <f>INDEX('список ID из СУЭ с должностями'!$A:$F,MATCH(E3387,'список ID из СУЭ с должностями'!$B:$B,0),5)</f>
        <v>0</v>
      </c>
    </row>
    <row r="3388" spans="1:15" ht="75">
      <c r="A3388" s="3" t="s">
        <v>10</v>
      </c>
      <c r="B3388" s="3" t="s">
        <v>11</v>
      </c>
      <c r="C3388" s="4">
        <v>2026</v>
      </c>
      <c r="D3388" s="5" t="s">
        <v>12</v>
      </c>
      <c r="E3388" s="4">
        <v>465</v>
      </c>
      <c r="F3388" s="4" t="s">
        <v>116</v>
      </c>
      <c r="G3388" s="4" t="s">
        <v>117</v>
      </c>
      <c r="H3388" s="4" t="s">
        <v>15</v>
      </c>
      <c r="I3388" s="4" t="s">
        <v>1084</v>
      </c>
      <c r="J3388" s="4" t="s">
        <v>132</v>
      </c>
      <c r="K3388" s="4" t="s">
        <v>30</v>
      </c>
      <c r="L3388" s="4" t="s">
        <v>3742</v>
      </c>
      <c r="M3388" s="4" t="s">
        <v>3746</v>
      </c>
      <c r="N3388" s="4" t="s">
        <v>3747</v>
      </c>
      <c r="O3388" s="17">
        <f>INDEX('список ID из СУЭ с должностями'!$A:$F,MATCH(E3388,'список ID из СУЭ с должностями'!$B:$B,0),5)</f>
        <v>0</v>
      </c>
    </row>
    <row r="3389" spans="1:15" ht="75">
      <c r="A3389" s="3" t="s">
        <v>10</v>
      </c>
      <c r="B3389" s="3" t="s">
        <v>11</v>
      </c>
      <c r="C3389" s="4">
        <v>2026</v>
      </c>
      <c r="D3389" s="5" t="s">
        <v>12</v>
      </c>
      <c r="E3389" s="4">
        <v>465</v>
      </c>
      <c r="F3389" s="4" t="s">
        <v>116</v>
      </c>
      <c r="G3389" s="4" t="s">
        <v>117</v>
      </c>
      <c r="H3389" s="4" t="s">
        <v>15</v>
      </c>
      <c r="I3389" s="4" t="s">
        <v>564</v>
      </c>
      <c r="J3389" s="4" t="s">
        <v>164</v>
      </c>
      <c r="K3389" s="4" t="s">
        <v>52</v>
      </c>
      <c r="L3389" s="4" t="s">
        <v>3742</v>
      </c>
      <c r="M3389" s="4" t="s">
        <v>3746</v>
      </c>
      <c r="N3389" s="4" t="s">
        <v>3747</v>
      </c>
      <c r="O3389" s="17">
        <f>INDEX('список ID из СУЭ с должностями'!$A:$F,MATCH(E3389,'список ID из СУЭ с должностями'!$B:$B,0),5)</f>
        <v>0</v>
      </c>
    </row>
    <row r="3390" spans="1:15" ht="75">
      <c r="A3390" s="3" t="s">
        <v>10</v>
      </c>
      <c r="B3390" s="3" t="s">
        <v>11</v>
      </c>
      <c r="C3390" s="4">
        <v>2026</v>
      </c>
      <c r="D3390" s="5" t="s">
        <v>12</v>
      </c>
      <c r="E3390" s="4">
        <v>465</v>
      </c>
      <c r="F3390" s="4" t="s">
        <v>116</v>
      </c>
      <c r="G3390" s="4" t="s">
        <v>117</v>
      </c>
      <c r="H3390" s="4" t="s">
        <v>15</v>
      </c>
      <c r="I3390" s="4" t="s">
        <v>570</v>
      </c>
      <c r="J3390" s="4" t="s">
        <v>132</v>
      </c>
      <c r="K3390" s="4" t="s">
        <v>30</v>
      </c>
      <c r="L3390" s="4" t="s">
        <v>3742</v>
      </c>
      <c r="M3390" s="4" t="s">
        <v>3746</v>
      </c>
      <c r="N3390" s="4" t="s">
        <v>3747</v>
      </c>
      <c r="O3390" s="17">
        <f>INDEX('список ID из СУЭ с должностями'!$A:$F,MATCH(E3390,'список ID из СУЭ с должностями'!$B:$B,0),5)</f>
        <v>0</v>
      </c>
    </row>
    <row r="3391" spans="1:15" ht="75">
      <c r="A3391" s="3" t="s">
        <v>10</v>
      </c>
      <c r="B3391" s="3" t="s">
        <v>11</v>
      </c>
      <c r="C3391" s="4">
        <v>2026</v>
      </c>
      <c r="D3391" s="5" t="s">
        <v>12</v>
      </c>
      <c r="E3391" s="4">
        <v>465</v>
      </c>
      <c r="F3391" s="4" t="s">
        <v>116</v>
      </c>
      <c r="G3391" s="4" t="s">
        <v>117</v>
      </c>
      <c r="H3391" s="4" t="s">
        <v>21</v>
      </c>
      <c r="I3391" s="4" t="s">
        <v>571</v>
      </c>
      <c r="J3391" s="4" t="s">
        <v>3316</v>
      </c>
      <c r="K3391" s="4" t="s">
        <v>30</v>
      </c>
      <c r="L3391" s="4" t="s">
        <v>3743</v>
      </c>
      <c r="M3391" s="4" t="s">
        <v>3746</v>
      </c>
      <c r="N3391" s="4" t="s">
        <v>3747</v>
      </c>
      <c r="O3391" s="17">
        <f>INDEX('список ID из СУЭ с должностями'!$A:$F,MATCH(E3391,'список ID из СУЭ с должностями'!$B:$B,0),5)</f>
        <v>0</v>
      </c>
    </row>
    <row r="3392" spans="1:15" ht="75">
      <c r="A3392" s="3" t="s">
        <v>10</v>
      </c>
      <c r="B3392" s="3" t="s">
        <v>11</v>
      </c>
      <c r="C3392" s="4">
        <v>2026</v>
      </c>
      <c r="D3392" s="5" t="s">
        <v>12</v>
      </c>
      <c r="E3392" s="4">
        <v>465</v>
      </c>
      <c r="F3392" s="4" t="s">
        <v>116</v>
      </c>
      <c r="G3392" s="4" t="s">
        <v>117</v>
      </c>
      <c r="H3392" s="4" t="s">
        <v>15</v>
      </c>
      <c r="I3392" s="4" t="s">
        <v>573</v>
      </c>
      <c r="J3392" s="4" t="s">
        <v>132</v>
      </c>
      <c r="K3392" s="4" t="s">
        <v>188</v>
      </c>
      <c r="L3392" s="4" t="s">
        <v>3742</v>
      </c>
      <c r="M3392" s="4" t="s">
        <v>3746</v>
      </c>
      <c r="N3392" s="4" t="s">
        <v>3747</v>
      </c>
      <c r="O3392" s="17">
        <f>INDEX('список ID из СУЭ с должностями'!$A:$F,MATCH(E3392,'список ID из СУЭ с должностями'!$B:$B,0),5)</f>
        <v>0</v>
      </c>
    </row>
    <row r="3393" spans="1:15" ht="75">
      <c r="A3393" s="3" t="s">
        <v>10</v>
      </c>
      <c r="B3393" s="3" t="s">
        <v>11</v>
      </c>
      <c r="C3393" s="4">
        <v>2026</v>
      </c>
      <c r="D3393" s="5" t="s">
        <v>12</v>
      </c>
      <c r="E3393" s="4">
        <v>465</v>
      </c>
      <c r="F3393" s="4" t="s">
        <v>116</v>
      </c>
      <c r="G3393" s="4" t="s">
        <v>117</v>
      </c>
      <c r="H3393" s="4" t="s">
        <v>15</v>
      </c>
      <c r="I3393" s="4" t="s">
        <v>1090</v>
      </c>
      <c r="J3393" s="4" t="s">
        <v>1091</v>
      </c>
      <c r="K3393" s="4" t="s">
        <v>30</v>
      </c>
      <c r="L3393" s="4" t="s">
        <v>3742</v>
      </c>
      <c r="M3393" s="4" t="s">
        <v>3746</v>
      </c>
      <c r="N3393" s="4" t="s">
        <v>3747</v>
      </c>
      <c r="O3393" s="17">
        <f>INDEX('список ID из СУЭ с должностями'!$A:$F,MATCH(E3393,'список ID из СУЭ с должностями'!$B:$B,0),5)</f>
        <v>0</v>
      </c>
    </row>
    <row r="3394" spans="1:15" ht="75">
      <c r="A3394" s="3" t="s">
        <v>10</v>
      </c>
      <c r="B3394" s="3" t="s">
        <v>11</v>
      </c>
      <c r="C3394" s="4">
        <v>2026</v>
      </c>
      <c r="D3394" s="5" t="s">
        <v>12</v>
      </c>
      <c r="E3394" s="4">
        <v>465</v>
      </c>
      <c r="F3394" s="4" t="s">
        <v>116</v>
      </c>
      <c r="G3394" s="4" t="s">
        <v>117</v>
      </c>
      <c r="H3394" s="4" t="s">
        <v>15</v>
      </c>
      <c r="I3394" s="4" t="s">
        <v>1088</v>
      </c>
      <c r="J3394" s="4" t="s">
        <v>575</v>
      </c>
      <c r="K3394" s="4" t="s">
        <v>30</v>
      </c>
      <c r="L3394" s="4" t="s">
        <v>3743</v>
      </c>
      <c r="M3394" s="4" t="s">
        <v>3746</v>
      </c>
      <c r="N3394" s="4" t="s">
        <v>3747</v>
      </c>
      <c r="O3394" s="17">
        <f>INDEX('список ID из СУЭ с должностями'!$A:$F,MATCH(E3394,'список ID из СУЭ с должностями'!$B:$B,0),5)</f>
        <v>0</v>
      </c>
    </row>
    <row r="3395" spans="1:15" ht="60">
      <c r="A3395" s="3" t="s">
        <v>10</v>
      </c>
      <c r="B3395" s="3" t="s">
        <v>11</v>
      </c>
      <c r="C3395" s="4">
        <v>2026</v>
      </c>
      <c r="D3395" s="5" t="s">
        <v>12</v>
      </c>
      <c r="E3395" s="4">
        <v>466</v>
      </c>
      <c r="F3395" s="4" t="s">
        <v>67</v>
      </c>
      <c r="G3395" s="4" t="s">
        <v>511</v>
      </c>
      <c r="H3395" s="4" t="s">
        <v>21</v>
      </c>
      <c r="I3395" s="4" t="s">
        <v>2701</v>
      </c>
      <c r="J3395" s="4" t="s">
        <v>2702</v>
      </c>
      <c r="K3395" s="4" t="s">
        <v>30</v>
      </c>
      <c r="L3395" s="4" t="s">
        <v>3743</v>
      </c>
      <c r="M3395" s="4" t="s">
        <v>3746</v>
      </c>
      <c r="N3395" s="4" t="s">
        <v>3747</v>
      </c>
      <c r="O3395" s="17">
        <f>INDEX('список ID из СУЭ с должностями'!$A:$F,MATCH(E3395,'список ID из СУЭ с должностями'!$B:$B,0),5)</f>
        <v>0</v>
      </c>
    </row>
    <row r="3396" spans="1:15" ht="135">
      <c r="A3396" s="3" t="s">
        <v>10</v>
      </c>
      <c r="B3396" s="3" t="s">
        <v>11</v>
      </c>
      <c r="C3396" s="4">
        <v>2026</v>
      </c>
      <c r="D3396" s="5" t="s">
        <v>12</v>
      </c>
      <c r="E3396" s="4">
        <v>466</v>
      </c>
      <c r="F3396" s="4" t="s">
        <v>67</v>
      </c>
      <c r="G3396" s="4" t="s">
        <v>511</v>
      </c>
      <c r="H3396" s="4" t="s">
        <v>15</v>
      </c>
      <c r="I3396" s="4" t="s">
        <v>744</v>
      </c>
      <c r="J3396" s="4" t="s">
        <v>1311</v>
      </c>
      <c r="K3396" s="4" t="s">
        <v>25</v>
      </c>
      <c r="L3396" s="4" t="s">
        <v>3743</v>
      </c>
      <c r="M3396" s="4" t="s">
        <v>3746</v>
      </c>
      <c r="N3396" s="4" t="s">
        <v>3747</v>
      </c>
      <c r="O3396" s="17">
        <f>INDEX('список ID из СУЭ с должностями'!$A:$F,MATCH(E3396,'список ID из СУЭ с должностями'!$B:$B,0),5)</f>
        <v>0</v>
      </c>
    </row>
    <row r="3397" spans="1:15" ht="195">
      <c r="A3397" s="3" t="s">
        <v>10</v>
      </c>
      <c r="B3397" s="3" t="s">
        <v>11</v>
      </c>
      <c r="C3397" s="4">
        <v>2026</v>
      </c>
      <c r="D3397" s="5" t="s">
        <v>12</v>
      </c>
      <c r="E3397" s="4">
        <v>466</v>
      </c>
      <c r="F3397" s="4" t="s">
        <v>67</v>
      </c>
      <c r="G3397" s="4" t="s">
        <v>511</v>
      </c>
      <c r="H3397" s="4" t="s">
        <v>15</v>
      </c>
      <c r="I3397" s="4" t="s">
        <v>1312</v>
      </c>
      <c r="J3397" s="4" t="s">
        <v>1313</v>
      </c>
      <c r="K3397" s="4" t="s">
        <v>35</v>
      </c>
      <c r="L3397" s="4" t="s">
        <v>3743</v>
      </c>
      <c r="M3397" s="4" t="s">
        <v>3746</v>
      </c>
      <c r="N3397" s="4" t="s">
        <v>3747</v>
      </c>
      <c r="O3397" s="17">
        <f>INDEX('список ID из СУЭ с должностями'!$A:$F,MATCH(E3397,'список ID из СУЭ с должностями'!$B:$B,0),5)</f>
        <v>0</v>
      </c>
    </row>
    <row r="3398" spans="1:15" ht="105">
      <c r="A3398" s="3" t="s">
        <v>10</v>
      </c>
      <c r="B3398" s="3" t="s">
        <v>11</v>
      </c>
      <c r="C3398" s="4">
        <v>2026</v>
      </c>
      <c r="D3398" s="5" t="s">
        <v>12</v>
      </c>
      <c r="E3398" s="4">
        <v>466</v>
      </c>
      <c r="F3398" s="4" t="s">
        <v>67</v>
      </c>
      <c r="G3398" s="4" t="s">
        <v>511</v>
      </c>
      <c r="H3398" s="4" t="s">
        <v>15</v>
      </c>
      <c r="I3398" s="4" t="s">
        <v>3317</v>
      </c>
      <c r="J3398" s="4" t="s">
        <v>3318</v>
      </c>
      <c r="K3398" s="4" t="s">
        <v>517</v>
      </c>
      <c r="L3398" s="4" t="s">
        <v>3743</v>
      </c>
      <c r="M3398" s="4" t="s">
        <v>3746</v>
      </c>
      <c r="N3398" s="4" t="s">
        <v>3757</v>
      </c>
      <c r="O3398" s="17">
        <f>INDEX('список ID из СУЭ с должностями'!$A:$F,MATCH(E3398,'список ID из СУЭ с должностями'!$B:$B,0),5)</f>
        <v>0</v>
      </c>
    </row>
    <row r="3399" spans="1:15" ht="135">
      <c r="A3399" s="3" t="s">
        <v>10</v>
      </c>
      <c r="B3399" s="3" t="s">
        <v>11</v>
      </c>
      <c r="C3399" s="4">
        <v>2026</v>
      </c>
      <c r="D3399" s="5" t="s">
        <v>12</v>
      </c>
      <c r="E3399" s="4">
        <v>466</v>
      </c>
      <c r="F3399" s="4" t="s">
        <v>67</v>
      </c>
      <c r="G3399" s="4" t="s">
        <v>511</v>
      </c>
      <c r="H3399" s="4" t="s">
        <v>15</v>
      </c>
      <c r="I3399" s="4" t="s">
        <v>201</v>
      </c>
      <c r="J3399" s="4" t="s">
        <v>3319</v>
      </c>
      <c r="K3399" s="4" t="s">
        <v>188</v>
      </c>
      <c r="L3399" s="4" t="s">
        <v>3743</v>
      </c>
      <c r="M3399" s="4" t="s">
        <v>3746</v>
      </c>
      <c r="N3399" s="4" t="s">
        <v>3747</v>
      </c>
      <c r="O3399" s="17">
        <f>INDEX('список ID из СУЭ с должностями'!$A:$F,MATCH(E3399,'список ID из СУЭ с должностями'!$B:$B,0),5)</f>
        <v>0</v>
      </c>
    </row>
    <row r="3400" spans="1:15" ht="180">
      <c r="A3400" s="3" t="s">
        <v>10</v>
      </c>
      <c r="B3400" s="3" t="s">
        <v>11</v>
      </c>
      <c r="C3400" s="4">
        <v>2026</v>
      </c>
      <c r="D3400" s="5" t="s">
        <v>12</v>
      </c>
      <c r="E3400" s="4">
        <v>466</v>
      </c>
      <c r="F3400" s="4" t="s">
        <v>67</v>
      </c>
      <c r="G3400" s="4" t="s">
        <v>511</v>
      </c>
      <c r="H3400" s="4" t="s">
        <v>15</v>
      </c>
      <c r="I3400" s="4" t="s">
        <v>1326</v>
      </c>
      <c r="J3400" s="4" t="s">
        <v>1327</v>
      </c>
      <c r="K3400" s="4" t="s">
        <v>23</v>
      </c>
      <c r="L3400" s="4" t="s">
        <v>3743</v>
      </c>
      <c r="M3400" s="4" t="s">
        <v>3748</v>
      </c>
      <c r="N3400" s="4" t="s">
        <v>3749</v>
      </c>
      <c r="O3400" s="17">
        <f>INDEX('список ID из СУЭ с должностями'!$A:$F,MATCH(E3400,'список ID из СУЭ с должностями'!$B:$B,0),5)</f>
        <v>0</v>
      </c>
    </row>
    <row r="3401" spans="1:15" ht="75">
      <c r="A3401" s="3" t="s">
        <v>10</v>
      </c>
      <c r="B3401" s="3" t="s">
        <v>11</v>
      </c>
      <c r="C3401" s="4">
        <v>2026</v>
      </c>
      <c r="D3401" s="5" t="s">
        <v>12</v>
      </c>
      <c r="E3401" s="4">
        <v>467</v>
      </c>
      <c r="F3401" s="4" t="s">
        <v>67</v>
      </c>
      <c r="G3401" s="4" t="s">
        <v>1347</v>
      </c>
      <c r="H3401" s="4" t="s">
        <v>41</v>
      </c>
      <c r="I3401" s="4" t="s">
        <v>3320</v>
      </c>
      <c r="J3401" s="4" t="s">
        <v>3321</v>
      </c>
      <c r="K3401" s="4" t="s">
        <v>3133</v>
      </c>
      <c r="L3401" s="4" t="s">
        <v>3743</v>
      </c>
      <c r="M3401" s="4" t="s">
        <v>3750</v>
      </c>
      <c r="N3401" s="4" t="s">
        <v>3779</v>
      </c>
      <c r="O3401" s="17">
        <f>INDEX('список ID из СУЭ с должностями'!$A:$F,MATCH(E3401,'список ID из СУЭ с должностями'!$B:$B,0),5)</f>
        <v>0</v>
      </c>
    </row>
    <row r="3402" spans="1:15" ht="75">
      <c r="A3402" s="3" t="s">
        <v>10</v>
      </c>
      <c r="B3402" s="3" t="s">
        <v>11</v>
      </c>
      <c r="C3402" s="4">
        <v>2026</v>
      </c>
      <c r="D3402" s="5" t="s">
        <v>12</v>
      </c>
      <c r="E3402" s="4">
        <v>467</v>
      </c>
      <c r="F3402" s="4" t="s">
        <v>67</v>
      </c>
      <c r="G3402" s="4" t="s">
        <v>1347</v>
      </c>
      <c r="H3402" s="4" t="s">
        <v>15</v>
      </c>
      <c r="I3402" s="4" t="s">
        <v>3322</v>
      </c>
      <c r="J3402" s="4" t="s">
        <v>3323</v>
      </c>
      <c r="K3402" s="4" t="s">
        <v>3133</v>
      </c>
      <c r="L3402" s="4" t="s">
        <v>3743</v>
      </c>
      <c r="M3402" s="4" t="s">
        <v>3750</v>
      </c>
      <c r="N3402" s="4" t="s">
        <v>3779</v>
      </c>
      <c r="O3402" s="17">
        <f>INDEX('список ID из СУЭ с должностями'!$A:$F,MATCH(E3402,'список ID из СУЭ с должностями'!$B:$B,0),5)</f>
        <v>0</v>
      </c>
    </row>
    <row r="3403" spans="1:15" ht="330">
      <c r="A3403" s="3" t="s">
        <v>10</v>
      </c>
      <c r="B3403" s="3" t="s">
        <v>11</v>
      </c>
      <c r="C3403" s="4">
        <v>2026</v>
      </c>
      <c r="D3403" s="5" t="s">
        <v>12</v>
      </c>
      <c r="E3403" s="4">
        <v>467</v>
      </c>
      <c r="F3403" s="4" t="s">
        <v>67</v>
      </c>
      <c r="G3403" s="4" t="s">
        <v>1347</v>
      </c>
      <c r="H3403" s="4" t="s">
        <v>15</v>
      </c>
      <c r="I3403" s="4" t="s">
        <v>1354</v>
      </c>
      <c r="J3403" s="4" t="s">
        <v>1355</v>
      </c>
      <c r="K3403" s="4" t="s">
        <v>35</v>
      </c>
      <c r="L3403" s="4" t="s">
        <v>3743</v>
      </c>
      <c r="M3403" s="4" t="s">
        <v>3746</v>
      </c>
      <c r="N3403" s="4" t="s">
        <v>3747</v>
      </c>
      <c r="O3403" s="17">
        <f>INDEX('список ID из СУЭ с должностями'!$A:$F,MATCH(E3403,'список ID из СУЭ с должностями'!$B:$B,0),5)</f>
        <v>0</v>
      </c>
    </row>
    <row r="3404" spans="1:15" ht="180">
      <c r="A3404" s="3" t="s">
        <v>10</v>
      </c>
      <c r="B3404" s="3" t="s">
        <v>11</v>
      </c>
      <c r="C3404" s="4">
        <v>2026</v>
      </c>
      <c r="D3404" s="5" t="s">
        <v>12</v>
      </c>
      <c r="E3404" s="4">
        <v>467</v>
      </c>
      <c r="F3404" s="4" t="s">
        <v>67</v>
      </c>
      <c r="G3404" s="4" t="s">
        <v>1347</v>
      </c>
      <c r="H3404" s="4" t="s">
        <v>15</v>
      </c>
      <c r="I3404" s="4" t="s">
        <v>1350</v>
      </c>
      <c r="J3404" s="4" t="s">
        <v>3324</v>
      </c>
      <c r="K3404" s="4" t="s">
        <v>35</v>
      </c>
      <c r="L3404" s="4" t="s">
        <v>3743</v>
      </c>
      <c r="M3404" s="4" t="s">
        <v>3746</v>
      </c>
      <c r="N3404" s="4" t="s">
        <v>3747</v>
      </c>
      <c r="O3404" s="17">
        <f>INDEX('список ID из СУЭ с должностями'!$A:$F,MATCH(E3404,'список ID из СУЭ с должностями'!$B:$B,0),5)</f>
        <v>0</v>
      </c>
    </row>
    <row r="3405" spans="1:15" ht="75">
      <c r="A3405" s="3" t="s">
        <v>10</v>
      </c>
      <c r="B3405" s="3" t="s">
        <v>11</v>
      </c>
      <c r="C3405" s="4">
        <v>2026</v>
      </c>
      <c r="D3405" s="5" t="s">
        <v>12</v>
      </c>
      <c r="E3405" s="4">
        <v>467</v>
      </c>
      <c r="F3405" s="4" t="s">
        <v>67</v>
      </c>
      <c r="G3405" s="4" t="s">
        <v>1347</v>
      </c>
      <c r="H3405" s="4" t="s">
        <v>21</v>
      </c>
      <c r="I3405" s="4" t="s">
        <v>2784</v>
      </c>
      <c r="J3405" s="4" t="s">
        <v>378</v>
      </c>
      <c r="K3405" s="4" t="s">
        <v>30</v>
      </c>
      <c r="L3405" s="4" t="s">
        <v>3742</v>
      </c>
      <c r="M3405" s="4" t="s">
        <v>3746</v>
      </c>
      <c r="N3405" s="4" t="s">
        <v>3747</v>
      </c>
      <c r="O3405" s="17">
        <f>INDEX('список ID из СУЭ с должностями'!$A:$F,MATCH(E3405,'список ID из СУЭ с должностями'!$B:$B,0),5)</f>
        <v>0</v>
      </c>
    </row>
    <row r="3406" spans="1:15" ht="75">
      <c r="A3406" s="3" t="s">
        <v>10</v>
      </c>
      <c r="B3406" s="3" t="s">
        <v>11</v>
      </c>
      <c r="C3406" s="4">
        <v>2026</v>
      </c>
      <c r="D3406" s="5" t="s">
        <v>12</v>
      </c>
      <c r="E3406" s="4">
        <v>467</v>
      </c>
      <c r="F3406" s="4" t="s">
        <v>67</v>
      </c>
      <c r="G3406" s="4" t="s">
        <v>1347</v>
      </c>
      <c r="H3406" s="4" t="s">
        <v>15</v>
      </c>
      <c r="I3406" s="4" t="s">
        <v>2783</v>
      </c>
      <c r="J3406" s="4" t="s">
        <v>182</v>
      </c>
      <c r="K3406" s="4" t="s">
        <v>25</v>
      </c>
      <c r="L3406" s="4" t="s">
        <v>3742</v>
      </c>
      <c r="M3406" s="4" t="s">
        <v>3746</v>
      </c>
      <c r="N3406" s="4" t="s">
        <v>3747</v>
      </c>
      <c r="O3406" s="17">
        <f>INDEX('список ID из СУЭ с должностями'!$A:$F,MATCH(E3406,'список ID из СУЭ с должностями'!$B:$B,0),5)</f>
        <v>0</v>
      </c>
    </row>
    <row r="3407" spans="1:15" ht="75">
      <c r="A3407" s="3" t="s">
        <v>10</v>
      </c>
      <c r="B3407" s="3" t="s">
        <v>11</v>
      </c>
      <c r="C3407" s="4">
        <v>2026</v>
      </c>
      <c r="D3407" s="5" t="s">
        <v>12</v>
      </c>
      <c r="E3407" s="4">
        <v>467</v>
      </c>
      <c r="F3407" s="4" t="s">
        <v>67</v>
      </c>
      <c r="G3407" s="4" t="s">
        <v>1347</v>
      </c>
      <c r="H3407" s="4" t="s">
        <v>15</v>
      </c>
      <c r="I3407" s="4" t="s">
        <v>3325</v>
      </c>
      <c r="J3407" s="4" t="s">
        <v>3326</v>
      </c>
      <c r="K3407" s="4" t="s">
        <v>25</v>
      </c>
      <c r="L3407" s="4" t="s">
        <v>3743</v>
      </c>
      <c r="M3407" s="4" t="s">
        <v>3746</v>
      </c>
      <c r="N3407" s="4" t="s">
        <v>3747</v>
      </c>
      <c r="O3407" s="17">
        <f>INDEX('список ID из СУЭ с должностями'!$A:$F,MATCH(E3407,'список ID из СУЭ с должностями'!$B:$B,0),5)</f>
        <v>0</v>
      </c>
    </row>
    <row r="3408" spans="1:15" ht="135">
      <c r="A3408" s="3" t="s">
        <v>10</v>
      </c>
      <c r="B3408" s="3" t="s">
        <v>11</v>
      </c>
      <c r="C3408" s="4">
        <v>2026</v>
      </c>
      <c r="D3408" s="5" t="s">
        <v>12</v>
      </c>
      <c r="E3408" s="4">
        <v>468</v>
      </c>
      <c r="F3408" s="4" t="s">
        <v>247</v>
      </c>
      <c r="G3408" s="4" t="s">
        <v>158</v>
      </c>
      <c r="H3408" s="4" t="s">
        <v>15</v>
      </c>
      <c r="I3408" s="4" t="s">
        <v>2154</v>
      </c>
      <c r="J3408" s="4" t="s">
        <v>3327</v>
      </c>
      <c r="K3408" s="4" t="s">
        <v>38</v>
      </c>
      <c r="L3408" s="4" t="s">
        <v>3743</v>
      </c>
      <c r="M3408" s="4" t="s">
        <v>3746</v>
      </c>
      <c r="N3408" s="4" t="s">
        <v>3747</v>
      </c>
      <c r="O3408" s="17">
        <f>INDEX('список ID из СУЭ с должностями'!$A:$F,MATCH(E3408,'список ID из СУЭ с должностями'!$B:$B,0),5)</f>
        <v>0</v>
      </c>
    </row>
    <row r="3409" spans="1:15" ht="75">
      <c r="A3409" s="3" t="s">
        <v>10</v>
      </c>
      <c r="B3409" s="3" t="s">
        <v>11</v>
      </c>
      <c r="C3409" s="4">
        <v>2026</v>
      </c>
      <c r="D3409" s="5" t="s">
        <v>12</v>
      </c>
      <c r="E3409" s="4">
        <v>468</v>
      </c>
      <c r="F3409" s="4" t="s">
        <v>247</v>
      </c>
      <c r="G3409" s="4" t="s">
        <v>158</v>
      </c>
      <c r="H3409" s="4" t="s">
        <v>21</v>
      </c>
      <c r="I3409" s="4" t="s">
        <v>543</v>
      </c>
      <c r="J3409" s="4" t="s">
        <v>544</v>
      </c>
      <c r="K3409" s="4" t="s">
        <v>151</v>
      </c>
      <c r="L3409" s="4" t="s">
        <v>3743</v>
      </c>
      <c r="M3409" s="4" t="s">
        <v>3746</v>
      </c>
      <c r="N3409" s="4" t="s">
        <v>3747</v>
      </c>
      <c r="O3409" s="17">
        <f>INDEX('список ID из СУЭ с должностями'!$A:$F,MATCH(E3409,'список ID из СУЭ с должностями'!$B:$B,0),5)</f>
        <v>0</v>
      </c>
    </row>
    <row r="3410" spans="1:15" ht="75">
      <c r="A3410" s="3" t="s">
        <v>10</v>
      </c>
      <c r="B3410" s="3" t="s">
        <v>11</v>
      </c>
      <c r="C3410" s="4">
        <v>2026</v>
      </c>
      <c r="D3410" s="5" t="s">
        <v>12</v>
      </c>
      <c r="E3410" s="4">
        <v>468</v>
      </c>
      <c r="F3410" s="4" t="s">
        <v>247</v>
      </c>
      <c r="G3410" s="4" t="s">
        <v>158</v>
      </c>
      <c r="H3410" s="4" t="s">
        <v>41</v>
      </c>
      <c r="I3410" s="4" t="s">
        <v>556</v>
      </c>
      <c r="J3410" s="4" t="s">
        <v>3328</v>
      </c>
      <c r="K3410" s="4" t="s">
        <v>151</v>
      </c>
      <c r="L3410" s="4" t="s">
        <v>3743</v>
      </c>
      <c r="M3410" s="4" t="s">
        <v>3746</v>
      </c>
      <c r="N3410" s="4" t="s">
        <v>3747</v>
      </c>
      <c r="O3410" s="17">
        <f>INDEX('список ID из СУЭ с должностями'!$A:$F,MATCH(E3410,'список ID из СУЭ с должностями'!$B:$B,0),5)</f>
        <v>0</v>
      </c>
    </row>
    <row r="3411" spans="1:15" ht="135">
      <c r="A3411" s="3" t="s">
        <v>10</v>
      </c>
      <c r="B3411" s="3" t="s">
        <v>11</v>
      </c>
      <c r="C3411" s="4">
        <v>2026</v>
      </c>
      <c r="D3411" s="5" t="s">
        <v>12</v>
      </c>
      <c r="E3411" s="4">
        <v>468</v>
      </c>
      <c r="F3411" s="4" t="s">
        <v>247</v>
      </c>
      <c r="G3411" s="4" t="s">
        <v>158</v>
      </c>
      <c r="H3411" s="4" t="s">
        <v>15</v>
      </c>
      <c r="I3411" s="4" t="s">
        <v>167</v>
      </c>
      <c r="J3411" s="4" t="s">
        <v>3329</v>
      </c>
      <c r="K3411" s="4" t="s">
        <v>20</v>
      </c>
      <c r="L3411" s="4" t="s">
        <v>3743</v>
      </c>
      <c r="M3411" s="4" t="s">
        <v>3746</v>
      </c>
      <c r="N3411" s="4" t="s">
        <v>3747</v>
      </c>
      <c r="O3411" s="17">
        <f>INDEX('список ID из СУЭ с должностями'!$A:$F,MATCH(E3411,'список ID из СУЭ с должностями'!$B:$B,0),5)</f>
        <v>0</v>
      </c>
    </row>
    <row r="3412" spans="1:15" ht="60">
      <c r="A3412" s="3" t="s">
        <v>10</v>
      </c>
      <c r="B3412" s="3" t="s">
        <v>11</v>
      </c>
      <c r="C3412" s="4">
        <v>2026</v>
      </c>
      <c r="D3412" s="5" t="s">
        <v>12</v>
      </c>
      <c r="E3412" s="4">
        <v>468</v>
      </c>
      <c r="F3412" s="4" t="s">
        <v>247</v>
      </c>
      <c r="G3412" s="4" t="s">
        <v>158</v>
      </c>
      <c r="H3412" s="4" t="s">
        <v>15</v>
      </c>
      <c r="I3412" s="4" t="s">
        <v>3330</v>
      </c>
      <c r="J3412" s="4" t="s">
        <v>164</v>
      </c>
      <c r="K3412" s="4" t="s">
        <v>38</v>
      </c>
      <c r="L3412" s="4" t="s">
        <v>3742</v>
      </c>
      <c r="M3412" s="4" t="s">
        <v>3746</v>
      </c>
      <c r="N3412" s="4" t="s">
        <v>3747</v>
      </c>
      <c r="O3412" s="17">
        <f>INDEX('список ID из СУЭ с должностями'!$A:$F,MATCH(E3412,'список ID из СУЭ с должностями'!$B:$B,0),5)</f>
        <v>0</v>
      </c>
    </row>
    <row r="3413" spans="1:15" ht="60">
      <c r="A3413" s="3" t="s">
        <v>10</v>
      </c>
      <c r="B3413" s="3" t="s">
        <v>11</v>
      </c>
      <c r="C3413" s="4">
        <v>2026</v>
      </c>
      <c r="D3413" s="5" t="s">
        <v>12</v>
      </c>
      <c r="E3413" s="4">
        <v>468</v>
      </c>
      <c r="F3413" s="4" t="s">
        <v>247</v>
      </c>
      <c r="G3413" s="4" t="s">
        <v>158</v>
      </c>
      <c r="H3413" s="4" t="s">
        <v>21</v>
      </c>
      <c r="I3413" s="4" t="s">
        <v>2883</v>
      </c>
      <c r="J3413" s="4" t="s">
        <v>3331</v>
      </c>
      <c r="K3413" s="4" t="s">
        <v>55</v>
      </c>
      <c r="L3413" s="4" t="s">
        <v>3743</v>
      </c>
      <c r="M3413" s="4" t="s">
        <v>3746</v>
      </c>
      <c r="N3413" s="4" t="s">
        <v>3747</v>
      </c>
      <c r="O3413" s="17">
        <f>INDEX('список ID из СУЭ с должностями'!$A:$F,MATCH(E3413,'список ID из СУЭ с должностями'!$B:$B,0),5)</f>
        <v>0</v>
      </c>
    </row>
    <row r="3414" spans="1:15" ht="105">
      <c r="A3414" s="3" t="s">
        <v>10</v>
      </c>
      <c r="B3414" s="3" t="s">
        <v>11</v>
      </c>
      <c r="C3414" s="4">
        <v>2026</v>
      </c>
      <c r="D3414" s="5" t="s">
        <v>12</v>
      </c>
      <c r="E3414" s="4">
        <v>468</v>
      </c>
      <c r="F3414" s="4" t="s">
        <v>247</v>
      </c>
      <c r="G3414" s="4" t="s">
        <v>158</v>
      </c>
      <c r="H3414" s="4" t="s">
        <v>15</v>
      </c>
      <c r="I3414" s="4" t="s">
        <v>545</v>
      </c>
      <c r="J3414" s="4" t="s">
        <v>546</v>
      </c>
      <c r="K3414" s="4" t="s">
        <v>25</v>
      </c>
      <c r="L3414" s="4" t="s">
        <v>3743</v>
      </c>
      <c r="M3414" s="4" t="s">
        <v>3746</v>
      </c>
      <c r="N3414" s="4" t="s">
        <v>3747</v>
      </c>
      <c r="O3414" s="17">
        <f>INDEX('список ID из СУЭ с должностями'!$A:$F,MATCH(E3414,'список ID из СУЭ с должностями'!$B:$B,0),5)</f>
        <v>0</v>
      </c>
    </row>
    <row r="3415" spans="1:15" ht="45">
      <c r="A3415" s="3" t="s">
        <v>10</v>
      </c>
      <c r="B3415" s="3" t="s">
        <v>11</v>
      </c>
      <c r="C3415" s="4">
        <v>2026</v>
      </c>
      <c r="D3415" s="5" t="s">
        <v>12</v>
      </c>
      <c r="E3415" s="4">
        <v>468</v>
      </c>
      <c r="F3415" s="4" t="s">
        <v>247</v>
      </c>
      <c r="G3415" s="4" t="s">
        <v>158</v>
      </c>
      <c r="H3415" s="4" t="s">
        <v>15</v>
      </c>
      <c r="I3415" s="4" t="s">
        <v>3332</v>
      </c>
      <c r="J3415" s="4" t="s">
        <v>3333</v>
      </c>
      <c r="K3415" s="4" t="s">
        <v>55</v>
      </c>
      <c r="L3415" s="4" t="s">
        <v>3743</v>
      </c>
      <c r="M3415" s="4" t="s">
        <v>3746</v>
      </c>
      <c r="N3415" s="4" t="s">
        <v>3747</v>
      </c>
      <c r="O3415" s="17">
        <f>INDEX('список ID из СУЭ с должностями'!$A:$F,MATCH(E3415,'список ID из СУЭ с должностями'!$B:$B,0),5)</f>
        <v>0</v>
      </c>
    </row>
    <row r="3416" spans="1:15" ht="60">
      <c r="A3416" s="3" t="s">
        <v>10</v>
      </c>
      <c r="B3416" s="3" t="s">
        <v>11</v>
      </c>
      <c r="C3416" s="4">
        <v>2026</v>
      </c>
      <c r="D3416" s="5" t="s">
        <v>12</v>
      </c>
      <c r="E3416" s="4">
        <v>468</v>
      </c>
      <c r="F3416" s="4" t="s">
        <v>247</v>
      </c>
      <c r="G3416" s="4" t="s">
        <v>158</v>
      </c>
      <c r="H3416" s="4" t="s">
        <v>21</v>
      </c>
      <c r="I3416" s="4" t="s">
        <v>551</v>
      </c>
      <c r="J3416" s="4" t="s">
        <v>3334</v>
      </c>
      <c r="K3416" s="4" t="s">
        <v>151</v>
      </c>
      <c r="L3416" s="4" t="s">
        <v>3743</v>
      </c>
      <c r="M3416" s="4" t="s">
        <v>3746</v>
      </c>
      <c r="N3416" s="4" t="s">
        <v>3747</v>
      </c>
      <c r="O3416" s="17">
        <f>INDEX('список ID из СУЭ с должностями'!$A:$F,MATCH(E3416,'список ID из СУЭ с должностями'!$B:$B,0),5)</f>
        <v>0</v>
      </c>
    </row>
    <row r="3417" spans="1:15" ht="60">
      <c r="A3417" s="3" t="s">
        <v>10</v>
      </c>
      <c r="B3417" s="3" t="s">
        <v>11</v>
      </c>
      <c r="C3417" s="4">
        <v>2026</v>
      </c>
      <c r="D3417" s="5" t="s">
        <v>12</v>
      </c>
      <c r="E3417" s="4">
        <v>468</v>
      </c>
      <c r="F3417" s="4" t="s">
        <v>247</v>
      </c>
      <c r="G3417" s="4" t="s">
        <v>158</v>
      </c>
      <c r="H3417" s="4" t="s">
        <v>21</v>
      </c>
      <c r="I3417" s="4" t="s">
        <v>554</v>
      </c>
      <c r="J3417" s="4" t="s">
        <v>3335</v>
      </c>
      <c r="K3417" s="4" t="s">
        <v>151</v>
      </c>
      <c r="L3417" s="4" t="s">
        <v>3743</v>
      </c>
      <c r="M3417" s="4" t="s">
        <v>3746</v>
      </c>
      <c r="N3417" s="4" t="s">
        <v>3747</v>
      </c>
      <c r="O3417" s="17">
        <f>INDEX('список ID из СУЭ с должностями'!$A:$F,MATCH(E3417,'список ID из СУЭ с должностями'!$B:$B,0),5)</f>
        <v>0</v>
      </c>
    </row>
    <row r="3418" spans="1:15" ht="60">
      <c r="A3418" s="3" t="s">
        <v>10</v>
      </c>
      <c r="B3418" s="3" t="s">
        <v>11</v>
      </c>
      <c r="C3418" s="4">
        <v>2026</v>
      </c>
      <c r="D3418" s="5" t="s">
        <v>12</v>
      </c>
      <c r="E3418" s="4">
        <v>469</v>
      </c>
      <c r="F3418" s="4" t="s">
        <v>153</v>
      </c>
      <c r="G3418" s="4" t="s">
        <v>205</v>
      </c>
      <c r="H3418" s="4" t="s">
        <v>15</v>
      </c>
      <c r="I3418" s="4" t="s">
        <v>175</v>
      </c>
      <c r="J3418" s="4" t="s">
        <v>207</v>
      </c>
      <c r="K3418" s="4" t="s">
        <v>38</v>
      </c>
      <c r="L3418" s="4" t="s">
        <v>3743</v>
      </c>
      <c r="M3418" s="4" t="s">
        <v>3746</v>
      </c>
      <c r="N3418" s="4" t="s">
        <v>3747</v>
      </c>
      <c r="O3418" s="17">
        <f>INDEX('список ID из СУЭ с должностями'!$A:$F,MATCH(E3418,'список ID из СУЭ с должностями'!$B:$B,0),5)</f>
        <v>0</v>
      </c>
    </row>
    <row r="3419" spans="1:15" ht="90">
      <c r="A3419" s="3" t="s">
        <v>10</v>
      </c>
      <c r="B3419" s="3" t="s">
        <v>11</v>
      </c>
      <c r="C3419" s="4">
        <v>2026</v>
      </c>
      <c r="D3419" s="5" t="s">
        <v>12</v>
      </c>
      <c r="E3419" s="4">
        <v>469</v>
      </c>
      <c r="F3419" s="4" t="s">
        <v>153</v>
      </c>
      <c r="G3419" s="4" t="s">
        <v>205</v>
      </c>
      <c r="H3419" s="4" t="s">
        <v>21</v>
      </c>
      <c r="I3419" s="4" t="s">
        <v>155</v>
      </c>
      <c r="J3419" s="4" t="s">
        <v>156</v>
      </c>
      <c r="K3419" s="4" t="s">
        <v>30</v>
      </c>
      <c r="L3419" s="4" t="s">
        <v>3743</v>
      </c>
      <c r="M3419" s="4" t="s">
        <v>3746</v>
      </c>
      <c r="N3419" s="4" t="s">
        <v>3747</v>
      </c>
      <c r="O3419" s="17">
        <f>INDEX('список ID из СУЭ с должностями'!$A:$F,MATCH(E3419,'список ID из СУЭ с должностями'!$B:$B,0),5)</f>
        <v>0</v>
      </c>
    </row>
    <row r="3420" spans="1:15" ht="90">
      <c r="A3420" s="3" t="s">
        <v>10</v>
      </c>
      <c r="B3420" s="3" t="s">
        <v>11</v>
      </c>
      <c r="C3420" s="4">
        <v>2026</v>
      </c>
      <c r="D3420" s="5" t="s">
        <v>12</v>
      </c>
      <c r="E3420" s="4">
        <v>469</v>
      </c>
      <c r="F3420" s="4" t="s">
        <v>153</v>
      </c>
      <c r="G3420" s="4" t="s">
        <v>205</v>
      </c>
      <c r="H3420" s="4" t="s">
        <v>15</v>
      </c>
      <c r="I3420" s="4" t="s">
        <v>159</v>
      </c>
      <c r="J3420" s="4" t="s">
        <v>213</v>
      </c>
      <c r="K3420" s="4" t="s">
        <v>20</v>
      </c>
      <c r="L3420" s="4" t="s">
        <v>3743</v>
      </c>
      <c r="M3420" s="4" t="s">
        <v>3746</v>
      </c>
      <c r="N3420" s="4" t="s">
        <v>3747</v>
      </c>
      <c r="O3420" s="17">
        <f>INDEX('список ID из СУЭ с должностями'!$A:$F,MATCH(E3420,'список ID из СУЭ с должностями'!$B:$B,0),5)</f>
        <v>0</v>
      </c>
    </row>
    <row r="3421" spans="1:15" ht="60">
      <c r="A3421" s="3" t="s">
        <v>10</v>
      </c>
      <c r="B3421" s="3" t="s">
        <v>11</v>
      </c>
      <c r="C3421" s="4">
        <v>2026</v>
      </c>
      <c r="D3421" s="5" t="s">
        <v>12</v>
      </c>
      <c r="E3421" s="4">
        <v>469</v>
      </c>
      <c r="F3421" s="4" t="s">
        <v>153</v>
      </c>
      <c r="G3421" s="4" t="s">
        <v>205</v>
      </c>
      <c r="H3421" s="4" t="s">
        <v>15</v>
      </c>
      <c r="I3421" s="4" t="s">
        <v>161</v>
      </c>
      <c r="J3421" s="4" t="s">
        <v>162</v>
      </c>
      <c r="K3421" s="4" t="s">
        <v>151</v>
      </c>
      <c r="L3421" s="4" t="s">
        <v>3743</v>
      </c>
      <c r="M3421" s="4" t="s">
        <v>3746</v>
      </c>
      <c r="N3421" s="4" t="s">
        <v>3747</v>
      </c>
      <c r="O3421" s="17">
        <f>INDEX('список ID из СУЭ с должностями'!$A:$F,MATCH(E3421,'список ID из СУЭ с должностями'!$B:$B,0),5)</f>
        <v>0</v>
      </c>
    </row>
    <row r="3422" spans="1:15" ht="60">
      <c r="A3422" s="3" t="s">
        <v>10</v>
      </c>
      <c r="B3422" s="3" t="s">
        <v>11</v>
      </c>
      <c r="C3422" s="4">
        <v>2026</v>
      </c>
      <c r="D3422" s="5" t="s">
        <v>12</v>
      </c>
      <c r="E3422" s="4">
        <v>469</v>
      </c>
      <c r="F3422" s="4" t="s">
        <v>153</v>
      </c>
      <c r="G3422" s="4" t="s">
        <v>205</v>
      </c>
      <c r="H3422" s="4" t="s">
        <v>41</v>
      </c>
      <c r="I3422" s="4" t="s">
        <v>165</v>
      </c>
      <c r="J3422" s="4" t="s">
        <v>166</v>
      </c>
      <c r="K3422" s="4" t="s">
        <v>151</v>
      </c>
      <c r="L3422" s="4" t="s">
        <v>3743</v>
      </c>
      <c r="M3422" s="4" t="s">
        <v>3746</v>
      </c>
      <c r="N3422" s="4" t="s">
        <v>3747</v>
      </c>
      <c r="O3422" s="17">
        <f>INDEX('список ID из СУЭ с должностями'!$A:$F,MATCH(E3422,'список ID из СУЭ с должностями'!$B:$B,0),5)</f>
        <v>0</v>
      </c>
    </row>
    <row r="3423" spans="1:15" ht="90">
      <c r="A3423" s="3" t="s">
        <v>10</v>
      </c>
      <c r="B3423" s="3" t="s">
        <v>11</v>
      </c>
      <c r="C3423" s="4">
        <v>2026</v>
      </c>
      <c r="D3423" s="5" t="s">
        <v>12</v>
      </c>
      <c r="E3423" s="4">
        <v>469</v>
      </c>
      <c r="F3423" s="4" t="s">
        <v>153</v>
      </c>
      <c r="G3423" s="4" t="s">
        <v>205</v>
      </c>
      <c r="H3423" s="4" t="s">
        <v>15</v>
      </c>
      <c r="I3423" s="4" t="s">
        <v>171</v>
      </c>
      <c r="J3423" s="4" t="s">
        <v>172</v>
      </c>
      <c r="K3423" s="4" t="s">
        <v>151</v>
      </c>
      <c r="L3423" s="4" t="s">
        <v>3743</v>
      </c>
      <c r="M3423" s="4" t="s">
        <v>3746</v>
      </c>
      <c r="N3423" s="4" t="s">
        <v>3747</v>
      </c>
      <c r="O3423" s="17">
        <f>INDEX('список ID из СУЭ с должностями'!$A:$F,MATCH(E3423,'список ID из СУЭ с должностями'!$B:$B,0),5)</f>
        <v>0</v>
      </c>
    </row>
    <row r="3424" spans="1:15" ht="135">
      <c r="A3424" s="3" t="s">
        <v>10</v>
      </c>
      <c r="B3424" s="3" t="s">
        <v>11</v>
      </c>
      <c r="C3424" s="4">
        <v>2026</v>
      </c>
      <c r="D3424" s="5" t="s">
        <v>12</v>
      </c>
      <c r="E3424" s="4">
        <v>469</v>
      </c>
      <c r="F3424" s="4" t="s">
        <v>153</v>
      </c>
      <c r="G3424" s="4" t="s">
        <v>205</v>
      </c>
      <c r="H3424" s="4" t="s">
        <v>15</v>
      </c>
      <c r="I3424" s="4" t="s">
        <v>167</v>
      </c>
      <c r="J3424" s="4" t="s">
        <v>214</v>
      </c>
      <c r="K3424" s="4" t="s">
        <v>20</v>
      </c>
      <c r="L3424" s="4" t="s">
        <v>3743</v>
      </c>
      <c r="M3424" s="4" t="s">
        <v>3746</v>
      </c>
      <c r="N3424" s="4" t="s">
        <v>3747</v>
      </c>
      <c r="O3424" s="17">
        <f>INDEX('список ID из СУЭ с должностями'!$A:$F,MATCH(E3424,'список ID из СУЭ с должностями'!$B:$B,0),5)</f>
        <v>0</v>
      </c>
    </row>
    <row r="3425" spans="1:15" ht="60">
      <c r="A3425" s="3" t="s">
        <v>10</v>
      </c>
      <c r="B3425" s="3" t="s">
        <v>11</v>
      </c>
      <c r="C3425" s="4">
        <v>2026</v>
      </c>
      <c r="D3425" s="5" t="s">
        <v>12</v>
      </c>
      <c r="E3425" s="4">
        <v>469</v>
      </c>
      <c r="F3425" s="4" t="s">
        <v>153</v>
      </c>
      <c r="G3425" s="4" t="s">
        <v>205</v>
      </c>
      <c r="H3425" s="4" t="s">
        <v>15</v>
      </c>
      <c r="I3425" s="4" t="s">
        <v>163</v>
      </c>
      <c r="J3425" s="4" t="s">
        <v>206</v>
      </c>
      <c r="K3425" s="4" t="s">
        <v>38</v>
      </c>
      <c r="L3425" s="4" t="s">
        <v>3742</v>
      </c>
      <c r="M3425" s="4" t="s">
        <v>3746</v>
      </c>
      <c r="N3425" s="4" t="s">
        <v>3747</v>
      </c>
      <c r="O3425" s="17">
        <f>INDEX('список ID из СУЭ с должностями'!$A:$F,MATCH(E3425,'список ID из СУЭ с должностями'!$B:$B,0),5)</f>
        <v>0</v>
      </c>
    </row>
    <row r="3426" spans="1:15" ht="60">
      <c r="A3426" s="3" t="s">
        <v>10</v>
      </c>
      <c r="B3426" s="3" t="s">
        <v>11</v>
      </c>
      <c r="C3426" s="4">
        <v>2026</v>
      </c>
      <c r="D3426" s="5" t="s">
        <v>12</v>
      </c>
      <c r="E3426" s="4">
        <v>469</v>
      </c>
      <c r="F3426" s="4" t="s">
        <v>153</v>
      </c>
      <c r="G3426" s="4" t="s">
        <v>205</v>
      </c>
      <c r="H3426" s="4" t="s">
        <v>15</v>
      </c>
      <c r="I3426" s="4" t="s">
        <v>215</v>
      </c>
      <c r="J3426" s="4" t="s">
        <v>211</v>
      </c>
      <c r="K3426" s="4" t="s">
        <v>151</v>
      </c>
      <c r="L3426" s="4" t="s">
        <v>3743</v>
      </c>
      <c r="M3426" s="4" t="s">
        <v>3746</v>
      </c>
      <c r="N3426" s="4" t="s">
        <v>3747</v>
      </c>
      <c r="O3426" s="17">
        <f>INDEX('список ID из СУЭ с должностями'!$A:$F,MATCH(E3426,'список ID из СУЭ с должностями'!$B:$B,0),5)</f>
        <v>0</v>
      </c>
    </row>
    <row r="3427" spans="1:15" ht="60">
      <c r="A3427" s="3" t="s">
        <v>10</v>
      </c>
      <c r="B3427" s="3" t="s">
        <v>11</v>
      </c>
      <c r="C3427" s="4">
        <v>2026</v>
      </c>
      <c r="D3427" s="5" t="s">
        <v>12</v>
      </c>
      <c r="E3427" s="4">
        <v>469</v>
      </c>
      <c r="F3427" s="4" t="s">
        <v>153</v>
      </c>
      <c r="G3427" s="4" t="s">
        <v>205</v>
      </c>
      <c r="H3427" s="4" t="s">
        <v>15</v>
      </c>
      <c r="I3427" s="4" t="s">
        <v>216</v>
      </c>
      <c r="J3427" s="4" t="s">
        <v>170</v>
      </c>
      <c r="K3427" s="4" t="s">
        <v>55</v>
      </c>
      <c r="L3427" s="4" t="s">
        <v>3743</v>
      </c>
      <c r="M3427" s="4" t="s">
        <v>3746</v>
      </c>
      <c r="N3427" s="4" t="s">
        <v>3747</v>
      </c>
      <c r="O3427" s="17">
        <f>INDEX('список ID из СУЭ с должностями'!$A:$F,MATCH(E3427,'список ID из СУЭ с должностями'!$B:$B,0),5)</f>
        <v>0</v>
      </c>
    </row>
    <row r="3428" spans="1:15" ht="75">
      <c r="A3428" s="3" t="s">
        <v>10</v>
      </c>
      <c r="B3428" s="3" t="s">
        <v>2</v>
      </c>
      <c r="C3428" s="4">
        <v>2026</v>
      </c>
      <c r="D3428" s="5" t="s">
        <v>12</v>
      </c>
      <c r="E3428" s="4">
        <v>470</v>
      </c>
      <c r="F3428" s="4" t="s">
        <v>1756</v>
      </c>
      <c r="G3428" s="4" t="s">
        <v>1754</v>
      </c>
      <c r="H3428" s="4" t="s">
        <v>41</v>
      </c>
      <c r="I3428" s="4" t="s">
        <v>855</v>
      </c>
      <c r="J3428" s="4" t="s">
        <v>3336</v>
      </c>
      <c r="K3428" s="4" t="s">
        <v>3337</v>
      </c>
      <c r="L3428" s="4" t="s">
        <v>3743</v>
      </c>
      <c r="M3428" s="4" t="s">
        <v>3746</v>
      </c>
      <c r="N3428" s="4" t="s">
        <v>3784</v>
      </c>
      <c r="O3428" s="17">
        <f>INDEX('список ID из СУЭ с должностями'!$A:$F,MATCH(E3428,'список ID из СУЭ с должностями'!$B:$B,0),5)</f>
        <v>0</v>
      </c>
    </row>
    <row r="3429" spans="1:15" ht="75">
      <c r="A3429" s="3" t="s">
        <v>10</v>
      </c>
      <c r="B3429" s="3" t="s">
        <v>2</v>
      </c>
      <c r="C3429" s="4">
        <v>2026</v>
      </c>
      <c r="D3429" s="5" t="s">
        <v>12</v>
      </c>
      <c r="E3429" s="4">
        <v>470</v>
      </c>
      <c r="F3429" s="4" t="s">
        <v>1756</v>
      </c>
      <c r="G3429" s="4" t="s">
        <v>1754</v>
      </c>
      <c r="H3429" s="4" t="s">
        <v>21</v>
      </c>
      <c r="I3429" s="4" t="s">
        <v>3338</v>
      </c>
      <c r="J3429" s="4" t="s">
        <v>3339</v>
      </c>
      <c r="K3429" s="4" t="s">
        <v>3340</v>
      </c>
      <c r="L3429" s="4" t="s">
        <v>3743</v>
      </c>
      <c r="M3429" s="4" t="s">
        <v>3746</v>
      </c>
      <c r="N3429" s="4" t="s">
        <v>3784</v>
      </c>
      <c r="O3429" s="17">
        <f>INDEX('список ID из СУЭ с должностями'!$A:$F,MATCH(E3429,'список ID из СУЭ с должностями'!$B:$B,0),5)</f>
        <v>0</v>
      </c>
    </row>
    <row r="3430" spans="1:15" ht="90">
      <c r="A3430" s="3" t="s">
        <v>10</v>
      </c>
      <c r="B3430" s="3" t="s">
        <v>2</v>
      </c>
      <c r="C3430" s="4">
        <v>2026</v>
      </c>
      <c r="D3430" s="5" t="s">
        <v>12</v>
      </c>
      <c r="E3430" s="4">
        <v>470</v>
      </c>
      <c r="F3430" s="4" t="s">
        <v>1756</v>
      </c>
      <c r="G3430" s="4" t="s">
        <v>1754</v>
      </c>
      <c r="H3430" s="4" t="s">
        <v>41</v>
      </c>
      <c r="I3430" s="4" t="s">
        <v>3341</v>
      </c>
      <c r="J3430" s="4" t="s">
        <v>3342</v>
      </c>
      <c r="K3430" s="4" t="s">
        <v>38</v>
      </c>
      <c r="L3430" s="4" t="s">
        <v>3743</v>
      </c>
      <c r="M3430" s="4" t="s">
        <v>3746</v>
      </c>
      <c r="N3430" s="4" t="s">
        <v>3747</v>
      </c>
      <c r="O3430" s="17">
        <f>INDEX('список ID из СУЭ с должностями'!$A:$F,MATCH(E3430,'список ID из СУЭ с должностями'!$B:$B,0),5)</f>
        <v>0</v>
      </c>
    </row>
    <row r="3431" spans="1:15" ht="120">
      <c r="A3431" s="3" t="s">
        <v>10</v>
      </c>
      <c r="B3431" s="3" t="s">
        <v>2</v>
      </c>
      <c r="C3431" s="4">
        <v>2026</v>
      </c>
      <c r="D3431" s="5" t="s">
        <v>12</v>
      </c>
      <c r="E3431" s="4">
        <v>470</v>
      </c>
      <c r="F3431" s="4" t="s">
        <v>1756</v>
      </c>
      <c r="G3431" s="4" t="s">
        <v>1754</v>
      </c>
      <c r="H3431" s="4" t="s">
        <v>21</v>
      </c>
      <c r="I3431" s="4" t="s">
        <v>120</v>
      </c>
      <c r="J3431" s="4" t="s">
        <v>3343</v>
      </c>
      <c r="K3431" s="4" t="s">
        <v>30</v>
      </c>
      <c r="L3431" s="4" t="s">
        <v>3743</v>
      </c>
      <c r="M3431" s="4" t="s">
        <v>3746</v>
      </c>
      <c r="N3431" s="4" t="s">
        <v>3747</v>
      </c>
      <c r="O3431" s="17">
        <f>INDEX('список ID из СУЭ с должностями'!$A:$F,MATCH(E3431,'список ID из СУЭ с должностями'!$B:$B,0),5)</f>
        <v>0</v>
      </c>
    </row>
    <row r="3432" spans="1:15" ht="195">
      <c r="A3432" s="3" t="s">
        <v>10</v>
      </c>
      <c r="B3432" s="3" t="s">
        <v>2</v>
      </c>
      <c r="C3432" s="4">
        <v>2026</v>
      </c>
      <c r="D3432" s="5" t="s">
        <v>12</v>
      </c>
      <c r="E3432" s="4">
        <v>470</v>
      </c>
      <c r="F3432" s="4" t="s">
        <v>1756</v>
      </c>
      <c r="G3432" s="4" t="s">
        <v>1754</v>
      </c>
      <c r="H3432" s="4" t="s">
        <v>15</v>
      </c>
      <c r="I3432" s="4" t="s">
        <v>3344</v>
      </c>
      <c r="J3432" s="4" t="s">
        <v>3345</v>
      </c>
      <c r="K3432" s="4" t="s">
        <v>30</v>
      </c>
      <c r="L3432" s="4" t="s">
        <v>3743</v>
      </c>
      <c r="M3432" s="4" t="s">
        <v>3746</v>
      </c>
      <c r="N3432" s="4" t="s">
        <v>3747</v>
      </c>
      <c r="O3432" s="17">
        <f>INDEX('список ID из СУЭ с должностями'!$A:$F,MATCH(E3432,'список ID из СУЭ с должностями'!$B:$B,0),5)</f>
        <v>0</v>
      </c>
    </row>
    <row r="3433" spans="1:15" ht="105">
      <c r="A3433" s="3" t="s">
        <v>10</v>
      </c>
      <c r="B3433" s="3" t="s">
        <v>11</v>
      </c>
      <c r="C3433" s="4">
        <v>2026</v>
      </c>
      <c r="D3433" s="5" t="s">
        <v>12</v>
      </c>
      <c r="E3433" s="4">
        <v>471</v>
      </c>
      <c r="F3433" s="4" t="s">
        <v>280</v>
      </c>
      <c r="G3433" s="4" t="s">
        <v>1203</v>
      </c>
      <c r="H3433" s="4" t="s">
        <v>15</v>
      </c>
      <c r="I3433" s="4" t="s">
        <v>356</v>
      </c>
      <c r="J3433" s="4" t="s">
        <v>1775</v>
      </c>
      <c r="K3433" s="4" t="s">
        <v>25</v>
      </c>
      <c r="L3433" s="4" t="s">
        <v>3743</v>
      </c>
      <c r="M3433" s="4" t="s">
        <v>3746</v>
      </c>
      <c r="N3433" s="4" t="s">
        <v>3747</v>
      </c>
      <c r="O3433" s="17">
        <f>INDEX('список ID из СУЭ с должностями'!$A:$F,MATCH(E3433,'список ID из СУЭ с должностями'!$B:$B,0),5)</f>
        <v>0</v>
      </c>
    </row>
    <row r="3434" spans="1:15" ht="409.5">
      <c r="A3434" s="3" t="s">
        <v>10</v>
      </c>
      <c r="B3434" s="3" t="s">
        <v>11</v>
      </c>
      <c r="C3434" s="4">
        <v>2026</v>
      </c>
      <c r="D3434" s="5" t="s">
        <v>12</v>
      </c>
      <c r="E3434" s="4">
        <v>471</v>
      </c>
      <c r="F3434" s="4" t="s">
        <v>280</v>
      </c>
      <c r="G3434" s="4" t="s">
        <v>1203</v>
      </c>
      <c r="H3434" s="4" t="s">
        <v>15</v>
      </c>
      <c r="I3434" s="4" t="s">
        <v>354</v>
      </c>
      <c r="J3434" s="4" t="s">
        <v>3346</v>
      </c>
      <c r="K3434" s="4" t="s">
        <v>25</v>
      </c>
      <c r="L3434" s="4" t="s">
        <v>3743</v>
      </c>
      <c r="M3434" s="4" t="s">
        <v>3746</v>
      </c>
      <c r="N3434" s="4" t="s">
        <v>3747</v>
      </c>
      <c r="O3434" s="17">
        <f>INDEX('список ID из СУЭ с должностями'!$A:$F,MATCH(E3434,'список ID из СУЭ с должностями'!$B:$B,0),5)</f>
        <v>0</v>
      </c>
    </row>
    <row r="3435" spans="1:15" ht="105">
      <c r="A3435" s="3" t="s">
        <v>10</v>
      </c>
      <c r="B3435" s="3" t="s">
        <v>11</v>
      </c>
      <c r="C3435" s="4">
        <v>2026</v>
      </c>
      <c r="D3435" s="5" t="s">
        <v>12</v>
      </c>
      <c r="E3435" s="4">
        <v>471</v>
      </c>
      <c r="F3435" s="4" t="s">
        <v>280</v>
      </c>
      <c r="G3435" s="4" t="s">
        <v>1203</v>
      </c>
      <c r="H3435" s="4" t="s">
        <v>15</v>
      </c>
      <c r="I3435" s="4" t="s">
        <v>358</v>
      </c>
      <c r="J3435" s="4" t="s">
        <v>825</v>
      </c>
      <c r="K3435" s="4" t="s">
        <v>66</v>
      </c>
      <c r="L3435" s="4" t="s">
        <v>3743</v>
      </c>
      <c r="M3435" s="4" t="s">
        <v>3746</v>
      </c>
      <c r="N3435" s="4" t="s">
        <v>3747</v>
      </c>
      <c r="O3435" s="17">
        <f>INDEX('список ID из СУЭ с должностями'!$A:$F,MATCH(E3435,'список ID из СУЭ с должностями'!$B:$B,0),5)</f>
        <v>0</v>
      </c>
    </row>
    <row r="3436" spans="1:15" ht="330">
      <c r="A3436" s="3" t="s">
        <v>10</v>
      </c>
      <c r="B3436" s="3" t="s">
        <v>11</v>
      </c>
      <c r="C3436" s="4">
        <v>2026</v>
      </c>
      <c r="D3436" s="5" t="s">
        <v>12</v>
      </c>
      <c r="E3436" s="4">
        <v>471</v>
      </c>
      <c r="F3436" s="4" t="s">
        <v>280</v>
      </c>
      <c r="G3436" s="4" t="s">
        <v>1203</v>
      </c>
      <c r="H3436" s="4" t="s">
        <v>15</v>
      </c>
      <c r="I3436" s="4" t="s">
        <v>325</v>
      </c>
      <c r="J3436" s="4" t="s">
        <v>1204</v>
      </c>
      <c r="K3436" s="4" t="s">
        <v>35</v>
      </c>
      <c r="L3436" s="4" t="s">
        <v>3743</v>
      </c>
      <c r="M3436" s="4" t="s">
        <v>3746</v>
      </c>
      <c r="N3436" s="4" t="s">
        <v>3747</v>
      </c>
      <c r="O3436" s="17">
        <f>INDEX('список ID из СУЭ с должностями'!$A:$F,MATCH(E3436,'список ID из СУЭ с должностями'!$B:$B,0),5)</f>
        <v>0</v>
      </c>
    </row>
    <row r="3437" spans="1:15" ht="315">
      <c r="A3437" s="3" t="s">
        <v>10</v>
      </c>
      <c r="B3437" s="3" t="s">
        <v>11</v>
      </c>
      <c r="C3437" s="4">
        <v>2026</v>
      </c>
      <c r="D3437" s="5" t="s">
        <v>12</v>
      </c>
      <c r="E3437" s="4">
        <v>471</v>
      </c>
      <c r="F3437" s="4" t="s">
        <v>280</v>
      </c>
      <c r="G3437" s="4" t="s">
        <v>1203</v>
      </c>
      <c r="H3437" s="4" t="s">
        <v>15</v>
      </c>
      <c r="I3437" s="4" t="s">
        <v>28</v>
      </c>
      <c r="J3437" s="4" t="s">
        <v>824</v>
      </c>
      <c r="K3437" s="4" t="s">
        <v>25</v>
      </c>
      <c r="L3437" s="4" t="s">
        <v>3743</v>
      </c>
      <c r="M3437" s="4" t="s">
        <v>3746</v>
      </c>
      <c r="N3437" s="4" t="s">
        <v>3747</v>
      </c>
      <c r="O3437" s="17">
        <f>INDEX('список ID из СУЭ с должностями'!$A:$F,MATCH(E3437,'список ID из СУЭ с должностями'!$B:$B,0),5)</f>
        <v>0</v>
      </c>
    </row>
    <row r="3438" spans="1:15" ht="135">
      <c r="A3438" s="3" t="s">
        <v>10</v>
      </c>
      <c r="B3438" s="3" t="s">
        <v>11</v>
      </c>
      <c r="C3438" s="4">
        <v>2026</v>
      </c>
      <c r="D3438" s="5" t="s">
        <v>12</v>
      </c>
      <c r="E3438" s="4">
        <v>471</v>
      </c>
      <c r="F3438" s="4" t="s">
        <v>280</v>
      </c>
      <c r="G3438" s="4" t="s">
        <v>1203</v>
      </c>
      <c r="H3438" s="4" t="s">
        <v>15</v>
      </c>
      <c r="I3438" s="4" t="s">
        <v>318</v>
      </c>
      <c r="J3438" s="4" t="s">
        <v>1205</v>
      </c>
      <c r="K3438" s="4" t="s">
        <v>188</v>
      </c>
      <c r="L3438" s="4" t="s">
        <v>3743</v>
      </c>
      <c r="M3438" s="4" t="s">
        <v>3746</v>
      </c>
      <c r="N3438" s="4" t="s">
        <v>3747</v>
      </c>
      <c r="O3438" s="17">
        <f>INDEX('список ID из СУЭ с должностями'!$A:$F,MATCH(E3438,'список ID из СУЭ с должностями'!$B:$B,0),5)</f>
        <v>0</v>
      </c>
    </row>
    <row r="3439" spans="1:15" ht="315">
      <c r="A3439" s="3" t="s">
        <v>10</v>
      </c>
      <c r="B3439" s="3" t="s">
        <v>11</v>
      </c>
      <c r="C3439" s="4">
        <v>2026</v>
      </c>
      <c r="D3439" s="5" t="s">
        <v>12</v>
      </c>
      <c r="E3439" s="4">
        <v>471</v>
      </c>
      <c r="F3439" s="4" t="s">
        <v>280</v>
      </c>
      <c r="G3439" s="4" t="s">
        <v>1203</v>
      </c>
      <c r="H3439" s="4" t="s">
        <v>41</v>
      </c>
      <c r="I3439" s="4" t="s">
        <v>352</v>
      </c>
      <c r="J3439" s="4" t="s">
        <v>823</v>
      </c>
      <c r="K3439" s="4" t="s">
        <v>25</v>
      </c>
      <c r="L3439" s="4" t="s">
        <v>3743</v>
      </c>
      <c r="M3439" s="4" t="s">
        <v>3746</v>
      </c>
      <c r="N3439" s="4" t="s">
        <v>3747</v>
      </c>
      <c r="O3439" s="17">
        <f>INDEX('список ID из СУЭ с должностями'!$A:$F,MATCH(E3439,'список ID из СУЭ с должностями'!$B:$B,0),5)</f>
        <v>0</v>
      </c>
    </row>
    <row r="3440" spans="1:15" ht="330">
      <c r="A3440" s="3" t="s">
        <v>10</v>
      </c>
      <c r="B3440" s="3" t="s">
        <v>11</v>
      </c>
      <c r="C3440" s="4">
        <v>2026</v>
      </c>
      <c r="D3440" s="5" t="s">
        <v>12</v>
      </c>
      <c r="E3440" s="4">
        <v>471</v>
      </c>
      <c r="F3440" s="4" t="s">
        <v>280</v>
      </c>
      <c r="G3440" s="4" t="s">
        <v>1203</v>
      </c>
      <c r="H3440" s="4" t="s">
        <v>15</v>
      </c>
      <c r="I3440" s="4" t="s">
        <v>323</v>
      </c>
      <c r="J3440" s="4" t="s">
        <v>826</v>
      </c>
      <c r="K3440" s="4" t="s">
        <v>66</v>
      </c>
      <c r="L3440" s="4" t="s">
        <v>3743</v>
      </c>
      <c r="M3440" s="4" t="s">
        <v>3746</v>
      </c>
      <c r="N3440" s="4" t="s">
        <v>3747</v>
      </c>
      <c r="O3440" s="17">
        <f>INDEX('список ID из СУЭ с должностями'!$A:$F,MATCH(E3440,'список ID из СУЭ с должностями'!$B:$B,0),5)</f>
        <v>0</v>
      </c>
    </row>
    <row r="3441" spans="1:15" ht="135">
      <c r="A3441" s="3" t="s">
        <v>10</v>
      </c>
      <c r="B3441" s="3" t="s">
        <v>11</v>
      </c>
      <c r="C3441" s="4">
        <v>2026</v>
      </c>
      <c r="D3441" s="5" t="s">
        <v>12</v>
      </c>
      <c r="E3441" s="4">
        <v>472</v>
      </c>
      <c r="F3441" s="4" t="s">
        <v>385</v>
      </c>
      <c r="G3441" s="4" t="s">
        <v>3347</v>
      </c>
      <c r="H3441" s="4" t="s">
        <v>15</v>
      </c>
      <c r="I3441" s="4" t="s">
        <v>3348</v>
      </c>
      <c r="J3441" s="4" t="s">
        <v>3349</v>
      </c>
      <c r="K3441" s="4" t="s">
        <v>3351</v>
      </c>
      <c r="L3441" s="4" t="s">
        <v>3743</v>
      </c>
      <c r="M3441" s="4" t="s">
        <v>3746</v>
      </c>
      <c r="N3441" s="4" t="s">
        <v>3785</v>
      </c>
      <c r="O3441" s="17">
        <f>INDEX('список ID из СУЭ с должностями'!$A:$F,MATCH(E3441,'список ID из СУЭ с должностями'!$B:$B,0),5)</f>
        <v>0</v>
      </c>
    </row>
    <row r="3442" spans="1:15" ht="75">
      <c r="A3442" s="3" t="s">
        <v>10</v>
      </c>
      <c r="B3442" s="3" t="s">
        <v>11</v>
      </c>
      <c r="C3442" s="4">
        <v>2026</v>
      </c>
      <c r="D3442" s="5" t="s">
        <v>12</v>
      </c>
      <c r="E3442" s="4">
        <v>472</v>
      </c>
      <c r="F3442" s="4" t="s">
        <v>385</v>
      </c>
      <c r="G3442" s="4" t="s">
        <v>3347</v>
      </c>
      <c r="H3442" s="4" t="s">
        <v>15</v>
      </c>
      <c r="I3442" s="4" t="s">
        <v>3352</v>
      </c>
      <c r="J3442" s="4" t="s">
        <v>3353</v>
      </c>
      <c r="K3442" s="4" t="s">
        <v>3354</v>
      </c>
      <c r="L3442" s="4" t="s">
        <v>3743</v>
      </c>
      <c r="M3442" s="4" t="s">
        <v>3746</v>
      </c>
      <c r="N3442" s="4" t="s">
        <v>3785</v>
      </c>
      <c r="O3442" s="17">
        <f>INDEX('список ID из СУЭ с должностями'!$A:$F,MATCH(E3442,'список ID из СУЭ с должностями'!$B:$B,0),5)</f>
        <v>0</v>
      </c>
    </row>
    <row r="3443" spans="1:15" ht="120">
      <c r="A3443" s="3" t="s">
        <v>10</v>
      </c>
      <c r="B3443" s="3" t="s">
        <v>11</v>
      </c>
      <c r="C3443" s="4">
        <v>2026</v>
      </c>
      <c r="D3443" s="5" t="s">
        <v>12</v>
      </c>
      <c r="E3443" s="4">
        <v>472</v>
      </c>
      <c r="F3443" s="4" t="s">
        <v>385</v>
      </c>
      <c r="G3443" s="4" t="s">
        <v>3347</v>
      </c>
      <c r="H3443" s="4" t="s">
        <v>41</v>
      </c>
      <c r="I3443" s="4" t="s">
        <v>3355</v>
      </c>
      <c r="J3443" s="4" t="s">
        <v>3356</v>
      </c>
      <c r="K3443" s="4" t="s">
        <v>310</v>
      </c>
      <c r="L3443" s="4" t="s">
        <v>3743</v>
      </c>
      <c r="M3443" s="4" t="s">
        <v>3746</v>
      </c>
      <c r="N3443" s="4" t="s">
        <v>3785</v>
      </c>
      <c r="O3443" s="17">
        <f>INDEX('список ID из СУЭ с должностями'!$A:$F,MATCH(E3443,'список ID из СУЭ с должностями'!$B:$B,0),5)</f>
        <v>0</v>
      </c>
    </row>
    <row r="3444" spans="1:15" ht="409.5">
      <c r="A3444" s="3" t="s">
        <v>10</v>
      </c>
      <c r="B3444" s="3" t="s">
        <v>11</v>
      </c>
      <c r="C3444" s="4">
        <v>2026</v>
      </c>
      <c r="D3444" s="5" t="s">
        <v>12</v>
      </c>
      <c r="E3444" s="4">
        <v>472</v>
      </c>
      <c r="F3444" s="4" t="s">
        <v>385</v>
      </c>
      <c r="G3444" s="4" t="s">
        <v>3347</v>
      </c>
      <c r="H3444" s="4" t="s">
        <v>15</v>
      </c>
      <c r="I3444" s="4" t="s">
        <v>3354</v>
      </c>
      <c r="J3444" s="4" t="s">
        <v>3357</v>
      </c>
      <c r="K3444" s="4" t="s">
        <v>3354</v>
      </c>
      <c r="L3444" s="4" t="s">
        <v>3743</v>
      </c>
      <c r="M3444" s="4" t="s">
        <v>3746</v>
      </c>
      <c r="N3444" s="4" t="s">
        <v>3785</v>
      </c>
      <c r="O3444" s="17">
        <f>INDEX('список ID из СУЭ с должностями'!$A:$F,MATCH(E3444,'список ID из СУЭ с должностями'!$B:$B,0),5)</f>
        <v>0</v>
      </c>
    </row>
    <row r="3445" spans="1:15" ht="120">
      <c r="A3445" s="3" t="s">
        <v>10</v>
      </c>
      <c r="B3445" s="3" t="s">
        <v>11</v>
      </c>
      <c r="C3445" s="4">
        <v>2026</v>
      </c>
      <c r="D3445" s="5" t="s">
        <v>12</v>
      </c>
      <c r="E3445" s="4">
        <v>472</v>
      </c>
      <c r="F3445" s="4" t="s">
        <v>385</v>
      </c>
      <c r="G3445" s="4" t="s">
        <v>3347</v>
      </c>
      <c r="H3445" s="4" t="s">
        <v>15</v>
      </c>
      <c r="I3445" s="4" t="s">
        <v>3358</v>
      </c>
      <c r="J3445" s="4" t="s">
        <v>3359</v>
      </c>
      <c r="K3445" s="4" t="s">
        <v>3360</v>
      </c>
      <c r="L3445" s="4" t="s">
        <v>3743</v>
      </c>
      <c r="M3445" s="4" t="s">
        <v>3746</v>
      </c>
      <c r="N3445" s="4" t="s">
        <v>3785</v>
      </c>
      <c r="O3445" s="17">
        <f>INDEX('список ID из СУЭ с должностями'!$A:$F,MATCH(E3445,'список ID из СУЭ с должностями'!$B:$B,0),5)</f>
        <v>0</v>
      </c>
    </row>
    <row r="3446" spans="1:15" ht="105">
      <c r="A3446" s="3" t="s">
        <v>10</v>
      </c>
      <c r="B3446" s="3" t="s">
        <v>11</v>
      </c>
      <c r="C3446" s="4">
        <v>2026</v>
      </c>
      <c r="D3446" s="5" t="s">
        <v>12</v>
      </c>
      <c r="E3446" s="4">
        <v>472</v>
      </c>
      <c r="F3446" s="4" t="s">
        <v>385</v>
      </c>
      <c r="G3446" s="4" t="s">
        <v>3347</v>
      </c>
      <c r="H3446" s="4" t="s">
        <v>15</v>
      </c>
      <c r="I3446" s="4" t="s">
        <v>3361</v>
      </c>
      <c r="J3446" s="4" t="s">
        <v>3362</v>
      </c>
      <c r="K3446" s="4" t="s">
        <v>3351</v>
      </c>
      <c r="L3446" s="4" t="s">
        <v>3743</v>
      </c>
      <c r="M3446" s="4" t="s">
        <v>3746</v>
      </c>
      <c r="N3446" s="4" t="s">
        <v>3785</v>
      </c>
      <c r="O3446" s="17">
        <f>INDEX('список ID из СУЭ с должностями'!$A:$F,MATCH(E3446,'список ID из СУЭ с должностями'!$B:$B,0),5)</f>
        <v>0</v>
      </c>
    </row>
    <row r="3447" spans="1:15" ht="75">
      <c r="A3447" s="3" t="s">
        <v>10</v>
      </c>
      <c r="B3447" s="3" t="s">
        <v>11</v>
      </c>
      <c r="C3447" s="4">
        <v>2026</v>
      </c>
      <c r="D3447" s="5" t="s">
        <v>12</v>
      </c>
      <c r="E3447" s="4">
        <v>473</v>
      </c>
      <c r="F3447" s="4" t="s">
        <v>67</v>
      </c>
      <c r="G3447" s="4" t="s">
        <v>85</v>
      </c>
      <c r="H3447" s="4" t="s">
        <v>15</v>
      </c>
      <c r="I3447" s="4" t="s">
        <v>3363</v>
      </c>
      <c r="J3447" s="4" t="s">
        <v>3364</v>
      </c>
      <c r="K3447" s="4" t="s">
        <v>30</v>
      </c>
      <c r="L3447" s="4" t="s">
        <v>3743</v>
      </c>
      <c r="M3447" s="4" t="s">
        <v>3746</v>
      </c>
      <c r="N3447" s="4" t="s">
        <v>3747</v>
      </c>
      <c r="O3447" s="17">
        <f>INDEX('список ID из СУЭ с должностями'!$A:$F,MATCH(E3447,'список ID из СУЭ с должностями'!$B:$B,0),5)</f>
        <v>0</v>
      </c>
    </row>
    <row r="3448" spans="1:15" ht="75">
      <c r="A3448" s="3" t="s">
        <v>10</v>
      </c>
      <c r="B3448" s="3" t="s">
        <v>11</v>
      </c>
      <c r="C3448" s="4">
        <v>2026</v>
      </c>
      <c r="D3448" s="5" t="s">
        <v>12</v>
      </c>
      <c r="E3448" s="4">
        <v>473</v>
      </c>
      <c r="F3448" s="4" t="s">
        <v>67</v>
      </c>
      <c r="G3448" s="4" t="s">
        <v>85</v>
      </c>
      <c r="H3448" s="4" t="s">
        <v>15</v>
      </c>
      <c r="I3448" s="4" t="s">
        <v>3365</v>
      </c>
      <c r="J3448" s="4" t="s">
        <v>3366</v>
      </c>
      <c r="K3448" s="4" t="s">
        <v>30</v>
      </c>
      <c r="L3448" s="4" t="s">
        <v>3742</v>
      </c>
      <c r="M3448" s="4" t="s">
        <v>3746</v>
      </c>
      <c r="N3448" s="4" t="s">
        <v>3747</v>
      </c>
      <c r="O3448" s="17">
        <f>INDEX('список ID из СУЭ с должностями'!$A:$F,MATCH(E3448,'список ID из СУЭ с должностями'!$B:$B,0),5)</f>
        <v>0</v>
      </c>
    </row>
    <row r="3449" spans="1:15" ht="75">
      <c r="A3449" s="3" t="s">
        <v>10</v>
      </c>
      <c r="B3449" s="3" t="s">
        <v>11</v>
      </c>
      <c r="C3449" s="4">
        <v>2026</v>
      </c>
      <c r="D3449" s="5" t="s">
        <v>12</v>
      </c>
      <c r="E3449" s="4">
        <v>473</v>
      </c>
      <c r="F3449" s="4" t="s">
        <v>67</v>
      </c>
      <c r="G3449" s="4" t="s">
        <v>85</v>
      </c>
      <c r="H3449" s="4" t="s">
        <v>15</v>
      </c>
      <c r="I3449" s="4" t="s">
        <v>3367</v>
      </c>
      <c r="J3449" s="4" t="s">
        <v>1281</v>
      </c>
      <c r="K3449" s="4" t="s">
        <v>30</v>
      </c>
      <c r="L3449" s="4" t="s">
        <v>3742</v>
      </c>
      <c r="M3449" s="4" t="s">
        <v>3746</v>
      </c>
      <c r="N3449" s="4" t="s">
        <v>3747</v>
      </c>
      <c r="O3449" s="17">
        <f>INDEX('список ID из СУЭ с должностями'!$A:$F,MATCH(E3449,'список ID из СУЭ с должностями'!$B:$B,0),5)</f>
        <v>0</v>
      </c>
    </row>
    <row r="3450" spans="1:15" ht="75">
      <c r="A3450" s="3" t="s">
        <v>10</v>
      </c>
      <c r="B3450" s="3" t="s">
        <v>11</v>
      </c>
      <c r="C3450" s="4">
        <v>2026</v>
      </c>
      <c r="D3450" s="5" t="s">
        <v>12</v>
      </c>
      <c r="E3450" s="4">
        <v>473</v>
      </c>
      <c r="F3450" s="4" t="s">
        <v>67</v>
      </c>
      <c r="G3450" s="4" t="s">
        <v>85</v>
      </c>
      <c r="H3450" s="4" t="s">
        <v>15</v>
      </c>
      <c r="I3450" s="4" t="s">
        <v>3368</v>
      </c>
      <c r="J3450" s="4" t="s">
        <v>3369</v>
      </c>
      <c r="K3450" s="4" t="s">
        <v>30</v>
      </c>
      <c r="L3450" s="4" t="s">
        <v>3743</v>
      </c>
      <c r="M3450" s="4" t="s">
        <v>3746</v>
      </c>
      <c r="N3450" s="4" t="s">
        <v>3747</v>
      </c>
      <c r="O3450" s="17">
        <f>INDEX('список ID из СУЭ с должностями'!$A:$F,MATCH(E3450,'список ID из СУЭ с должностями'!$B:$B,0),5)</f>
        <v>0</v>
      </c>
    </row>
    <row r="3451" spans="1:15" ht="75">
      <c r="A3451" s="3" t="s">
        <v>10</v>
      </c>
      <c r="B3451" s="3" t="s">
        <v>11</v>
      </c>
      <c r="C3451" s="4">
        <v>2026</v>
      </c>
      <c r="D3451" s="5" t="s">
        <v>12</v>
      </c>
      <c r="E3451" s="4">
        <v>473</v>
      </c>
      <c r="F3451" s="4" t="s">
        <v>67</v>
      </c>
      <c r="G3451" s="4" t="s">
        <v>85</v>
      </c>
      <c r="H3451" s="4" t="s">
        <v>15</v>
      </c>
      <c r="I3451" s="4" t="s">
        <v>3370</v>
      </c>
      <c r="J3451" s="4" t="s">
        <v>1281</v>
      </c>
      <c r="K3451" s="4" t="s">
        <v>30</v>
      </c>
      <c r="L3451" s="4" t="s">
        <v>3742</v>
      </c>
      <c r="M3451" s="4" t="s">
        <v>3746</v>
      </c>
      <c r="N3451" s="4" t="s">
        <v>3747</v>
      </c>
      <c r="O3451" s="17">
        <f>INDEX('список ID из СУЭ с должностями'!$A:$F,MATCH(E3451,'список ID из СУЭ с должностями'!$B:$B,0),5)</f>
        <v>0</v>
      </c>
    </row>
    <row r="3452" spans="1:15" ht="75">
      <c r="A3452" s="3" t="s">
        <v>10</v>
      </c>
      <c r="B3452" s="3" t="s">
        <v>11</v>
      </c>
      <c r="C3452" s="4">
        <v>2026</v>
      </c>
      <c r="D3452" s="5" t="s">
        <v>12</v>
      </c>
      <c r="E3452" s="4">
        <v>473</v>
      </c>
      <c r="F3452" s="4" t="s">
        <v>67</v>
      </c>
      <c r="G3452" s="4" t="s">
        <v>85</v>
      </c>
      <c r="H3452" s="4" t="s">
        <v>15</v>
      </c>
      <c r="I3452" s="4" t="s">
        <v>3371</v>
      </c>
      <c r="J3452" s="4" t="s">
        <v>1281</v>
      </c>
      <c r="K3452" s="4" t="s">
        <v>30</v>
      </c>
      <c r="L3452" s="4" t="s">
        <v>3742</v>
      </c>
      <c r="M3452" s="4" t="s">
        <v>3746</v>
      </c>
      <c r="N3452" s="4" t="s">
        <v>3747</v>
      </c>
      <c r="O3452" s="17">
        <f>INDEX('список ID из СУЭ с должностями'!$A:$F,MATCH(E3452,'список ID из СУЭ с должностями'!$B:$B,0),5)</f>
        <v>0</v>
      </c>
    </row>
    <row r="3453" spans="1:15" ht="75">
      <c r="A3453" s="3" t="s">
        <v>10</v>
      </c>
      <c r="B3453" s="3" t="s">
        <v>11</v>
      </c>
      <c r="C3453" s="4">
        <v>2026</v>
      </c>
      <c r="D3453" s="5" t="s">
        <v>12</v>
      </c>
      <c r="E3453" s="4">
        <v>473</v>
      </c>
      <c r="F3453" s="4" t="s">
        <v>67</v>
      </c>
      <c r="G3453" s="4" t="s">
        <v>85</v>
      </c>
      <c r="H3453" s="4" t="s">
        <v>15</v>
      </c>
      <c r="I3453" s="4" t="s">
        <v>3372</v>
      </c>
      <c r="J3453" s="4" t="s">
        <v>3373</v>
      </c>
      <c r="K3453" s="4" t="s">
        <v>30</v>
      </c>
      <c r="L3453" s="4" t="s">
        <v>3742</v>
      </c>
      <c r="M3453" s="4" t="s">
        <v>3746</v>
      </c>
      <c r="N3453" s="4" t="s">
        <v>3747</v>
      </c>
      <c r="O3453" s="17">
        <f>INDEX('список ID из СУЭ с должностями'!$A:$F,MATCH(E3453,'список ID из СУЭ с должностями'!$B:$B,0),5)</f>
        <v>0</v>
      </c>
    </row>
    <row r="3454" spans="1:15" ht="105">
      <c r="A3454" s="3" t="s">
        <v>10</v>
      </c>
      <c r="B3454" s="3" t="s">
        <v>11</v>
      </c>
      <c r="C3454" s="4">
        <v>2026</v>
      </c>
      <c r="D3454" s="5" t="s">
        <v>12</v>
      </c>
      <c r="E3454" s="4">
        <v>474</v>
      </c>
      <c r="F3454" s="4" t="s">
        <v>348</v>
      </c>
      <c r="G3454" s="4" t="s">
        <v>1056</v>
      </c>
      <c r="H3454" s="4" t="s">
        <v>15</v>
      </c>
      <c r="I3454" s="4" t="s">
        <v>356</v>
      </c>
      <c r="J3454" s="4" t="s">
        <v>357</v>
      </c>
      <c r="K3454" s="4" t="s">
        <v>38</v>
      </c>
      <c r="L3454" s="4" t="s">
        <v>3743</v>
      </c>
      <c r="M3454" s="4" t="s">
        <v>3746</v>
      </c>
      <c r="N3454" s="4" t="s">
        <v>3747</v>
      </c>
      <c r="O3454" s="17">
        <f>INDEX('список ID из СУЭ с должностями'!$A:$F,MATCH(E3454,'список ID из СУЭ с должностями'!$B:$B,0),5)</f>
        <v>0</v>
      </c>
    </row>
    <row r="3455" spans="1:15" ht="409.5">
      <c r="A3455" s="3" t="s">
        <v>10</v>
      </c>
      <c r="B3455" s="3" t="s">
        <v>11</v>
      </c>
      <c r="C3455" s="4">
        <v>2026</v>
      </c>
      <c r="D3455" s="5" t="s">
        <v>12</v>
      </c>
      <c r="E3455" s="4">
        <v>474</v>
      </c>
      <c r="F3455" s="4" t="s">
        <v>348</v>
      </c>
      <c r="G3455" s="4" t="s">
        <v>1056</v>
      </c>
      <c r="H3455" s="4" t="s">
        <v>15</v>
      </c>
      <c r="I3455" s="4" t="s">
        <v>354</v>
      </c>
      <c r="J3455" s="4" t="s">
        <v>1059</v>
      </c>
      <c r="K3455" s="4" t="s">
        <v>25</v>
      </c>
      <c r="L3455" s="4" t="s">
        <v>3743</v>
      </c>
      <c r="M3455" s="4" t="s">
        <v>3746</v>
      </c>
      <c r="N3455" s="4" t="s">
        <v>3747</v>
      </c>
      <c r="O3455" s="17">
        <f>INDEX('список ID из СУЭ с должностями'!$A:$F,MATCH(E3455,'список ID из СУЭ с должностями'!$B:$B,0),5)</f>
        <v>0</v>
      </c>
    </row>
    <row r="3456" spans="1:15" ht="330">
      <c r="A3456" s="3" t="s">
        <v>10</v>
      </c>
      <c r="B3456" s="3" t="s">
        <v>11</v>
      </c>
      <c r="C3456" s="4">
        <v>2026</v>
      </c>
      <c r="D3456" s="5" t="s">
        <v>12</v>
      </c>
      <c r="E3456" s="4">
        <v>474</v>
      </c>
      <c r="F3456" s="4" t="s">
        <v>348</v>
      </c>
      <c r="G3456" s="4" t="s">
        <v>1056</v>
      </c>
      <c r="H3456" s="4" t="s">
        <v>15</v>
      </c>
      <c r="I3456" s="4" t="s">
        <v>323</v>
      </c>
      <c r="J3456" s="4" t="s">
        <v>826</v>
      </c>
      <c r="K3456" s="4" t="s">
        <v>151</v>
      </c>
      <c r="L3456" s="4" t="s">
        <v>3743</v>
      </c>
      <c r="M3456" s="4" t="s">
        <v>3746</v>
      </c>
      <c r="N3456" s="4" t="s">
        <v>3747</v>
      </c>
      <c r="O3456" s="17">
        <f>INDEX('список ID из СУЭ с должностями'!$A:$F,MATCH(E3456,'список ID из СУЭ с должностями'!$B:$B,0),5)</f>
        <v>0</v>
      </c>
    </row>
    <row r="3457" spans="1:15" ht="330">
      <c r="A3457" s="3" t="s">
        <v>10</v>
      </c>
      <c r="B3457" s="3" t="s">
        <v>11</v>
      </c>
      <c r="C3457" s="4">
        <v>2026</v>
      </c>
      <c r="D3457" s="5" t="s">
        <v>12</v>
      </c>
      <c r="E3457" s="4">
        <v>474</v>
      </c>
      <c r="F3457" s="4" t="s">
        <v>348</v>
      </c>
      <c r="G3457" s="4" t="s">
        <v>1056</v>
      </c>
      <c r="H3457" s="4" t="s">
        <v>15</v>
      </c>
      <c r="I3457" s="4" t="s">
        <v>325</v>
      </c>
      <c r="J3457" s="4" t="s">
        <v>1060</v>
      </c>
      <c r="K3457" s="4" t="s">
        <v>35</v>
      </c>
      <c r="L3457" s="4" t="s">
        <v>3743</v>
      </c>
      <c r="M3457" s="4" t="s">
        <v>3746</v>
      </c>
      <c r="N3457" s="4" t="s">
        <v>3747</v>
      </c>
      <c r="O3457" s="17">
        <f>INDEX('список ID из СУЭ с должностями'!$A:$F,MATCH(E3457,'список ID из СУЭ с должностями'!$B:$B,0),5)</f>
        <v>0</v>
      </c>
    </row>
    <row r="3458" spans="1:15" ht="225">
      <c r="A3458" s="3" t="s">
        <v>10</v>
      </c>
      <c r="B3458" s="3" t="s">
        <v>11</v>
      </c>
      <c r="C3458" s="4">
        <v>2026</v>
      </c>
      <c r="D3458" s="5" t="s">
        <v>12</v>
      </c>
      <c r="E3458" s="4">
        <v>474</v>
      </c>
      <c r="F3458" s="4" t="s">
        <v>348</v>
      </c>
      <c r="G3458" s="4" t="s">
        <v>1056</v>
      </c>
      <c r="H3458" s="4" t="s">
        <v>15</v>
      </c>
      <c r="I3458" s="4" t="s">
        <v>323</v>
      </c>
      <c r="J3458" s="4" t="s">
        <v>1295</v>
      </c>
      <c r="K3458" s="4" t="s">
        <v>66</v>
      </c>
      <c r="L3458" s="4" t="s">
        <v>3743</v>
      </c>
      <c r="M3458" s="4" t="s">
        <v>3746</v>
      </c>
      <c r="N3458" s="4" t="s">
        <v>3747</v>
      </c>
      <c r="O3458" s="17">
        <f>INDEX('список ID из СУЭ с должностями'!$A:$F,MATCH(E3458,'список ID из СУЭ с должностями'!$B:$B,0),5)</f>
        <v>0</v>
      </c>
    </row>
    <row r="3459" spans="1:15" ht="105">
      <c r="A3459" s="3" t="s">
        <v>10</v>
      </c>
      <c r="B3459" s="3" t="s">
        <v>11</v>
      </c>
      <c r="C3459" s="4">
        <v>2026</v>
      </c>
      <c r="D3459" s="5" t="s">
        <v>12</v>
      </c>
      <c r="E3459" s="4">
        <v>474</v>
      </c>
      <c r="F3459" s="4" t="s">
        <v>348</v>
      </c>
      <c r="G3459" s="4" t="s">
        <v>1056</v>
      </c>
      <c r="H3459" s="4" t="s">
        <v>21</v>
      </c>
      <c r="I3459" s="4" t="s">
        <v>3374</v>
      </c>
      <c r="J3459" s="4" t="s">
        <v>3375</v>
      </c>
      <c r="K3459" s="4" t="s">
        <v>23</v>
      </c>
      <c r="L3459" s="4" t="s">
        <v>3743</v>
      </c>
      <c r="M3459" s="4" t="s">
        <v>3748</v>
      </c>
      <c r="N3459" s="4" t="s">
        <v>3752</v>
      </c>
      <c r="O3459" s="17">
        <f>INDEX('список ID из СУЭ с должностями'!$A:$F,MATCH(E3459,'список ID из СУЭ с должностями'!$B:$B,0),5)</f>
        <v>0</v>
      </c>
    </row>
    <row r="3460" spans="1:15" ht="150">
      <c r="A3460" s="3" t="s">
        <v>10</v>
      </c>
      <c r="B3460" s="3" t="s">
        <v>11</v>
      </c>
      <c r="C3460" s="4">
        <v>2026</v>
      </c>
      <c r="D3460" s="5" t="s">
        <v>12</v>
      </c>
      <c r="E3460" s="4">
        <v>475</v>
      </c>
      <c r="F3460" s="4" t="s">
        <v>2371</v>
      </c>
      <c r="G3460" s="4" t="s">
        <v>2368</v>
      </c>
      <c r="H3460" s="4" t="s">
        <v>15</v>
      </c>
      <c r="I3460" s="4" t="s">
        <v>806</v>
      </c>
      <c r="J3460" s="4" t="s">
        <v>2390</v>
      </c>
      <c r="K3460" s="4" t="s">
        <v>38</v>
      </c>
      <c r="L3460" s="4" t="s">
        <v>3743</v>
      </c>
      <c r="M3460" s="4" t="s">
        <v>3746</v>
      </c>
      <c r="N3460" s="4" t="s">
        <v>3747</v>
      </c>
      <c r="O3460" s="17">
        <f>INDEX('список ID из СУЭ с должностями'!$A:$F,MATCH(E3460,'список ID из СУЭ с должностями'!$B:$B,0),5)</f>
        <v>0</v>
      </c>
    </row>
    <row r="3461" spans="1:15" ht="150">
      <c r="A3461" s="3" t="s">
        <v>10</v>
      </c>
      <c r="B3461" s="3" t="s">
        <v>11</v>
      </c>
      <c r="C3461" s="4">
        <v>2026</v>
      </c>
      <c r="D3461" s="5" t="s">
        <v>12</v>
      </c>
      <c r="E3461" s="4">
        <v>475</v>
      </c>
      <c r="F3461" s="4" t="s">
        <v>2371</v>
      </c>
      <c r="G3461" s="4" t="s">
        <v>2368</v>
      </c>
      <c r="H3461" s="4" t="s">
        <v>15</v>
      </c>
      <c r="I3461" s="4" t="s">
        <v>2360</v>
      </c>
      <c r="J3461" s="4" t="s">
        <v>3376</v>
      </c>
      <c r="K3461" s="4" t="s">
        <v>66</v>
      </c>
      <c r="L3461" s="4" t="s">
        <v>3743</v>
      </c>
      <c r="M3461" s="4" t="s">
        <v>3746</v>
      </c>
      <c r="N3461" s="4" t="s">
        <v>3747</v>
      </c>
      <c r="O3461" s="17">
        <f>INDEX('список ID из СУЭ с должностями'!$A:$F,MATCH(E3461,'список ID из СУЭ с должностями'!$B:$B,0),5)</f>
        <v>0</v>
      </c>
    </row>
    <row r="3462" spans="1:15" ht="409.5">
      <c r="A3462" s="3" t="s">
        <v>10</v>
      </c>
      <c r="B3462" s="3" t="s">
        <v>11</v>
      </c>
      <c r="C3462" s="4">
        <v>2026</v>
      </c>
      <c r="D3462" s="5" t="s">
        <v>12</v>
      </c>
      <c r="E3462" s="4">
        <v>475</v>
      </c>
      <c r="F3462" s="4" t="s">
        <v>2371</v>
      </c>
      <c r="G3462" s="4" t="s">
        <v>2368</v>
      </c>
      <c r="H3462" s="4" t="s">
        <v>15</v>
      </c>
      <c r="I3462" s="4" t="s">
        <v>2357</v>
      </c>
      <c r="J3462" s="4" t="s">
        <v>2387</v>
      </c>
      <c r="K3462" s="4" t="s">
        <v>25</v>
      </c>
      <c r="L3462" s="4" t="s">
        <v>3743</v>
      </c>
      <c r="M3462" s="4" t="s">
        <v>3746</v>
      </c>
      <c r="N3462" s="4" t="s">
        <v>3747</v>
      </c>
      <c r="O3462" s="17">
        <f>INDEX('список ID из СУЭ с должностями'!$A:$F,MATCH(E3462,'список ID из СУЭ с должностями'!$B:$B,0),5)</f>
        <v>0</v>
      </c>
    </row>
    <row r="3463" spans="1:15" ht="195">
      <c r="A3463" s="3" t="s">
        <v>10</v>
      </c>
      <c r="B3463" s="3" t="s">
        <v>11</v>
      </c>
      <c r="C3463" s="4">
        <v>2026</v>
      </c>
      <c r="D3463" s="5" t="s">
        <v>12</v>
      </c>
      <c r="E3463" s="4">
        <v>475</v>
      </c>
      <c r="F3463" s="4" t="s">
        <v>2371</v>
      </c>
      <c r="G3463" s="4" t="s">
        <v>2368</v>
      </c>
      <c r="H3463" s="4" t="s">
        <v>15</v>
      </c>
      <c r="I3463" s="4" t="s">
        <v>147</v>
      </c>
      <c r="J3463" s="4" t="s">
        <v>2388</v>
      </c>
      <c r="K3463" s="4" t="s">
        <v>35</v>
      </c>
      <c r="L3463" s="4" t="s">
        <v>3743</v>
      </c>
      <c r="M3463" s="4" t="s">
        <v>3746</v>
      </c>
      <c r="N3463" s="4" t="s">
        <v>3747</v>
      </c>
      <c r="O3463" s="17">
        <f>INDEX('список ID из СУЭ с должностями'!$A:$F,MATCH(E3463,'список ID из СУЭ с должностями'!$B:$B,0),5)</f>
        <v>0</v>
      </c>
    </row>
    <row r="3464" spans="1:15" ht="330">
      <c r="A3464" s="3" t="s">
        <v>10</v>
      </c>
      <c r="B3464" s="3" t="s">
        <v>11</v>
      </c>
      <c r="C3464" s="4">
        <v>2026</v>
      </c>
      <c r="D3464" s="5" t="s">
        <v>12</v>
      </c>
      <c r="E3464" s="4">
        <v>475</v>
      </c>
      <c r="F3464" s="4" t="s">
        <v>2371</v>
      </c>
      <c r="G3464" s="4" t="s">
        <v>2368</v>
      </c>
      <c r="H3464" s="4" t="s">
        <v>41</v>
      </c>
      <c r="I3464" s="4" t="s">
        <v>303</v>
      </c>
      <c r="J3464" s="4" t="s">
        <v>3377</v>
      </c>
      <c r="K3464" s="4" t="s">
        <v>66</v>
      </c>
      <c r="L3464" s="4" t="s">
        <v>3743</v>
      </c>
      <c r="M3464" s="4" t="s">
        <v>3746</v>
      </c>
      <c r="N3464" s="4" t="s">
        <v>3747</v>
      </c>
      <c r="O3464" s="17">
        <f>INDEX('список ID из СУЭ с должностями'!$A:$F,MATCH(E3464,'список ID из СУЭ с должностями'!$B:$B,0),5)</f>
        <v>0</v>
      </c>
    </row>
    <row r="3465" spans="1:15" ht="75">
      <c r="A3465" s="3" t="s">
        <v>10</v>
      </c>
      <c r="B3465" s="3" t="s">
        <v>11</v>
      </c>
      <c r="C3465" s="4">
        <v>2026</v>
      </c>
      <c r="D3465" s="5" t="s">
        <v>12</v>
      </c>
      <c r="E3465" s="4">
        <v>476</v>
      </c>
      <c r="F3465" s="4" t="s">
        <v>3378</v>
      </c>
      <c r="G3465" s="4" t="s">
        <v>1347</v>
      </c>
      <c r="H3465" s="4" t="s">
        <v>41</v>
      </c>
      <c r="I3465" s="4" t="s">
        <v>1348</v>
      </c>
      <c r="J3465" s="4" t="s">
        <v>2951</v>
      </c>
      <c r="K3465" s="4" t="s">
        <v>2952</v>
      </c>
      <c r="L3465" s="4" t="s">
        <v>3743</v>
      </c>
      <c r="M3465" s="4" t="s">
        <v>3750</v>
      </c>
      <c r="N3465" s="4" t="s">
        <v>3779</v>
      </c>
      <c r="O3465" s="17">
        <f>INDEX('список ID из СУЭ с должностями'!$A:$F,MATCH(E3465,'список ID из СУЭ с должностями'!$B:$B,0),5)</f>
        <v>0</v>
      </c>
    </row>
    <row r="3466" spans="1:15" ht="180">
      <c r="A3466" s="3" t="s">
        <v>10</v>
      </c>
      <c r="B3466" s="3" t="s">
        <v>11</v>
      </c>
      <c r="C3466" s="4">
        <v>2026</v>
      </c>
      <c r="D3466" s="5" t="s">
        <v>12</v>
      </c>
      <c r="E3466" s="4">
        <v>476</v>
      </c>
      <c r="F3466" s="4" t="s">
        <v>3378</v>
      </c>
      <c r="G3466" s="4" t="s">
        <v>1347</v>
      </c>
      <c r="H3466" s="4" t="s">
        <v>21</v>
      </c>
      <c r="I3466" s="4" t="s">
        <v>1350</v>
      </c>
      <c r="J3466" s="4" t="s">
        <v>3379</v>
      </c>
      <c r="K3466" s="4" t="s">
        <v>35</v>
      </c>
      <c r="L3466" s="4" t="s">
        <v>3743</v>
      </c>
      <c r="M3466" s="4" t="s">
        <v>3746</v>
      </c>
      <c r="N3466" s="4" t="s">
        <v>3747</v>
      </c>
      <c r="O3466" s="17">
        <f>INDEX('список ID из СУЭ с должностями'!$A:$F,MATCH(E3466,'список ID из СУЭ с должностями'!$B:$B,0),5)</f>
        <v>0</v>
      </c>
    </row>
    <row r="3467" spans="1:15" ht="345">
      <c r="A3467" s="3" t="s">
        <v>10</v>
      </c>
      <c r="B3467" s="3" t="s">
        <v>11</v>
      </c>
      <c r="C3467" s="4">
        <v>2026</v>
      </c>
      <c r="D3467" s="5" t="s">
        <v>12</v>
      </c>
      <c r="E3467" s="4">
        <v>476</v>
      </c>
      <c r="F3467" s="4" t="s">
        <v>3378</v>
      </c>
      <c r="G3467" s="4" t="s">
        <v>1347</v>
      </c>
      <c r="H3467" s="4" t="s">
        <v>15</v>
      </c>
      <c r="I3467" s="4" t="s">
        <v>1354</v>
      </c>
      <c r="J3467" s="4" t="s">
        <v>3380</v>
      </c>
      <c r="K3467" s="4" t="s">
        <v>1368</v>
      </c>
      <c r="L3467" s="4" t="s">
        <v>3743</v>
      </c>
      <c r="M3467" s="4" t="s">
        <v>3750</v>
      </c>
      <c r="N3467" s="4" t="s">
        <v>3779</v>
      </c>
      <c r="O3467" s="17">
        <f>INDEX('список ID из СУЭ с должностями'!$A:$F,MATCH(E3467,'список ID из СУЭ с должностями'!$B:$B,0),5)</f>
        <v>0</v>
      </c>
    </row>
    <row r="3468" spans="1:15" ht="90">
      <c r="A3468" s="3" t="s">
        <v>10</v>
      </c>
      <c r="B3468" s="3" t="s">
        <v>11</v>
      </c>
      <c r="C3468" s="4">
        <v>2026</v>
      </c>
      <c r="D3468" s="5" t="s">
        <v>12</v>
      </c>
      <c r="E3468" s="4">
        <v>476</v>
      </c>
      <c r="F3468" s="4" t="s">
        <v>3378</v>
      </c>
      <c r="G3468" s="4" t="s">
        <v>1347</v>
      </c>
      <c r="H3468" s="4" t="s">
        <v>21</v>
      </c>
      <c r="I3468" s="4" t="s">
        <v>3381</v>
      </c>
      <c r="J3468" s="4" t="s">
        <v>378</v>
      </c>
      <c r="K3468" s="4" t="s">
        <v>379</v>
      </c>
      <c r="L3468" s="4" t="s">
        <v>3742</v>
      </c>
      <c r="M3468" s="4" t="s">
        <v>3750</v>
      </c>
      <c r="N3468" s="4" t="s">
        <v>3779</v>
      </c>
      <c r="O3468" s="17">
        <f>INDEX('список ID из СУЭ с должностями'!$A:$F,MATCH(E3468,'список ID из СУЭ с должностями'!$B:$B,0),5)</f>
        <v>0</v>
      </c>
    </row>
    <row r="3469" spans="1:15" ht="150">
      <c r="A3469" s="3" t="s">
        <v>10</v>
      </c>
      <c r="B3469" s="3" t="s">
        <v>11</v>
      </c>
      <c r="C3469" s="4">
        <v>2026</v>
      </c>
      <c r="D3469" s="5" t="s">
        <v>12</v>
      </c>
      <c r="E3469" s="4">
        <v>476</v>
      </c>
      <c r="F3469" s="4" t="s">
        <v>3378</v>
      </c>
      <c r="G3469" s="4" t="s">
        <v>1347</v>
      </c>
      <c r="H3469" s="4" t="s">
        <v>21</v>
      </c>
      <c r="I3469" s="4" t="s">
        <v>2785</v>
      </c>
      <c r="J3469" s="4" t="s">
        <v>3382</v>
      </c>
      <c r="K3469" s="4" t="s">
        <v>2954</v>
      </c>
      <c r="L3469" s="4" t="s">
        <v>3743</v>
      </c>
      <c r="M3469" s="4" t="s">
        <v>3750</v>
      </c>
      <c r="N3469" s="4" t="s">
        <v>3779</v>
      </c>
      <c r="O3469" s="17">
        <f>INDEX('список ID из СУЭ с должностями'!$A:$F,MATCH(E3469,'список ID из СУЭ с должностями'!$B:$B,0),5)</f>
        <v>0</v>
      </c>
    </row>
    <row r="3470" spans="1:15" ht="75">
      <c r="A3470" s="3" t="s">
        <v>10</v>
      </c>
      <c r="B3470" s="3" t="s">
        <v>11</v>
      </c>
      <c r="C3470" s="4">
        <v>2026</v>
      </c>
      <c r="D3470" s="5" t="s">
        <v>12</v>
      </c>
      <c r="E3470" s="4">
        <v>476</v>
      </c>
      <c r="F3470" s="4" t="s">
        <v>3378</v>
      </c>
      <c r="G3470" s="4" t="s">
        <v>1347</v>
      </c>
      <c r="H3470" s="4" t="s">
        <v>15</v>
      </c>
      <c r="I3470" s="4" t="s">
        <v>3383</v>
      </c>
      <c r="J3470" s="4" t="s">
        <v>182</v>
      </c>
      <c r="K3470" s="4" t="s">
        <v>2954</v>
      </c>
      <c r="L3470" s="4" t="s">
        <v>3742</v>
      </c>
      <c r="M3470" s="4" t="s">
        <v>3750</v>
      </c>
      <c r="N3470" s="4" t="s">
        <v>3779</v>
      </c>
      <c r="O3470" s="17">
        <f>INDEX('список ID из СУЭ с должностями'!$A:$F,MATCH(E3470,'список ID из СУЭ с должностями'!$B:$B,0),5)</f>
        <v>0</v>
      </c>
    </row>
    <row r="3471" spans="1:15" ht="315">
      <c r="A3471" s="3" t="s">
        <v>10</v>
      </c>
      <c r="B3471" s="3" t="s">
        <v>11</v>
      </c>
      <c r="C3471" s="4">
        <v>2026</v>
      </c>
      <c r="D3471" s="5" t="s">
        <v>12</v>
      </c>
      <c r="E3471" s="4">
        <v>477</v>
      </c>
      <c r="F3471" s="4" t="s">
        <v>316</v>
      </c>
      <c r="G3471" s="4" t="s">
        <v>820</v>
      </c>
      <c r="H3471" s="4" t="s">
        <v>15</v>
      </c>
      <c r="I3471" s="4" t="s">
        <v>28</v>
      </c>
      <c r="J3471" s="4" t="s">
        <v>2196</v>
      </c>
      <c r="K3471" s="4" t="s">
        <v>38</v>
      </c>
      <c r="L3471" s="4" t="s">
        <v>3743</v>
      </c>
      <c r="M3471" s="4" t="s">
        <v>3746</v>
      </c>
      <c r="N3471" s="4" t="s">
        <v>3747</v>
      </c>
      <c r="O3471" s="17">
        <f>INDEX('список ID из СУЭ с должностями'!$A:$F,MATCH(E3471,'список ID из СУЭ с должностями'!$B:$B,0),5)</f>
        <v>0</v>
      </c>
    </row>
    <row r="3472" spans="1:15" ht="135">
      <c r="A3472" s="3" t="s">
        <v>10</v>
      </c>
      <c r="B3472" s="3" t="s">
        <v>11</v>
      </c>
      <c r="C3472" s="4">
        <v>2026</v>
      </c>
      <c r="D3472" s="5" t="s">
        <v>12</v>
      </c>
      <c r="E3472" s="4">
        <v>477</v>
      </c>
      <c r="F3472" s="4" t="s">
        <v>316</v>
      </c>
      <c r="G3472" s="4" t="s">
        <v>820</v>
      </c>
      <c r="H3472" s="4" t="s">
        <v>15</v>
      </c>
      <c r="I3472" s="4" t="s">
        <v>318</v>
      </c>
      <c r="J3472" s="4" t="s">
        <v>1205</v>
      </c>
      <c r="K3472" s="4" t="s">
        <v>25</v>
      </c>
      <c r="L3472" s="4" t="s">
        <v>3743</v>
      </c>
      <c r="M3472" s="4" t="s">
        <v>3746</v>
      </c>
      <c r="N3472" s="4" t="s">
        <v>3747</v>
      </c>
      <c r="O3472" s="17">
        <f>INDEX('список ID из СУЭ с должностями'!$A:$F,MATCH(E3472,'список ID из СУЭ с должностями'!$B:$B,0),5)</f>
        <v>0</v>
      </c>
    </row>
    <row r="3473" spans="1:15" ht="120">
      <c r="A3473" s="3" t="s">
        <v>10</v>
      </c>
      <c r="B3473" s="3" t="s">
        <v>11</v>
      </c>
      <c r="C3473" s="4">
        <v>2026</v>
      </c>
      <c r="D3473" s="5" t="s">
        <v>12</v>
      </c>
      <c r="E3473" s="4">
        <v>477</v>
      </c>
      <c r="F3473" s="4" t="s">
        <v>316</v>
      </c>
      <c r="G3473" s="4" t="s">
        <v>820</v>
      </c>
      <c r="H3473" s="4" t="s">
        <v>15</v>
      </c>
      <c r="I3473" s="4" t="s">
        <v>356</v>
      </c>
      <c r="J3473" s="4" t="s">
        <v>2200</v>
      </c>
      <c r="K3473" s="4" t="s">
        <v>25</v>
      </c>
      <c r="L3473" s="4" t="s">
        <v>3743</v>
      </c>
      <c r="M3473" s="4" t="s">
        <v>3746</v>
      </c>
      <c r="N3473" s="4" t="s">
        <v>3747</v>
      </c>
      <c r="O3473" s="17">
        <f>INDEX('список ID из СУЭ с должностями'!$A:$F,MATCH(E3473,'список ID из СУЭ с должностями'!$B:$B,0),5)</f>
        <v>0</v>
      </c>
    </row>
    <row r="3474" spans="1:15" ht="315">
      <c r="A3474" s="3" t="s">
        <v>10</v>
      </c>
      <c r="B3474" s="3" t="s">
        <v>11</v>
      </c>
      <c r="C3474" s="4">
        <v>2026</v>
      </c>
      <c r="D3474" s="5" t="s">
        <v>12</v>
      </c>
      <c r="E3474" s="4">
        <v>477</v>
      </c>
      <c r="F3474" s="4" t="s">
        <v>316</v>
      </c>
      <c r="G3474" s="4" t="s">
        <v>820</v>
      </c>
      <c r="H3474" s="4" t="s">
        <v>15</v>
      </c>
      <c r="I3474" s="4" t="s">
        <v>352</v>
      </c>
      <c r="J3474" s="4" t="s">
        <v>2199</v>
      </c>
      <c r="K3474" s="4" t="s">
        <v>25</v>
      </c>
      <c r="L3474" s="4" t="s">
        <v>3743</v>
      </c>
      <c r="M3474" s="4" t="s">
        <v>3746</v>
      </c>
      <c r="N3474" s="4" t="s">
        <v>3747</v>
      </c>
      <c r="O3474" s="17">
        <f>INDEX('список ID из СУЭ с должностями'!$A:$F,MATCH(E3474,'список ID из СУЭ с должностями'!$B:$B,0),5)</f>
        <v>0</v>
      </c>
    </row>
    <row r="3475" spans="1:15" ht="105">
      <c r="A3475" s="3" t="s">
        <v>10</v>
      </c>
      <c r="B3475" s="3" t="s">
        <v>11</v>
      </c>
      <c r="C3475" s="4">
        <v>2026</v>
      </c>
      <c r="D3475" s="5" t="s">
        <v>12</v>
      </c>
      <c r="E3475" s="4">
        <v>477</v>
      </c>
      <c r="F3475" s="4" t="s">
        <v>316</v>
      </c>
      <c r="G3475" s="4" t="s">
        <v>820</v>
      </c>
      <c r="H3475" s="4" t="s">
        <v>15</v>
      </c>
      <c r="I3475" s="4" t="s">
        <v>358</v>
      </c>
      <c r="J3475" s="4" t="s">
        <v>825</v>
      </c>
      <c r="K3475" s="4" t="s">
        <v>66</v>
      </c>
      <c r="L3475" s="4" t="s">
        <v>3743</v>
      </c>
      <c r="M3475" s="4" t="s">
        <v>3746</v>
      </c>
      <c r="N3475" s="4" t="s">
        <v>3747</v>
      </c>
      <c r="O3475" s="17">
        <f>INDEX('список ID из СУЭ с должностями'!$A:$F,MATCH(E3475,'список ID из СУЭ с должностями'!$B:$B,0),5)</f>
        <v>0</v>
      </c>
    </row>
    <row r="3476" spans="1:15" ht="165">
      <c r="A3476" s="3" t="s">
        <v>10</v>
      </c>
      <c r="B3476" s="3" t="s">
        <v>11</v>
      </c>
      <c r="C3476" s="4">
        <v>2026</v>
      </c>
      <c r="D3476" s="5" t="s">
        <v>12</v>
      </c>
      <c r="E3476" s="4">
        <v>477</v>
      </c>
      <c r="F3476" s="4" t="s">
        <v>316</v>
      </c>
      <c r="G3476" s="4" t="s">
        <v>820</v>
      </c>
      <c r="H3476" s="4" t="s">
        <v>15</v>
      </c>
      <c r="I3476" s="4" t="s">
        <v>325</v>
      </c>
      <c r="J3476" s="4" t="s">
        <v>827</v>
      </c>
      <c r="K3476" s="4" t="s">
        <v>35</v>
      </c>
      <c r="L3476" s="4" t="s">
        <v>3743</v>
      </c>
      <c r="M3476" s="4" t="s">
        <v>3746</v>
      </c>
      <c r="N3476" s="4" t="s">
        <v>3747</v>
      </c>
      <c r="O3476" s="17">
        <f>INDEX('список ID из СУЭ с должностями'!$A:$F,MATCH(E3476,'список ID из СУЭ с должностями'!$B:$B,0),5)</f>
        <v>0</v>
      </c>
    </row>
    <row r="3477" spans="1:15" ht="330">
      <c r="A3477" s="3" t="s">
        <v>10</v>
      </c>
      <c r="B3477" s="3" t="s">
        <v>11</v>
      </c>
      <c r="C3477" s="4">
        <v>2026</v>
      </c>
      <c r="D3477" s="5" t="s">
        <v>12</v>
      </c>
      <c r="E3477" s="4">
        <v>477</v>
      </c>
      <c r="F3477" s="4" t="s">
        <v>316</v>
      </c>
      <c r="G3477" s="4" t="s">
        <v>820</v>
      </c>
      <c r="H3477" s="4" t="s">
        <v>15</v>
      </c>
      <c r="I3477" s="4" t="s">
        <v>323</v>
      </c>
      <c r="J3477" s="4" t="s">
        <v>826</v>
      </c>
      <c r="K3477" s="4" t="s">
        <v>151</v>
      </c>
      <c r="L3477" s="4" t="s">
        <v>3743</v>
      </c>
      <c r="M3477" s="4" t="s">
        <v>3746</v>
      </c>
      <c r="N3477" s="4" t="s">
        <v>3747</v>
      </c>
      <c r="O3477" s="17">
        <f>INDEX('список ID из СУЭ с должностями'!$A:$F,MATCH(E3477,'список ID из СУЭ с должностями'!$B:$B,0),5)</f>
        <v>0</v>
      </c>
    </row>
    <row r="3478" spans="1:15" ht="409.5">
      <c r="A3478" s="3" t="s">
        <v>10</v>
      </c>
      <c r="B3478" s="3" t="s">
        <v>11</v>
      </c>
      <c r="C3478" s="4">
        <v>2026</v>
      </c>
      <c r="D3478" s="5" t="s">
        <v>12</v>
      </c>
      <c r="E3478" s="4">
        <v>477</v>
      </c>
      <c r="F3478" s="4" t="s">
        <v>316</v>
      </c>
      <c r="G3478" s="4" t="s">
        <v>820</v>
      </c>
      <c r="H3478" s="4" t="s">
        <v>15</v>
      </c>
      <c r="I3478" s="4" t="s">
        <v>354</v>
      </c>
      <c r="J3478" s="4" t="s">
        <v>2201</v>
      </c>
      <c r="K3478" s="4" t="s">
        <v>25</v>
      </c>
      <c r="L3478" s="4" t="s">
        <v>3743</v>
      </c>
      <c r="M3478" s="4" t="s">
        <v>3746</v>
      </c>
      <c r="N3478" s="4" t="s">
        <v>3747</v>
      </c>
      <c r="O3478" s="17">
        <f>INDEX('список ID из СУЭ с должностями'!$A:$F,MATCH(E3478,'список ID из СУЭ с должностями'!$B:$B,0),5)</f>
        <v>0</v>
      </c>
    </row>
    <row r="3479" spans="1:15" ht="45">
      <c r="A3479" s="3" t="s">
        <v>10</v>
      </c>
      <c r="B3479" s="3" t="s">
        <v>11</v>
      </c>
      <c r="C3479" s="4">
        <v>2026</v>
      </c>
      <c r="D3479" s="5" t="s">
        <v>12</v>
      </c>
      <c r="E3479" s="4">
        <v>478</v>
      </c>
      <c r="F3479" s="4" t="s">
        <v>307</v>
      </c>
      <c r="G3479" s="4" t="s">
        <v>1362</v>
      </c>
      <c r="H3479" s="4" t="s">
        <v>15</v>
      </c>
      <c r="I3479" s="4" t="s">
        <v>3384</v>
      </c>
      <c r="J3479" s="4" t="s">
        <v>3385</v>
      </c>
      <c r="K3479" s="4" t="s">
        <v>23</v>
      </c>
      <c r="L3479" s="4" t="s">
        <v>3743</v>
      </c>
      <c r="M3479" s="4" t="s">
        <v>3748</v>
      </c>
      <c r="N3479" s="4" t="s">
        <v>3752</v>
      </c>
      <c r="O3479" s="17">
        <f>INDEX('список ID из СУЭ с должностями'!$A:$F,MATCH(E3479,'список ID из СУЭ с должностями'!$B:$B,0),5)</f>
        <v>0</v>
      </c>
    </row>
    <row r="3480" spans="1:15" ht="45">
      <c r="A3480" s="3" t="s">
        <v>10</v>
      </c>
      <c r="B3480" s="3" t="s">
        <v>11</v>
      </c>
      <c r="C3480" s="4">
        <v>2026</v>
      </c>
      <c r="D3480" s="5" t="s">
        <v>12</v>
      </c>
      <c r="E3480" s="4">
        <v>478</v>
      </c>
      <c r="F3480" s="4" t="s">
        <v>307</v>
      </c>
      <c r="G3480" s="4" t="s">
        <v>1362</v>
      </c>
      <c r="H3480" s="4" t="s">
        <v>15</v>
      </c>
      <c r="I3480" s="4" t="s">
        <v>3386</v>
      </c>
      <c r="J3480" s="4" t="s">
        <v>3387</v>
      </c>
      <c r="K3480" s="4" t="s">
        <v>2144</v>
      </c>
      <c r="L3480" s="4" t="s">
        <v>3742</v>
      </c>
      <c r="M3480" s="4" t="s">
        <v>3746</v>
      </c>
      <c r="N3480" s="4" t="s">
        <v>3768</v>
      </c>
      <c r="O3480" s="17">
        <f>INDEX('список ID из СУЭ с должностями'!$A:$F,MATCH(E3480,'список ID из СУЭ с должностями'!$B:$B,0),5)</f>
        <v>0</v>
      </c>
    </row>
    <row r="3481" spans="1:15" ht="345">
      <c r="A3481" s="3" t="s">
        <v>10</v>
      </c>
      <c r="B3481" s="3" t="s">
        <v>11</v>
      </c>
      <c r="C3481" s="4">
        <v>2026</v>
      </c>
      <c r="D3481" s="5" t="s">
        <v>12</v>
      </c>
      <c r="E3481" s="4">
        <v>478</v>
      </c>
      <c r="F3481" s="4" t="s">
        <v>307</v>
      </c>
      <c r="G3481" s="4" t="s">
        <v>1362</v>
      </c>
      <c r="H3481" s="4" t="s">
        <v>15</v>
      </c>
      <c r="I3481" s="4" t="s">
        <v>3388</v>
      </c>
      <c r="J3481" s="4" t="s">
        <v>3389</v>
      </c>
      <c r="K3481" s="4" t="s">
        <v>35</v>
      </c>
      <c r="L3481" s="4" t="s">
        <v>3743</v>
      </c>
      <c r="M3481" s="4" t="s">
        <v>3746</v>
      </c>
      <c r="N3481" s="4" t="s">
        <v>3747</v>
      </c>
      <c r="O3481" s="17">
        <f>INDEX('список ID из СУЭ с должностями'!$A:$F,MATCH(E3481,'список ID из СУЭ с должностями'!$B:$B,0),5)</f>
        <v>0</v>
      </c>
    </row>
    <row r="3482" spans="1:15" ht="60">
      <c r="A3482" s="3" t="s">
        <v>10</v>
      </c>
      <c r="B3482" s="3" t="s">
        <v>11</v>
      </c>
      <c r="C3482" s="4">
        <v>2026</v>
      </c>
      <c r="D3482" s="5" t="s">
        <v>12</v>
      </c>
      <c r="E3482" s="4">
        <v>478</v>
      </c>
      <c r="F3482" s="4" t="s">
        <v>307</v>
      </c>
      <c r="G3482" s="4" t="s">
        <v>1362</v>
      </c>
      <c r="H3482" s="4" t="s">
        <v>15</v>
      </c>
      <c r="I3482" s="4" t="s">
        <v>3390</v>
      </c>
      <c r="J3482" s="4" t="s">
        <v>3391</v>
      </c>
      <c r="K3482" s="4" t="s">
        <v>30</v>
      </c>
      <c r="L3482" s="4" t="s">
        <v>3742</v>
      </c>
      <c r="M3482" s="4" t="s">
        <v>3746</v>
      </c>
      <c r="N3482" s="4" t="s">
        <v>3747</v>
      </c>
      <c r="O3482" s="17">
        <f>INDEX('список ID из СУЭ с должностями'!$A:$F,MATCH(E3482,'список ID из СУЭ с должностями'!$B:$B,0),5)</f>
        <v>0</v>
      </c>
    </row>
    <row r="3483" spans="1:15" ht="45">
      <c r="A3483" s="3" t="s">
        <v>10</v>
      </c>
      <c r="B3483" s="3" t="s">
        <v>11</v>
      </c>
      <c r="C3483" s="4">
        <v>2026</v>
      </c>
      <c r="D3483" s="5" t="s">
        <v>12</v>
      </c>
      <c r="E3483" s="4">
        <v>478</v>
      </c>
      <c r="F3483" s="4" t="s">
        <v>307</v>
      </c>
      <c r="G3483" s="4" t="s">
        <v>1362</v>
      </c>
      <c r="H3483" s="4" t="s">
        <v>15</v>
      </c>
      <c r="I3483" s="4" t="s">
        <v>3392</v>
      </c>
      <c r="J3483" s="4" t="s">
        <v>1773</v>
      </c>
      <c r="K3483" s="4" t="s">
        <v>2144</v>
      </c>
      <c r="L3483" s="4" t="s">
        <v>3742</v>
      </c>
      <c r="M3483" s="4" t="s">
        <v>3746</v>
      </c>
      <c r="N3483" s="4" t="s">
        <v>3768</v>
      </c>
      <c r="O3483" s="17">
        <f>INDEX('список ID из СУЭ с должностями'!$A:$F,MATCH(E3483,'список ID из СУЭ с должностями'!$B:$B,0),5)</f>
        <v>0</v>
      </c>
    </row>
    <row r="3484" spans="1:15" ht="45">
      <c r="A3484" s="3" t="s">
        <v>10</v>
      </c>
      <c r="B3484" s="3" t="s">
        <v>11</v>
      </c>
      <c r="C3484" s="4">
        <v>2026</v>
      </c>
      <c r="D3484" s="5" t="s">
        <v>12</v>
      </c>
      <c r="E3484" s="4">
        <v>478</v>
      </c>
      <c r="F3484" s="4" t="s">
        <v>307</v>
      </c>
      <c r="G3484" s="4" t="s">
        <v>1362</v>
      </c>
      <c r="H3484" s="4" t="s">
        <v>15</v>
      </c>
      <c r="I3484" s="4" t="s">
        <v>3393</v>
      </c>
      <c r="J3484" s="4" t="s">
        <v>1773</v>
      </c>
      <c r="K3484" s="4" t="s">
        <v>2144</v>
      </c>
      <c r="L3484" s="4" t="s">
        <v>3742</v>
      </c>
      <c r="M3484" s="4" t="s">
        <v>3746</v>
      </c>
      <c r="N3484" s="4" t="s">
        <v>3768</v>
      </c>
      <c r="O3484" s="17">
        <f>INDEX('список ID из СУЭ с должностями'!$A:$F,MATCH(E3484,'список ID из СУЭ с должностями'!$B:$B,0),5)</f>
        <v>0</v>
      </c>
    </row>
    <row r="3485" spans="1:15" ht="60">
      <c r="A3485" s="3" t="s">
        <v>10</v>
      </c>
      <c r="B3485" s="3" t="s">
        <v>11</v>
      </c>
      <c r="C3485" s="4">
        <v>2026</v>
      </c>
      <c r="D3485" s="5" t="s">
        <v>12</v>
      </c>
      <c r="E3485" s="4">
        <v>478</v>
      </c>
      <c r="F3485" s="4" t="s">
        <v>307</v>
      </c>
      <c r="G3485" s="4" t="s">
        <v>1362</v>
      </c>
      <c r="H3485" s="4" t="s">
        <v>15</v>
      </c>
      <c r="I3485" s="4" t="s">
        <v>3394</v>
      </c>
      <c r="J3485" s="4" t="s">
        <v>3395</v>
      </c>
      <c r="K3485" s="4" t="s">
        <v>25</v>
      </c>
      <c r="L3485" s="4" t="s">
        <v>3743</v>
      </c>
      <c r="M3485" s="4" t="s">
        <v>3746</v>
      </c>
      <c r="N3485" s="4" t="s">
        <v>3747</v>
      </c>
      <c r="O3485" s="17">
        <f>INDEX('список ID из СУЭ с должностями'!$A:$F,MATCH(E3485,'список ID из СУЭ с должностями'!$B:$B,0),5)</f>
        <v>0</v>
      </c>
    </row>
    <row r="3486" spans="1:15" ht="75">
      <c r="A3486" s="3" t="s">
        <v>10</v>
      </c>
      <c r="B3486" s="3" t="s">
        <v>11</v>
      </c>
      <c r="C3486" s="4">
        <v>2026</v>
      </c>
      <c r="D3486" s="5" t="s">
        <v>12</v>
      </c>
      <c r="E3486" s="4">
        <v>479</v>
      </c>
      <c r="F3486" s="4" t="s">
        <v>3396</v>
      </c>
      <c r="G3486" s="4" t="s">
        <v>558</v>
      </c>
      <c r="H3486" s="4" t="s">
        <v>15</v>
      </c>
      <c r="I3486" s="4" t="s">
        <v>35</v>
      </c>
      <c r="J3486" s="4">
        <v>0</v>
      </c>
      <c r="K3486" s="4" t="s">
        <v>35</v>
      </c>
      <c r="L3486" s="4" t="s">
        <v>3743</v>
      </c>
      <c r="M3486" s="4" t="s">
        <v>3746</v>
      </c>
      <c r="N3486" s="4" t="s">
        <v>3747</v>
      </c>
      <c r="O3486" s="17">
        <f>INDEX('список ID из СУЭ с должностями'!$A:$F,MATCH(E3486,'список ID из СУЭ с должностями'!$B:$B,0),5)</f>
        <v>0</v>
      </c>
    </row>
    <row r="3487" spans="1:15" ht="75">
      <c r="A3487" s="3" t="s">
        <v>10</v>
      </c>
      <c r="B3487" s="3" t="s">
        <v>11</v>
      </c>
      <c r="C3487" s="4">
        <v>2026</v>
      </c>
      <c r="D3487" s="5" t="s">
        <v>12</v>
      </c>
      <c r="E3487" s="4">
        <v>479</v>
      </c>
      <c r="F3487" s="4" t="s">
        <v>3396</v>
      </c>
      <c r="G3487" s="4" t="s">
        <v>558</v>
      </c>
      <c r="H3487" s="4" t="s">
        <v>41</v>
      </c>
      <c r="I3487" s="4" t="s">
        <v>3397</v>
      </c>
      <c r="J3487" s="4" t="s">
        <v>3398</v>
      </c>
      <c r="K3487" s="4" t="s">
        <v>23</v>
      </c>
      <c r="L3487" s="4" t="s">
        <v>3743</v>
      </c>
      <c r="M3487" s="4" t="s">
        <v>3748</v>
      </c>
      <c r="N3487" s="4" t="s">
        <v>3752</v>
      </c>
      <c r="O3487" s="17">
        <f>INDEX('список ID из СУЭ с должностями'!$A:$F,MATCH(E3487,'список ID из СУЭ с должностями'!$B:$B,0),5)</f>
        <v>0</v>
      </c>
    </row>
    <row r="3488" spans="1:15" ht="75">
      <c r="A3488" s="3" t="s">
        <v>10</v>
      </c>
      <c r="B3488" s="3" t="s">
        <v>11</v>
      </c>
      <c r="C3488" s="4">
        <v>2026</v>
      </c>
      <c r="D3488" s="5" t="s">
        <v>12</v>
      </c>
      <c r="E3488" s="4">
        <v>479</v>
      </c>
      <c r="F3488" s="4" t="s">
        <v>3396</v>
      </c>
      <c r="G3488" s="4" t="s">
        <v>558</v>
      </c>
      <c r="H3488" s="4" t="s">
        <v>41</v>
      </c>
      <c r="I3488" s="4" t="s">
        <v>3399</v>
      </c>
      <c r="J3488" s="4" t="s">
        <v>3400</v>
      </c>
      <c r="K3488" s="4" t="s">
        <v>23</v>
      </c>
      <c r="L3488" s="4" t="s">
        <v>3743</v>
      </c>
      <c r="M3488" s="4" t="s">
        <v>3748</v>
      </c>
      <c r="N3488" s="4" t="s">
        <v>3752</v>
      </c>
      <c r="O3488" s="17">
        <f>INDEX('список ID из СУЭ с должностями'!$A:$F,MATCH(E3488,'список ID из СУЭ с должностями'!$B:$B,0),5)</f>
        <v>0</v>
      </c>
    </row>
    <row r="3489" spans="1:15" ht="75">
      <c r="A3489" s="3" t="s">
        <v>10</v>
      </c>
      <c r="B3489" s="3" t="s">
        <v>11</v>
      </c>
      <c r="C3489" s="4">
        <v>2026</v>
      </c>
      <c r="D3489" s="5" t="s">
        <v>12</v>
      </c>
      <c r="E3489" s="4">
        <v>479</v>
      </c>
      <c r="F3489" s="4" t="s">
        <v>3396</v>
      </c>
      <c r="G3489" s="4" t="s">
        <v>558</v>
      </c>
      <c r="H3489" s="4" t="s">
        <v>15</v>
      </c>
      <c r="I3489" s="4" t="s">
        <v>203</v>
      </c>
      <c r="J3489" s="4">
        <v>0</v>
      </c>
      <c r="K3489" s="4" t="s">
        <v>35</v>
      </c>
      <c r="L3489" s="4" t="s">
        <v>3743</v>
      </c>
      <c r="M3489" s="4" t="s">
        <v>3746</v>
      </c>
      <c r="N3489" s="4" t="s">
        <v>3747</v>
      </c>
      <c r="O3489" s="17">
        <f>INDEX('список ID из СУЭ с должностями'!$A:$F,MATCH(E3489,'список ID из СУЭ с должностями'!$B:$B,0),5)</f>
        <v>0</v>
      </c>
    </row>
    <row r="3490" spans="1:15" ht="75">
      <c r="A3490" s="3" t="s">
        <v>10</v>
      </c>
      <c r="B3490" s="3" t="s">
        <v>11</v>
      </c>
      <c r="C3490" s="4">
        <v>2026</v>
      </c>
      <c r="D3490" s="5" t="s">
        <v>12</v>
      </c>
      <c r="E3490" s="4">
        <v>479</v>
      </c>
      <c r="F3490" s="4" t="s">
        <v>3396</v>
      </c>
      <c r="G3490" s="4" t="s">
        <v>558</v>
      </c>
      <c r="H3490" s="4" t="s">
        <v>21</v>
      </c>
      <c r="I3490" s="4" t="s">
        <v>298</v>
      </c>
      <c r="J3490" s="4" t="s">
        <v>3072</v>
      </c>
      <c r="K3490" s="4" t="s">
        <v>66</v>
      </c>
      <c r="L3490" s="4" t="s">
        <v>3743</v>
      </c>
      <c r="M3490" s="4" t="s">
        <v>3746</v>
      </c>
      <c r="N3490" s="4" t="s">
        <v>3747</v>
      </c>
      <c r="O3490" s="17">
        <f>INDEX('список ID из СУЭ с должностями'!$A:$F,MATCH(E3490,'список ID из СУЭ с должностями'!$B:$B,0),5)</f>
        <v>0</v>
      </c>
    </row>
    <row r="3491" spans="1:15" ht="75">
      <c r="A3491" s="3" t="s">
        <v>10</v>
      </c>
      <c r="B3491" s="3" t="s">
        <v>11</v>
      </c>
      <c r="C3491" s="4">
        <v>2026</v>
      </c>
      <c r="D3491" s="5" t="s">
        <v>12</v>
      </c>
      <c r="E3491" s="4">
        <v>479</v>
      </c>
      <c r="F3491" s="4" t="s">
        <v>3396</v>
      </c>
      <c r="G3491" s="4" t="s">
        <v>558</v>
      </c>
      <c r="H3491" s="4" t="s">
        <v>15</v>
      </c>
      <c r="I3491" s="4" t="s">
        <v>188</v>
      </c>
      <c r="J3491" s="4">
        <v>0</v>
      </c>
      <c r="K3491" s="4" t="s">
        <v>188</v>
      </c>
      <c r="L3491" s="4" t="s">
        <v>3743</v>
      </c>
      <c r="M3491" s="4" t="s">
        <v>3746</v>
      </c>
      <c r="N3491" s="4" t="s">
        <v>3747</v>
      </c>
      <c r="O3491" s="17">
        <f>INDEX('список ID из СУЭ с должностями'!$A:$F,MATCH(E3491,'список ID из СУЭ с должностями'!$B:$B,0),5)</f>
        <v>0</v>
      </c>
    </row>
    <row r="3492" spans="1:15" ht="75">
      <c r="A3492" s="3" t="s">
        <v>10</v>
      </c>
      <c r="B3492" s="3" t="s">
        <v>11</v>
      </c>
      <c r="C3492" s="4">
        <v>2026</v>
      </c>
      <c r="D3492" s="5" t="s">
        <v>12</v>
      </c>
      <c r="E3492" s="4">
        <v>479</v>
      </c>
      <c r="F3492" s="4" t="s">
        <v>3396</v>
      </c>
      <c r="G3492" s="4" t="s">
        <v>558</v>
      </c>
      <c r="H3492" s="4" t="s">
        <v>21</v>
      </c>
      <c r="I3492" s="4" t="s">
        <v>559</v>
      </c>
      <c r="J3492" s="4" t="s">
        <v>560</v>
      </c>
      <c r="K3492" s="4" t="s">
        <v>25</v>
      </c>
      <c r="L3492" s="4" t="s">
        <v>3743</v>
      </c>
      <c r="M3492" s="4" t="s">
        <v>3746</v>
      </c>
      <c r="N3492" s="4" t="s">
        <v>3747</v>
      </c>
      <c r="O3492" s="17">
        <f>INDEX('список ID из СУЭ с должностями'!$A:$F,MATCH(E3492,'список ID из СУЭ с должностями'!$B:$B,0),5)</f>
        <v>0</v>
      </c>
    </row>
    <row r="3493" spans="1:15" ht="120">
      <c r="A3493" s="3" t="s">
        <v>10</v>
      </c>
      <c r="B3493" s="3" t="s">
        <v>11</v>
      </c>
      <c r="C3493" s="4">
        <v>2026</v>
      </c>
      <c r="D3493" s="5" t="s">
        <v>12</v>
      </c>
      <c r="E3493" s="4">
        <v>480</v>
      </c>
      <c r="F3493" s="4" t="s">
        <v>724</v>
      </c>
      <c r="G3493" s="4" t="s">
        <v>725</v>
      </c>
      <c r="H3493" s="4" t="s">
        <v>21</v>
      </c>
      <c r="I3493" s="4" t="s">
        <v>3401</v>
      </c>
      <c r="J3493" s="4" t="s">
        <v>3402</v>
      </c>
      <c r="K3493" s="4" t="s">
        <v>30</v>
      </c>
      <c r="L3493" s="4" t="s">
        <v>3743</v>
      </c>
      <c r="M3493" s="4" t="s">
        <v>3746</v>
      </c>
      <c r="N3493" s="4" t="s">
        <v>3747</v>
      </c>
      <c r="O3493" s="17">
        <f>INDEX('список ID из СУЭ с должностями'!$A:$F,MATCH(E3493,'список ID из СУЭ с должностями'!$B:$B,0),5)</f>
        <v>0</v>
      </c>
    </row>
    <row r="3494" spans="1:15" ht="90">
      <c r="A3494" s="3" t="s">
        <v>10</v>
      </c>
      <c r="B3494" s="3" t="s">
        <v>11</v>
      </c>
      <c r="C3494" s="4">
        <v>2026</v>
      </c>
      <c r="D3494" s="5" t="s">
        <v>12</v>
      </c>
      <c r="E3494" s="4">
        <v>480</v>
      </c>
      <c r="F3494" s="4" t="s">
        <v>724</v>
      </c>
      <c r="G3494" s="4" t="s">
        <v>725</v>
      </c>
      <c r="H3494" s="4" t="s">
        <v>15</v>
      </c>
      <c r="I3494" s="4" t="s">
        <v>730</v>
      </c>
      <c r="J3494" s="4" t="s">
        <v>1103</v>
      </c>
      <c r="K3494" s="4" t="s">
        <v>52</v>
      </c>
      <c r="L3494" s="4" t="s">
        <v>3742</v>
      </c>
      <c r="M3494" s="4" t="s">
        <v>3746</v>
      </c>
      <c r="N3494" s="4" t="s">
        <v>3747</v>
      </c>
      <c r="O3494" s="17">
        <f>INDEX('список ID из СУЭ с должностями'!$A:$F,MATCH(E3494,'список ID из СУЭ с должностями'!$B:$B,0),5)</f>
        <v>0</v>
      </c>
    </row>
    <row r="3495" spans="1:15" ht="90">
      <c r="A3495" s="3" t="s">
        <v>10</v>
      </c>
      <c r="B3495" s="3" t="s">
        <v>11</v>
      </c>
      <c r="C3495" s="4">
        <v>2026</v>
      </c>
      <c r="D3495" s="5" t="s">
        <v>12</v>
      </c>
      <c r="E3495" s="4">
        <v>480</v>
      </c>
      <c r="F3495" s="4" t="s">
        <v>724</v>
      </c>
      <c r="G3495" s="4" t="s">
        <v>725</v>
      </c>
      <c r="H3495" s="4" t="s">
        <v>15</v>
      </c>
      <c r="I3495" s="4" t="s">
        <v>734</v>
      </c>
      <c r="J3495" s="4" t="s">
        <v>182</v>
      </c>
      <c r="K3495" s="4" t="s">
        <v>52</v>
      </c>
      <c r="L3495" s="4" t="s">
        <v>3742</v>
      </c>
      <c r="M3495" s="4" t="s">
        <v>3746</v>
      </c>
      <c r="N3495" s="4" t="s">
        <v>3747</v>
      </c>
      <c r="O3495" s="17">
        <f>INDEX('список ID из СУЭ с должностями'!$A:$F,MATCH(E3495,'список ID из СУЭ с должностями'!$B:$B,0),5)</f>
        <v>0</v>
      </c>
    </row>
    <row r="3496" spans="1:15" ht="90">
      <c r="A3496" s="3" t="s">
        <v>10</v>
      </c>
      <c r="B3496" s="3" t="s">
        <v>11</v>
      </c>
      <c r="C3496" s="4">
        <v>2026</v>
      </c>
      <c r="D3496" s="5" t="s">
        <v>12</v>
      </c>
      <c r="E3496" s="4">
        <v>480</v>
      </c>
      <c r="F3496" s="4" t="s">
        <v>724</v>
      </c>
      <c r="G3496" s="4" t="s">
        <v>725</v>
      </c>
      <c r="H3496" s="4" t="s">
        <v>15</v>
      </c>
      <c r="I3496" s="4" t="s">
        <v>735</v>
      </c>
      <c r="J3496" s="4" t="s">
        <v>132</v>
      </c>
      <c r="K3496" s="4" t="s">
        <v>52</v>
      </c>
      <c r="L3496" s="4" t="s">
        <v>3742</v>
      </c>
      <c r="M3496" s="4" t="s">
        <v>3746</v>
      </c>
      <c r="N3496" s="4" t="s">
        <v>3747</v>
      </c>
      <c r="O3496" s="17">
        <f>INDEX('список ID из СУЭ с должностями'!$A:$F,MATCH(E3496,'список ID из СУЭ с должностями'!$B:$B,0),5)</f>
        <v>0</v>
      </c>
    </row>
    <row r="3497" spans="1:15" ht="90">
      <c r="A3497" s="3" t="s">
        <v>10</v>
      </c>
      <c r="B3497" s="3" t="s">
        <v>11</v>
      </c>
      <c r="C3497" s="4">
        <v>2026</v>
      </c>
      <c r="D3497" s="5" t="s">
        <v>12</v>
      </c>
      <c r="E3497" s="4">
        <v>480</v>
      </c>
      <c r="F3497" s="4" t="s">
        <v>724</v>
      </c>
      <c r="G3497" s="4" t="s">
        <v>725</v>
      </c>
      <c r="H3497" s="4" t="s">
        <v>15</v>
      </c>
      <c r="I3497" s="4" t="s">
        <v>3403</v>
      </c>
      <c r="J3497" s="4" t="s">
        <v>1666</v>
      </c>
      <c r="K3497" s="4" t="s">
        <v>52</v>
      </c>
      <c r="L3497" s="4" t="s">
        <v>3742</v>
      </c>
      <c r="M3497" s="4" t="s">
        <v>3746</v>
      </c>
      <c r="N3497" s="4" t="s">
        <v>3747</v>
      </c>
      <c r="O3497" s="17">
        <f>INDEX('список ID из СУЭ с должностями'!$A:$F,MATCH(E3497,'список ID из СУЭ с должностями'!$B:$B,0),5)</f>
        <v>0</v>
      </c>
    </row>
    <row r="3498" spans="1:15" ht="90">
      <c r="A3498" s="3" t="s">
        <v>10</v>
      </c>
      <c r="B3498" s="3" t="s">
        <v>11</v>
      </c>
      <c r="C3498" s="4">
        <v>2026</v>
      </c>
      <c r="D3498" s="5" t="s">
        <v>12</v>
      </c>
      <c r="E3498" s="4">
        <v>480</v>
      </c>
      <c r="F3498" s="4" t="s">
        <v>724</v>
      </c>
      <c r="G3498" s="4" t="s">
        <v>725</v>
      </c>
      <c r="H3498" s="4" t="s">
        <v>15</v>
      </c>
      <c r="I3498" s="4" t="s">
        <v>3404</v>
      </c>
      <c r="J3498" s="4" t="s">
        <v>196</v>
      </c>
      <c r="K3498" s="4" t="s">
        <v>52</v>
      </c>
      <c r="L3498" s="4" t="s">
        <v>3742</v>
      </c>
      <c r="M3498" s="4" t="s">
        <v>3746</v>
      </c>
      <c r="N3498" s="4" t="s">
        <v>3747</v>
      </c>
      <c r="O3498" s="17">
        <f>INDEX('список ID из СУЭ с должностями'!$A:$F,MATCH(E3498,'список ID из СУЭ с должностями'!$B:$B,0),5)</f>
        <v>0</v>
      </c>
    </row>
    <row r="3499" spans="1:15" ht="90">
      <c r="A3499" s="3" t="s">
        <v>10</v>
      </c>
      <c r="B3499" s="3" t="s">
        <v>11</v>
      </c>
      <c r="C3499" s="4">
        <v>2026</v>
      </c>
      <c r="D3499" s="5" t="s">
        <v>12</v>
      </c>
      <c r="E3499" s="4">
        <v>480</v>
      </c>
      <c r="F3499" s="4" t="s">
        <v>724</v>
      </c>
      <c r="G3499" s="4" t="s">
        <v>725</v>
      </c>
      <c r="H3499" s="4" t="s">
        <v>15</v>
      </c>
      <c r="I3499" s="4" t="s">
        <v>3405</v>
      </c>
      <c r="J3499" s="4" t="s">
        <v>182</v>
      </c>
      <c r="K3499" s="4" t="s">
        <v>52</v>
      </c>
      <c r="L3499" s="4" t="s">
        <v>3742</v>
      </c>
      <c r="M3499" s="4" t="s">
        <v>3746</v>
      </c>
      <c r="N3499" s="4" t="s">
        <v>3747</v>
      </c>
      <c r="O3499" s="17">
        <f>INDEX('список ID из СУЭ с должностями'!$A:$F,MATCH(E3499,'список ID из СУЭ с должностями'!$B:$B,0),5)</f>
        <v>0</v>
      </c>
    </row>
    <row r="3500" spans="1:15" ht="90">
      <c r="A3500" s="3" t="s">
        <v>10</v>
      </c>
      <c r="B3500" s="3" t="s">
        <v>11</v>
      </c>
      <c r="C3500" s="4">
        <v>2026</v>
      </c>
      <c r="D3500" s="5" t="s">
        <v>12</v>
      </c>
      <c r="E3500" s="4">
        <v>480</v>
      </c>
      <c r="F3500" s="4" t="s">
        <v>724</v>
      </c>
      <c r="G3500" s="4" t="s">
        <v>725</v>
      </c>
      <c r="H3500" s="4" t="s">
        <v>15</v>
      </c>
      <c r="I3500" s="4" t="s">
        <v>3406</v>
      </c>
      <c r="J3500" s="4" t="s">
        <v>3407</v>
      </c>
      <c r="K3500" s="4" t="s">
        <v>35</v>
      </c>
      <c r="L3500" s="4" t="s">
        <v>3743</v>
      </c>
      <c r="M3500" s="4" t="s">
        <v>3746</v>
      </c>
      <c r="N3500" s="4" t="s">
        <v>3747</v>
      </c>
      <c r="O3500" s="17">
        <f>INDEX('список ID из СУЭ с должностями'!$A:$F,MATCH(E3500,'список ID из СУЭ с должностями'!$B:$B,0),5)</f>
        <v>0</v>
      </c>
    </row>
    <row r="3501" spans="1:15" ht="90">
      <c r="A3501" s="3" t="s">
        <v>10</v>
      </c>
      <c r="B3501" s="3" t="s">
        <v>11</v>
      </c>
      <c r="C3501" s="4">
        <v>2026</v>
      </c>
      <c r="D3501" s="5" t="s">
        <v>12</v>
      </c>
      <c r="E3501" s="4">
        <v>480</v>
      </c>
      <c r="F3501" s="4" t="s">
        <v>724</v>
      </c>
      <c r="G3501" s="4" t="s">
        <v>725</v>
      </c>
      <c r="H3501" s="4" t="s">
        <v>15</v>
      </c>
      <c r="I3501" s="4" t="s">
        <v>2897</v>
      </c>
      <c r="J3501" s="4" t="s">
        <v>182</v>
      </c>
      <c r="K3501" s="4" t="s">
        <v>151</v>
      </c>
      <c r="L3501" s="4" t="s">
        <v>3742</v>
      </c>
      <c r="M3501" s="4" t="s">
        <v>3746</v>
      </c>
      <c r="N3501" s="4" t="s">
        <v>3747</v>
      </c>
      <c r="O3501" s="17">
        <f>INDEX('список ID из СУЭ с должностями'!$A:$F,MATCH(E3501,'список ID из СУЭ с должностями'!$B:$B,0),5)</f>
        <v>0</v>
      </c>
    </row>
    <row r="3502" spans="1:15" ht="90">
      <c r="A3502" s="3" t="s">
        <v>10</v>
      </c>
      <c r="B3502" s="3" t="s">
        <v>11</v>
      </c>
      <c r="C3502" s="4">
        <v>2026</v>
      </c>
      <c r="D3502" s="5" t="s">
        <v>12</v>
      </c>
      <c r="E3502" s="4">
        <v>480</v>
      </c>
      <c r="F3502" s="4" t="s">
        <v>724</v>
      </c>
      <c r="G3502" s="4" t="s">
        <v>725</v>
      </c>
      <c r="H3502" s="4" t="s">
        <v>15</v>
      </c>
      <c r="I3502" s="4" t="s">
        <v>2896</v>
      </c>
      <c r="J3502" s="4" t="s">
        <v>182</v>
      </c>
      <c r="K3502" s="4" t="s">
        <v>151</v>
      </c>
      <c r="L3502" s="4" t="s">
        <v>3742</v>
      </c>
      <c r="M3502" s="4" t="s">
        <v>3746</v>
      </c>
      <c r="N3502" s="4" t="s">
        <v>3747</v>
      </c>
      <c r="O3502" s="17">
        <f>INDEX('список ID из СУЭ с должностями'!$A:$F,MATCH(E3502,'список ID из СУЭ с должностями'!$B:$B,0),5)</f>
        <v>0</v>
      </c>
    </row>
    <row r="3503" spans="1:15" ht="90">
      <c r="A3503" s="3" t="s">
        <v>10</v>
      </c>
      <c r="B3503" s="3" t="s">
        <v>11</v>
      </c>
      <c r="C3503" s="4">
        <v>2026</v>
      </c>
      <c r="D3503" s="5" t="s">
        <v>12</v>
      </c>
      <c r="E3503" s="4">
        <v>481</v>
      </c>
      <c r="F3503" s="4" t="s">
        <v>766</v>
      </c>
      <c r="G3503" s="4" t="s">
        <v>725</v>
      </c>
      <c r="H3503" s="4" t="s">
        <v>15</v>
      </c>
      <c r="I3503" s="4" t="s">
        <v>767</v>
      </c>
      <c r="J3503" s="4" t="s">
        <v>196</v>
      </c>
      <c r="K3503" s="4" t="s">
        <v>30</v>
      </c>
      <c r="L3503" s="4" t="s">
        <v>3742</v>
      </c>
      <c r="M3503" s="4" t="s">
        <v>3746</v>
      </c>
      <c r="N3503" s="4" t="s">
        <v>3747</v>
      </c>
      <c r="O3503" s="17">
        <f>INDEX('список ID из СУЭ с должностями'!$A:$F,MATCH(E3503,'список ID из СУЭ с должностями'!$B:$B,0),5)</f>
        <v>0</v>
      </c>
    </row>
    <row r="3504" spans="1:15" ht="90">
      <c r="A3504" s="3" t="s">
        <v>10</v>
      </c>
      <c r="B3504" s="3" t="s">
        <v>11</v>
      </c>
      <c r="C3504" s="4">
        <v>2026</v>
      </c>
      <c r="D3504" s="5" t="s">
        <v>12</v>
      </c>
      <c r="E3504" s="4">
        <v>481</v>
      </c>
      <c r="F3504" s="4" t="s">
        <v>766</v>
      </c>
      <c r="G3504" s="4" t="s">
        <v>725</v>
      </c>
      <c r="H3504" s="4" t="s">
        <v>15</v>
      </c>
      <c r="I3504" s="4" t="s">
        <v>768</v>
      </c>
      <c r="J3504" s="4" t="s">
        <v>182</v>
      </c>
      <c r="K3504" s="4" t="s">
        <v>30</v>
      </c>
      <c r="L3504" s="4" t="s">
        <v>3742</v>
      </c>
      <c r="M3504" s="4" t="s">
        <v>3746</v>
      </c>
      <c r="N3504" s="4" t="s">
        <v>3747</v>
      </c>
      <c r="O3504" s="17">
        <f>INDEX('список ID из СУЭ с должностями'!$A:$F,MATCH(E3504,'список ID из СУЭ с должностями'!$B:$B,0),5)</f>
        <v>0</v>
      </c>
    </row>
    <row r="3505" spans="1:15" ht="90">
      <c r="A3505" s="3" t="s">
        <v>10</v>
      </c>
      <c r="B3505" s="3" t="s">
        <v>11</v>
      </c>
      <c r="C3505" s="4">
        <v>2026</v>
      </c>
      <c r="D3505" s="5" t="s">
        <v>12</v>
      </c>
      <c r="E3505" s="4">
        <v>481</v>
      </c>
      <c r="F3505" s="4" t="s">
        <v>766</v>
      </c>
      <c r="G3505" s="4" t="s">
        <v>725</v>
      </c>
      <c r="H3505" s="4" t="s">
        <v>15</v>
      </c>
      <c r="I3505" s="4" t="s">
        <v>769</v>
      </c>
      <c r="J3505" s="4" t="s">
        <v>182</v>
      </c>
      <c r="K3505" s="4" t="s">
        <v>30</v>
      </c>
      <c r="L3505" s="4" t="s">
        <v>3742</v>
      </c>
      <c r="M3505" s="4" t="s">
        <v>3746</v>
      </c>
      <c r="N3505" s="4" t="s">
        <v>3747</v>
      </c>
      <c r="O3505" s="17">
        <f>INDEX('список ID из СУЭ с должностями'!$A:$F,MATCH(E3505,'список ID из СУЭ с должностями'!$B:$B,0),5)</f>
        <v>0</v>
      </c>
    </row>
    <row r="3506" spans="1:15" ht="90">
      <c r="A3506" s="3" t="s">
        <v>10</v>
      </c>
      <c r="B3506" s="3" t="s">
        <v>11</v>
      </c>
      <c r="C3506" s="4">
        <v>2026</v>
      </c>
      <c r="D3506" s="5" t="s">
        <v>12</v>
      </c>
      <c r="E3506" s="4">
        <v>481</v>
      </c>
      <c r="F3506" s="4" t="s">
        <v>766</v>
      </c>
      <c r="G3506" s="4" t="s">
        <v>725</v>
      </c>
      <c r="H3506" s="4" t="s">
        <v>15</v>
      </c>
      <c r="I3506" s="4" t="s">
        <v>770</v>
      </c>
      <c r="J3506" s="4" t="s">
        <v>771</v>
      </c>
      <c r="K3506" s="4" t="s">
        <v>35</v>
      </c>
      <c r="L3506" s="4" t="s">
        <v>3742</v>
      </c>
      <c r="M3506" s="4" t="s">
        <v>3746</v>
      </c>
      <c r="N3506" s="4" t="s">
        <v>3747</v>
      </c>
      <c r="O3506" s="17">
        <f>INDEX('список ID из СУЭ с должностями'!$A:$F,MATCH(E3506,'список ID из СУЭ с должностями'!$B:$B,0),5)</f>
        <v>0</v>
      </c>
    </row>
    <row r="3507" spans="1:15" ht="105">
      <c r="A3507" s="3" t="s">
        <v>10</v>
      </c>
      <c r="B3507" s="3" t="s">
        <v>11</v>
      </c>
      <c r="C3507" s="4">
        <v>2026</v>
      </c>
      <c r="D3507" s="5" t="s">
        <v>12</v>
      </c>
      <c r="E3507" s="4">
        <v>481</v>
      </c>
      <c r="F3507" s="4" t="s">
        <v>766</v>
      </c>
      <c r="G3507" s="4" t="s">
        <v>725</v>
      </c>
      <c r="H3507" s="4" t="s">
        <v>15</v>
      </c>
      <c r="I3507" s="4" t="s">
        <v>772</v>
      </c>
      <c r="J3507" s="4" t="s">
        <v>773</v>
      </c>
      <c r="K3507" s="4" t="s">
        <v>30</v>
      </c>
      <c r="L3507" s="4" t="s">
        <v>3743</v>
      </c>
      <c r="M3507" s="4" t="s">
        <v>3746</v>
      </c>
      <c r="N3507" s="4" t="s">
        <v>3747</v>
      </c>
      <c r="O3507" s="17">
        <f>INDEX('список ID из СУЭ с должностями'!$A:$F,MATCH(E3507,'список ID из СУЭ с должностями'!$B:$B,0),5)</f>
        <v>0</v>
      </c>
    </row>
    <row r="3508" spans="1:15" ht="90">
      <c r="A3508" s="3" t="s">
        <v>10</v>
      </c>
      <c r="B3508" s="3" t="s">
        <v>11</v>
      </c>
      <c r="C3508" s="4">
        <v>2026</v>
      </c>
      <c r="D3508" s="5" t="s">
        <v>12</v>
      </c>
      <c r="E3508" s="4">
        <v>481</v>
      </c>
      <c r="F3508" s="4" t="s">
        <v>766</v>
      </c>
      <c r="G3508" s="4" t="s">
        <v>725</v>
      </c>
      <c r="H3508" s="4" t="s">
        <v>15</v>
      </c>
      <c r="I3508" s="4" t="s">
        <v>774</v>
      </c>
      <c r="J3508" s="4" t="s">
        <v>182</v>
      </c>
      <c r="K3508" s="4" t="s">
        <v>30</v>
      </c>
      <c r="L3508" s="4" t="s">
        <v>3742</v>
      </c>
      <c r="M3508" s="4" t="s">
        <v>3746</v>
      </c>
      <c r="N3508" s="4" t="s">
        <v>3747</v>
      </c>
      <c r="O3508" s="17">
        <f>INDEX('список ID из СУЭ с должностями'!$A:$F,MATCH(E3508,'список ID из СУЭ с должностями'!$B:$B,0),5)</f>
        <v>0</v>
      </c>
    </row>
    <row r="3509" spans="1:15" ht="90">
      <c r="A3509" s="3" t="s">
        <v>10</v>
      </c>
      <c r="B3509" s="3" t="s">
        <v>11</v>
      </c>
      <c r="C3509" s="4">
        <v>2026</v>
      </c>
      <c r="D3509" s="5" t="s">
        <v>12</v>
      </c>
      <c r="E3509" s="4">
        <v>481</v>
      </c>
      <c r="F3509" s="4" t="s">
        <v>766</v>
      </c>
      <c r="G3509" s="4" t="s">
        <v>725</v>
      </c>
      <c r="H3509" s="4" t="s">
        <v>15</v>
      </c>
      <c r="I3509" s="4" t="s">
        <v>775</v>
      </c>
      <c r="J3509" s="4" t="s">
        <v>776</v>
      </c>
      <c r="K3509" s="4" t="s">
        <v>30</v>
      </c>
      <c r="L3509" s="4" t="s">
        <v>3743</v>
      </c>
      <c r="M3509" s="4" t="s">
        <v>3746</v>
      </c>
      <c r="N3509" s="4" t="s">
        <v>3747</v>
      </c>
      <c r="O3509" s="17">
        <f>INDEX('список ID из СУЭ с должностями'!$A:$F,MATCH(E3509,'список ID из СУЭ с должностями'!$B:$B,0),5)</f>
        <v>0</v>
      </c>
    </row>
    <row r="3510" spans="1:15" ht="90">
      <c r="A3510" s="3" t="s">
        <v>10</v>
      </c>
      <c r="B3510" s="3" t="s">
        <v>11</v>
      </c>
      <c r="C3510" s="4">
        <v>2026</v>
      </c>
      <c r="D3510" s="5" t="s">
        <v>12</v>
      </c>
      <c r="E3510" s="4">
        <v>481</v>
      </c>
      <c r="F3510" s="4" t="s">
        <v>766</v>
      </c>
      <c r="G3510" s="4" t="s">
        <v>725</v>
      </c>
      <c r="H3510" s="4" t="s">
        <v>15</v>
      </c>
      <c r="I3510" s="4" t="s">
        <v>777</v>
      </c>
      <c r="J3510" s="4" t="s">
        <v>132</v>
      </c>
      <c r="K3510" s="4" t="s">
        <v>30</v>
      </c>
      <c r="L3510" s="4" t="s">
        <v>3742</v>
      </c>
      <c r="M3510" s="4" t="s">
        <v>3746</v>
      </c>
      <c r="N3510" s="4" t="s">
        <v>3747</v>
      </c>
      <c r="O3510" s="17">
        <f>INDEX('список ID из СУЭ с должностями'!$A:$F,MATCH(E3510,'список ID из СУЭ с должностями'!$B:$B,0),5)</f>
        <v>0</v>
      </c>
    </row>
    <row r="3511" spans="1:15" ht="90">
      <c r="A3511" s="3" t="s">
        <v>10</v>
      </c>
      <c r="B3511" s="3" t="s">
        <v>11</v>
      </c>
      <c r="C3511" s="4">
        <v>2026</v>
      </c>
      <c r="D3511" s="5" t="s">
        <v>12</v>
      </c>
      <c r="E3511" s="4">
        <v>481</v>
      </c>
      <c r="F3511" s="4" t="s">
        <v>766</v>
      </c>
      <c r="G3511" s="4" t="s">
        <v>725</v>
      </c>
      <c r="H3511" s="4" t="s">
        <v>15</v>
      </c>
      <c r="I3511" s="4" t="s">
        <v>778</v>
      </c>
      <c r="J3511" s="4" t="s">
        <v>132</v>
      </c>
      <c r="K3511" s="4" t="s">
        <v>30</v>
      </c>
      <c r="L3511" s="4" t="s">
        <v>3742</v>
      </c>
      <c r="M3511" s="4" t="s">
        <v>3746</v>
      </c>
      <c r="N3511" s="4" t="s">
        <v>3747</v>
      </c>
      <c r="O3511" s="17">
        <f>INDEX('список ID из СУЭ с должностями'!$A:$F,MATCH(E3511,'список ID из СУЭ с должностями'!$B:$B,0),5)</f>
        <v>0</v>
      </c>
    </row>
    <row r="3512" spans="1:15" ht="90">
      <c r="A3512" s="3" t="s">
        <v>10</v>
      </c>
      <c r="B3512" s="3" t="s">
        <v>11</v>
      </c>
      <c r="C3512" s="4">
        <v>2026</v>
      </c>
      <c r="D3512" s="5" t="s">
        <v>12</v>
      </c>
      <c r="E3512" s="4">
        <v>481</v>
      </c>
      <c r="F3512" s="4" t="s">
        <v>766</v>
      </c>
      <c r="G3512" s="4" t="s">
        <v>725</v>
      </c>
      <c r="H3512" s="4" t="s">
        <v>21</v>
      </c>
      <c r="I3512" s="4" t="s">
        <v>779</v>
      </c>
      <c r="J3512" s="4" t="s">
        <v>132</v>
      </c>
      <c r="K3512" s="4" t="s">
        <v>25</v>
      </c>
      <c r="L3512" s="4" t="s">
        <v>3742</v>
      </c>
      <c r="M3512" s="4" t="s">
        <v>3746</v>
      </c>
      <c r="N3512" s="4" t="s">
        <v>3747</v>
      </c>
      <c r="O3512" s="17">
        <f>INDEX('список ID из СУЭ с должностями'!$A:$F,MATCH(E3512,'список ID из СУЭ с должностями'!$B:$B,0),5)</f>
        <v>0</v>
      </c>
    </row>
    <row r="3513" spans="1:15" ht="409.5">
      <c r="A3513" s="3" t="s">
        <v>10</v>
      </c>
      <c r="B3513" s="3" t="s">
        <v>11</v>
      </c>
      <c r="C3513" s="4">
        <v>2026</v>
      </c>
      <c r="D3513" s="5" t="s">
        <v>12</v>
      </c>
      <c r="E3513" s="4">
        <v>482</v>
      </c>
      <c r="F3513" s="4" t="s">
        <v>2371</v>
      </c>
      <c r="G3513" s="4" t="s">
        <v>2356</v>
      </c>
      <c r="H3513" s="4" t="s">
        <v>21</v>
      </c>
      <c r="I3513" s="4" t="s">
        <v>2357</v>
      </c>
      <c r="J3513" s="4" t="s">
        <v>2372</v>
      </c>
      <c r="K3513" s="4" t="s">
        <v>25</v>
      </c>
      <c r="L3513" s="4" t="s">
        <v>3743</v>
      </c>
      <c r="M3513" s="4" t="s">
        <v>3746</v>
      </c>
      <c r="N3513" s="4" t="s">
        <v>3747</v>
      </c>
      <c r="O3513" s="17">
        <f>INDEX('список ID из СУЭ с должностями'!$A:$F,MATCH(E3513,'список ID из СУЭ с должностями'!$B:$B,0),5)</f>
        <v>0</v>
      </c>
    </row>
    <row r="3514" spans="1:15" ht="135">
      <c r="A3514" s="3" t="s">
        <v>10</v>
      </c>
      <c r="B3514" s="3" t="s">
        <v>11</v>
      </c>
      <c r="C3514" s="4">
        <v>2026</v>
      </c>
      <c r="D3514" s="5" t="s">
        <v>12</v>
      </c>
      <c r="E3514" s="4">
        <v>482</v>
      </c>
      <c r="F3514" s="4" t="s">
        <v>2371</v>
      </c>
      <c r="G3514" s="4" t="s">
        <v>2356</v>
      </c>
      <c r="H3514" s="4" t="s">
        <v>15</v>
      </c>
      <c r="I3514" s="4" t="s">
        <v>806</v>
      </c>
      <c r="J3514" s="4" t="s">
        <v>2373</v>
      </c>
      <c r="K3514" s="4" t="s">
        <v>38</v>
      </c>
      <c r="L3514" s="4" t="s">
        <v>3743</v>
      </c>
      <c r="M3514" s="4" t="s">
        <v>3746</v>
      </c>
      <c r="N3514" s="4" t="s">
        <v>3747</v>
      </c>
      <c r="O3514" s="17">
        <f>INDEX('список ID из СУЭ с должностями'!$A:$F,MATCH(E3514,'список ID из СУЭ с должностями'!$B:$B,0),5)</f>
        <v>0</v>
      </c>
    </row>
    <row r="3515" spans="1:15" ht="195">
      <c r="A3515" s="3" t="s">
        <v>10</v>
      </c>
      <c r="B3515" s="3" t="s">
        <v>11</v>
      </c>
      <c r="C3515" s="4">
        <v>2026</v>
      </c>
      <c r="D3515" s="5" t="s">
        <v>12</v>
      </c>
      <c r="E3515" s="4">
        <v>482</v>
      </c>
      <c r="F3515" s="4" t="s">
        <v>2371</v>
      </c>
      <c r="G3515" s="4" t="s">
        <v>2356</v>
      </c>
      <c r="H3515" s="4" t="s">
        <v>15</v>
      </c>
      <c r="I3515" s="4" t="s">
        <v>147</v>
      </c>
      <c r="J3515" s="4" t="s">
        <v>2374</v>
      </c>
      <c r="K3515" s="4" t="s">
        <v>35</v>
      </c>
      <c r="L3515" s="4" t="s">
        <v>3743</v>
      </c>
      <c r="M3515" s="4" t="s">
        <v>3746</v>
      </c>
      <c r="N3515" s="4" t="s">
        <v>3747</v>
      </c>
      <c r="O3515" s="17">
        <f>INDEX('список ID из СУЭ с должностями'!$A:$F,MATCH(E3515,'список ID из СУЭ с должностями'!$B:$B,0),5)</f>
        <v>0</v>
      </c>
    </row>
    <row r="3516" spans="1:15" ht="330">
      <c r="A3516" s="3" t="s">
        <v>10</v>
      </c>
      <c r="B3516" s="3" t="s">
        <v>11</v>
      </c>
      <c r="C3516" s="4">
        <v>2026</v>
      </c>
      <c r="D3516" s="5" t="s">
        <v>12</v>
      </c>
      <c r="E3516" s="4">
        <v>482</v>
      </c>
      <c r="F3516" s="4" t="s">
        <v>2371</v>
      </c>
      <c r="G3516" s="4" t="s">
        <v>2356</v>
      </c>
      <c r="H3516" s="4" t="s">
        <v>15</v>
      </c>
      <c r="I3516" s="4" t="s">
        <v>303</v>
      </c>
      <c r="J3516" s="4" t="s">
        <v>3408</v>
      </c>
      <c r="K3516" s="4" t="s">
        <v>66</v>
      </c>
      <c r="L3516" s="4" t="s">
        <v>3743</v>
      </c>
      <c r="M3516" s="4" t="s">
        <v>3746</v>
      </c>
      <c r="N3516" s="4" t="s">
        <v>3747</v>
      </c>
      <c r="O3516" s="17">
        <f>INDEX('список ID из СУЭ с должностями'!$A:$F,MATCH(E3516,'список ID из СУЭ с должностями'!$B:$B,0),5)</f>
        <v>0</v>
      </c>
    </row>
    <row r="3517" spans="1:15" ht="375">
      <c r="A3517" s="3" t="s">
        <v>10</v>
      </c>
      <c r="B3517" s="3" t="s">
        <v>11</v>
      </c>
      <c r="C3517" s="4">
        <v>2026</v>
      </c>
      <c r="D3517" s="5" t="s">
        <v>12</v>
      </c>
      <c r="E3517" s="4">
        <v>482</v>
      </c>
      <c r="F3517" s="4" t="s">
        <v>2371</v>
      </c>
      <c r="G3517" s="4" t="s">
        <v>2356</v>
      </c>
      <c r="H3517" s="4" t="s">
        <v>21</v>
      </c>
      <c r="I3517" s="4" t="s">
        <v>149</v>
      </c>
      <c r="J3517" s="4" t="s">
        <v>3409</v>
      </c>
      <c r="K3517" s="4" t="s">
        <v>52</v>
      </c>
      <c r="L3517" s="4" t="s">
        <v>3743</v>
      </c>
      <c r="M3517" s="4" t="s">
        <v>3746</v>
      </c>
      <c r="N3517" s="4" t="s">
        <v>3747</v>
      </c>
      <c r="O3517" s="17">
        <f>INDEX('список ID из СУЭ с должностями'!$A:$F,MATCH(E3517,'список ID из СУЭ с должностями'!$B:$B,0),5)</f>
        <v>0</v>
      </c>
    </row>
    <row r="3518" spans="1:15" ht="75">
      <c r="A3518" s="3" t="s">
        <v>10</v>
      </c>
      <c r="B3518" s="3" t="s">
        <v>11</v>
      </c>
      <c r="C3518" s="4">
        <v>2026</v>
      </c>
      <c r="D3518" s="5" t="s">
        <v>3410</v>
      </c>
      <c r="E3518" s="4">
        <v>483</v>
      </c>
      <c r="F3518" s="4" t="s">
        <v>67</v>
      </c>
      <c r="G3518" s="4" t="s">
        <v>85</v>
      </c>
      <c r="H3518" s="4" t="s">
        <v>41</v>
      </c>
      <c r="I3518" s="4" t="s">
        <v>2891</v>
      </c>
      <c r="J3518" s="4" t="s">
        <v>2892</v>
      </c>
      <c r="K3518" s="4" t="s">
        <v>20</v>
      </c>
      <c r="L3518" s="4" t="s">
        <v>3743</v>
      </c>
      <c r="M3518" s="4" t="s">
        <v>3746</v>
      </c>
      <c r="N3518" s="4" t="s">
        <v>3747</v>
      </c>
      <c r="O3518" s="17">
        <f>INDEX('список ID из СУЭ с должностями'!$A:$F,MATCH(E3518,'список ID из СУЭ с должностями'!$B:$B,0),5)</f>
        <v>0</v>
      </c>
    </row>
    <row r="3519" spans="1:15" ht="75">
      <c r="A3519" s="3" t="s">
        <v>10</v>
      </c>
      <c r="B3519" s="3" t="s">
        <v>11</v>
      </c>
      <c r="C3519" s="4">
        <v>2026</v>
      </c>
      <c r="D3519" s="5" t="s">
        <v>3410</v>
      </c>
      <c r="E3519" s="4">
        <v>483</v>
      </c>
      <c r="F3519" s="4" t="s">
        <v>67</v>
      </c>
      <c r="G3519" s="4" t="s">
        <v>85</v>
      </c>
      <c r="H3519" s="4" t="s">
        <v>41</v>
      </c>
      <c r="I3519" s="4" t="s">
        <v>3411</v>
      </c>
      <c r="J3519" s="4" t="s">
        <v>3412</v>
      </c>
      <c r="K3519" s="4" t="s">
        <v>20</v>
      </c>
      <c r="L3519" s="4" t="s">
        <v>3743</v>
      </c>
      <c r="M3519" s="4" t="s">
        <v>3746</v>
      </c>
      <c r="N3519" s="4" t="s">
        <v>3747</v>
      </c>
      <c r="O3519" s="17">
        <f>INDEX('список ID из СУЭ с должностями'!$A:$F,MATCH(E3519,'список ID из СУЭ с должностями'!$B:$B,0),5)</f>
        <v>0</v>
      </c>
    </row>
    <row r="3520" spans="1:15" ht="75">
      <c r="A3520" s="3" t="s">
        <v>10</v>
      </c>
      <c r="B3520" s="3" t="s">
        <v>11</v>
      </c>
      <c r="C3520" s="4">
        <v>2026</v>
      </c>
      <c r="D3520" s="5" t="s">
        <v>3410</v>
      </c>
      <c r="E3520" s="4">
        <v>483</v>
      </c>
      <c r="F3520" s="4" t="s">
        <v>67</v>
      </c>
      <c r="G3520" s="4" t="s">
        <v>85</v>
      </c>
      <c r="H3520" s="4" t="s">
        <v>15</v>
      </c>
      <c r="I3520" s="4" t="s">
        <v>2895</v>
      </c>
      <c r="J3520" s="4" t="s">
        <v>109</v>
      </c>
      <c r="K3520" s="4" t="s">
        <v>52</v>
      </c>
      <c r="L3520" s="4" t="s">
        <v>3742</v>
      </c>
      <c r="M3520" s="4" t="s">
        <v>3746</v>
      </c>
      <c r="N3520" s="4" t="s">
        <v>3747</v>
      </c>
      <c r="O3520" s="17">
        <f>INDEX('список ID из СУЭ с должностями'!$A:$F,MATCH(E3520,'список ID из СУЭ с должностями'!$B:$B,0),5)</f>
        <v>0</v>
      </c>
    </row>
    <row r="3521" spans="1:15" ht="75">
      <c r="A3521" s="3" t="s">
        <v>10</v>
      </c>
      <c r="B3521" s="3" t="s">
        <v>11</v>
      </c>
      <c r="C3521" s="4">
        <v>2026</v>
      </c>
      <c r="D3521" s="5" t="s">
        <v>3410</v>
      </c>
      <c r="E3521" s="4">
        <v>483</v>
      </c>
      <c r="F3521" s="4" t="s">
        <v>67</v>
      </c>
      <c r="G3521" s="4" t="s">
        <v>85</v>
      </c>
      <c r="H3521" s="4" t="s">
        <v>15</v>
      </c>
      <c r="I3521" s="4" t="s">
        <v>1113</v>
      </c>
      <c r="J3521" s="4" t="s">
        <v>277</v>
      </c>
      <c r="K3521" s="4" t="s">
        <v>20</v>
      </c>
      <c r="L3521" s="4" t="s">
        <v>3743</v>
      </c>
      <c r="M3521" s="4" t="s">
        <v>3746</v>
      </c>
      <c r="N3521" s="4" t="s">
        <v>3747</v>
      </c>
      <c r="O3521" s="17">
        <f>INDEX('список ID из СУЭ с должностями'!$A:$F,MATCH(E3521,'список ID из СУЭ с должностями'!$B:$B,0),5)</f>
        <v>0</v>
      </c>
    </row>
    <row r="3522" spans="1:15" ht="120">
      <c r="A3522" s="3" t="s">
        <v>10</v>
      </c>
      <c r="B3522" s="3" t="s">
        <v>11</v>
      </c>
      <c r="C3522" s="4">
        <v>2026</v>
      </c>
      <c r="D3522" s="5" t="s">
        <v>3410</v>
      </c>
      <c r="E3522" s="4">
        <v>483</v>
      </c>
      <c r="F3522" s="4" t="s">
        <v>67</v>
      </c>
      <c r="G3522" s="4" t="s">
        <v>85</v>
      </c>
      <c r="H3522" s="4" t="s">
        <v>15</v>
      </c>
      <c r="I3522" s="4" t="s">
        <v>86</v>
      </c>
      <c r="J3522" s="4" t="s">
        <v>3413</v>
      </c>
      <c r="K3522" s="4" t="s">
        <v>35</v>
      </c>
      <c r="L3522" s="4" t="s">
        <v>3743</v>
      </c>
      <c r="M3522" s="4" t="s">
        <v>3746</v>
      </c>
      <c r="N3522" s="4" t="s">
        <v>3747</v>
      </c>
      <c r="O3522" s="17">
        <f>INDEX('список ID из СУЭ с должностями'!$A:$F,MATCH(E3522,'список ID из СУЭ с должностями'!$B:$B,0),5)</f>
        <v>0</v>
      </c>
    </row>
    <row r="3523" spans="1:15" ht="375">
      <c r="A3523" s="3" t="s">
        <v>10</v>
      </c>
      <c r="B3523" s="3" t="s">
        <v>11</v>
      </c>
      <c r="C3523" s="4">
        <v>2026</v>
      </c>
      <c r="D3523" s="5" t="s">
        <v>3410</v>
      </c>
      <c r="E3523" s="4">
        <v>483</v>
      </c>
      <c r="F3523" s="4" t="s">
        <v>67</v>
      </c>
      <c r="G3523" s="4" t="s">
        <v>85</v>
      </c>
      <c r="H3523" s="4" t="s">
        <v>15</v>
      </c>
      <c r="I3523" s="4" t="s">
        <v>3414</v>
      </c>
      <c r="J3523" s="4" t="s">
        <v>3415</v>
      </c>
      <c r="K3523" s="4" t="s">
        <v>20</v>
      </c>
      <c r="L3523" s="4" t="s">
        <v>3743</v>
      </c>
      <c r="M3523" s="4" t="s">
        <v>3746</v>
      </c>
      <c r="N3523" s="4" t="s">
        <v>3747</v>
      </c>
      <c r="O3523" s="17">
        <f>INDEX('список ID из СУЭ с должностями'!$A:$F,MATCH(E3523,'список ID из СУЭ с должностями'!$B:$B,0),5)</f>
        <v>0</v>
      </c>
    </row>
    <row r="3524" spans="1:15" ht="375">
      <c r="A3524" s="3" t="s">
        <v>10</v>
      </c>
      <c r="B3524" s="3" t="s">
        <v>11</v>
      </c>
      <c r="C3524" s="4">
        <v>2026</v>
      </c>
      <c r="D3524" s="5" t="s">
        <v>3410</v>
      </c>
      <c r="E3524" s="4">
        <v>483</v>
      </c>
      <c r="F3524" s="4" t="s">
        <v>67</v>
      </c>
      <c r="G3524" s="4" t="s">
        <v>85</v>
      </c>
      <c r="H3524" s="4" t="s">
        <v>15</v>
      </c>
      <c r="I3524" s="4" t="s">
        <v>3416</v>
      </c>
      <c r="J3524" s="4" t="s">
        <v>3417</v>
      </c>
      <c r="K3524" s="4" t="s">
        <v>20</v>
      </c>
      <c r="L3524" s="4" t="s">
        <v>3743</v>
      </c>
      <c r="M3524" s="4" t="s">
        <v>3746</v>
      </c>
      <c r="N3524" s="4" t="s">
        <v>3747</v>
      </c>
      <c r="O3524" s="17">
        <f>INDEX('список ID из СУЭ с должностями'!$A:$F,MATCH(E3524,'список ID из СУЭ с должностями'!$B:$B,0),5)</f>
        <v>0</v>
      </c>
    </row>
    <row r="3525" spans="1:15" ht="315">
      <c r="A3525" s="3" t="s">
        <v>10</v>
      </c>
      <c r="B3525" s="3" t="s">
        <v>11</v>
      </c>
      <c r="C3525" s="4">
        <v>2026</v>
      </c>
      <c r="D3525" s="5" t="s">
        <v>12</v>
      </c>
      <c r="E3525" s="4">
        <v>484</v>
      </c>
      <c r="F3525" s="4" t="s">
        <v>577</v>
      </c>
      <c r="G3525" s="4" t="s">
        <v>665</v>
      </c>
      <c r="H3525" s="4" t="s">
        <v>21</v>
      </c>
      <c r="I3525" s="4" t="s">
        <v>3418</v>
      </c>
      <c r="J3525" s="4" t="s">
        <v>3419</v>
      </c>
      <c r="K3525" s="4" t="s">
        <v>52</v>
      </c>
      <c r="L3525" s="4" t="s">
        <v>3743</v>
      </c>
      <c r="M3525" s="4" t="s">
        <v>3746</v>
      </c>
      <c r="N3525" s="4" t="s">
        <v>3747</v>
      </c>
      <c r="O3525" s="17" t="str">
        <f>INDEX('список ID из СУЭ с должностями'!$A:$F,MATCH(E3525,'список ID из СУЭ с должностями'!$B:$B,0),5)</f>
        <v>ИПРО</v>
      </c>
    </row>
    <row r="3526" spans="1:15" ht="75">
      <c r="A3526" s="3" t="s">
        <v>10</v>
      </c>
      <c r="B3526" s="3" t="s">
        <v>11</v>
      </c>
      <c r="C3526" s="4">
        <v>2026</v>
      </c>
      <c r="D3526" s="5" t="s">
        <v>12</v>
      </c>
      <c r="E3526" s="4">
        <v>484</v>
      </c>
      <c r="F3526" s="4" t="s">
        <v>577</v>
      </c>
      <c r="G3526" s="4" t="s">
        <v>665</v>
      </c>
      <c r="H3526" s="4" t="s">
        <v>15</v>
      </c>
      <c r="I3526" s="4" t="s">
        <v>579</v>
      </c>
      <c r="J3526" s="4" t="s">
        <v>580</v>
      </c>
      <c r="K3526" s="4" t="s">
        <v>55</v>
      </c>
      <c r="L3526" s="4" t="s">
        <v>3743</v>
      </c>
      <c r="M3526" s="4" t="s">
        <v>3746</v>
      </c>
      <c r="N3526" s="4" t="s">
        <v>3747</v>
      </c>
      <c r="O3526" s="17" t="str">
        <f>INDEX('список ID из СУЭ с должностями'!$A:$F,MATCH(E3526,'список ID из СУЭ с должностями'!$B:$B,0),5)</f>
        <v>ИПРО</v>
      </c>
    </row>
    <row r="3527" spans="1:15" ht="135">
      <c r="A3527" s="3" t="s">
        <v>10</v>
      </c>
      <c r="B3527" s="3" t="s">
        <v>11</v>
      </c>
      <c r="C3527" s="4">
        <v>2026</v>
      </c>
      <c r="D3527" s="5" t="s">
        <v>12</v>
      </c>
      <c r="E3527" s="4">
        <v>484</v>
      </c>
      <c r="F3527" s="4" t="s">
        <v>577</v>
      </c>
      <c r="G3527" s="4" t="s">
        <v>665</v>
      </c>
      <c r="H3527" s="4" t="s">
        <v>15</v>
      </c>
      <c r="I3527" s="4" t="s">
        <v>3420</v>
      </c>
      <c r="J3527" s="4" t="s">
        <v>3421</v>
      </c>
      <c r="K3527" s="4" t="s">
        <v>35</v>
      </c>
      <c r="L3527" s="4" t="s">
        <v>3743</v>
      </c>
      <c r="M3527" s="4" t="s">
        <v>3746</v>
      </c>
      <c r="N3527" s="4" t="s">
        <v>3747</v>
      </c>
      <c r="O3527" s="17" t="str">
        <f>INDEX('список ID из СУЭ с должностями'!$A:$F,MATCH(E3527,'список ID из СУЭ с должностями'!$B:$B,0),5)</f>
        <v>ИПРО</v>
      </c>
    </row>
    <row r="3528" spans="1:15" ht="150">
      <c r="A3528" s="3" t="s">
        <v>10</v>
      </c>
      <c r="B3528" s="3" t="s">
        <v>11</v>
      </c>
      <c r="C3528" s="4">
        <v>2026</v>
      </c>
      <c r="D3528" s="5" t="s">
        <v>12</v>
      </c>
      <c r="E3528" s="4">
        <v>484</v>
      </c>
      <c r="F3528" s="4" t="s">
        <v>577</v>
      </c>
      <c r="G3528" s="4" t="s">
        <v>665</v>
      </c>
      <c r="H3528" s="4" t="s">
        <v>15</v>
      </c>
      <c r="I3528" s="4" t="s">
        <v>588</v>
      </c>
      <c r="J3528" s="4" t="s">
        <v>3422</v>
      </c>
      <c r="K3528" s="4" t="s">
        <v>20</v>
      </c>
      <c r="L3528" s="4" t="s">
        <v>3743</v>
      </c>
      <c r="M3528" s="4" t="s">
        <v>3746</v>
      </c>
      <c r="N3528" s="4" t="s">
        <v>3747</v>
      </c>
      <c r="O3528" s="17" t="str">
        <f>INDEX('список ID из СУЭ с должностями'!$A:$F,MATCH(E3528,'список ID из СУЭ с должностями'!$B:$B,0),5)</f>
        <v>ИПРО</v>
      </c>
    </row>
    <row r="3529" spans="1:15" ht="165">
      <c r="A3529" s="3" t="s">
        <v>10</v>
      </c>
      <c r="B3529" s="3" t="s">
        <v>11</v>
      </c>
      <c r="C3529" s="4">
        <v>2026</v>
      </c>
      <c r="D3529" s="5" t="s">
        <v>12</v>
      </c>
      <c r="E3529" s="4">
        <v>484</v>
      </c>
      <c r="F3529" s="4" t="s">
        <v>577</v>
      </c>
      <c r="G3529" s="4" t="s">
        <v>665</v>
      </c>
      <c r="H3529" s="4" t="s">
        <v>15</v>
      </c>
      <c r="I3529" s="4" t="s">
        <v>582</v>
      </c>
      <c r="J3529" s="4" t="s">
        <v>3423</v>
      </c>
      <c r="K3529" s="4" t="s">
        <v>55</v>
      </c>
      <c r="L3529" s="4" t="s">
        <v>3743</v>
      </c>
      <c r="M3529" s="4" t="s">
        <v>3746</v>
      </c>
      <c r="N3529" s="4" t="s">
        <v>3747</v>
      </c>
      <c r="O3529" s="17" t="str">
        <f>INDEX('список ID из СУЭ с должностями'!$A:$F,MATCH(E3529,'список ID из СУЭ с должностями'!$B:$B,0),5)</f>
        <v>ИПРО</v>
      </c>
    </row>
    <row r="3530" spans="1:15" ht="90">
      <c r="A3530" s="3" t="s">
        <v>10</v>
      </c>
      <c r="B3530" s="3" t="s">
        <v>11</v>
      </c>
      <c r="C3530" s="4">
        <v>2026</v>
      </c>
      <c r="D3530" s="5" t="s">
        <v>12</v>
      </c>
      <c r="E3530" s="4">
        <v>484</v>
      </c>
      <c r="F3530" s="4" t="s">
        <v>577</v>
      </c>
      <c r="G3530" s="4" t="s">
        <v>665</v>
      </c>
      <c r="H3530" s="4" t="s">
        <v>15</v>
      </c>
      <c r="I3530" s="4" t="s">
        <v>631</v>
      </c>
      <c r="J3530" s="4" t="s">
        <v>3424</v>
      </c>
      <c r="K3530" s="4" t="s">
        <v>66</v>
      </c>
      <c r="L3530" s="4" t="s">
        <v>3743</v>
      </c>
      <c r="M3530" s="4" t="s">
        <v>3746</v>
      </c>
      <c r="N3530" s="4" t="s">
        <v>3747</v>
      </c>
      <c r="O3530" s="17" t="str">
        <f>INDEX('список ID из СУЭ с должностями'!$A:$F,MATCH(E3530,'список ID из СУЭ с должностями'!$B:$B,0),5)</f>
        <v>ИПРО</v>
      </c>
    </row>
    <row r="3531" spans="1:15" ht="120">
      <c r="A3531" s="3" t="s">
        <v>10</v>
      </c>
      <c r="B3531" s="3" t="s">
        <v>11</v>
      </c>
      <c r="C3531" s="4">
        <v>2026</v>
      </c>
      <c r="D3531" s="5" t="s">
        <v>12</v>
      </c>
      <c r="E3531" s="4">
        <v>484</v>
      </c>
      <c r="F3531" s="4" t="s">
        <v>577</v>
      </c>
      <c r="G3531" s="4" t="s">
        <v>665</v>
      </c>
      <c r="H3531" s="4" t="s">
        <v>15</v>
      </c>
      <c r="I3531" s="4" t="s">
        <v>584</v>
      </c>
      <c r="J3531" s="4" t="s">
        <v>3425</v>
      </c>
      <c r="K3531" s="4" t="s">
        <v>55</v>
      </c>
      <c r="L3531" s="4" t="s">
        <v>3743</v>
      </c>
      <c r="M3531" s="4" t="s">
        <v>3746</v>
      </c>
      <c r="N3531" s="4" t="s">
        <v>3747</v>
      </c>
      <c r="O3531" s="17" t="str">
        <f>INDEX('список ID из СУЭ с должностями'!$A:$F,MATCH(E3531,'список ID из СУЭ с должностями'!$B:$B,0),5)</f>
        <v>ИПРО</v>
      </c>
    </row>
    <row r="3532" spans="1:15" ht="60">
      <c r="A3532" s="3" t="s">
        <v>10</v>
      </c>
      <c r="B3532" s="3" t="s">
        <v>11</v>
      </c>
      <c r="C3532" s="4">
        <v>2026</v>
      </c>
      <c r="D3532" s="5" t="s">
        <v>12</v>
      </c>
      <c r="E3532" s="4">
        <v>485</v>
      </c>
      <c r="F3532" s="4" t="s">
        <v>280</v>
      </c>
      <c r="G3532" s="4" t="s">
        <v>951</v>
      </c>
      <c r="H3532" s="4" t="s">
        <v>15</v>
      </c>
      <c r="I3532" s="4" t="s">
        <v>1287</v>
      </c>
      <c r="J3532" s="4" t="s">
        <v>1288</v>
      </c>
      <c r="K3532" s="4" t="s">
        <v>188</v>
      </c>
      <c r="L3532" s="4" t="s">
        <v>3743</v>
      </c>
      <c r="M3532" s="4" t="s">
        <v>3746</v>
      </c>
      <c r="N3532" s="4" t="s">
        <v>3747</v>
      </c>
      <c r="O3532" s="17">
        <f>INDEX('список ID из СУЭ с должностями'!$A:$F,MATCH(E3532,'список ID из СУЭ с должностями'!$B:$B,0),5)</f>
        <v>0</v>
      </c>
    </row>
    <row r="3533" spans="1:15" ht="60">
      <c r="A3533" s="3" t="s">
        <v>10</v>
      </c>
      <c r="B3533" s="3" t="s">
        <v>11</v>
      </c>
      <c r="C3533" s="4">
        <v>2026</v>
      </c>
      <c r="D3533" s="5" t="s">
        <v>12</v>
      </c>
      <c r="E3533" s="4">
        <v>485</v>
      </c>
      <c r="F3533" s="4" t="s">
        <v>280</v>
      </c>
      <c r="G3533" s="4" t="s">
        <v>951</v>
      </c>
      <c r="H3533" s="4" t="s">
        <v>21</v>
      </c>
      <c r="I3533" s="4" t="s">
        <v>954</v>
      </c>
      <c r="J3533" s="4" t="s">
        <v>1289</v>
      </c>
      <c r="K3533" s="4" t="s">
        <v>23</v>
      </c>
      <c r="L3533" s="4" t="s">
        <v>3743</v>
      </c>
      <c r="M3533" s="4" t="s">
        <v>3748</v>
      </c>
      <c r="N3533" s="4" t="s">
        <v>3749</v>
      </c>
      <c r="O3533" s="17">
        <f>INDEX('список ID из СУЭ с должностями'!$A:$F,MATCH(E3533,'список ID из СУЭ с должностями'!$B:$B,0),5)</f>
        <v>0</v>
      </c>
    </row>
    <row r="3534" spans="1:15" ht="60">
      <c r="A3534" s="3" t="s">
        <v>10</v>
      </c>
      <c r="B3534" s="3" t="s">
        <v>11</v>
      </c>
      <c r="C3534" s="4">
        <v>2026</v>
      </c>
      <c r="D3534" s="5" t="s">
        <v>12</v>
      </c>
      <c r="E3534" s="4">
        <v>485</v>
      </c>
      <c r="F3534" s="4" t="s">
        <v>280</v>
      </c>
      <c r="G3534" s="4" t="s">
        <v>951</v>
      </c>
      <c r="H3534" s="4" t="s">
        <v>15</v>
      </c>
      <c r="I3534" s="4" t="s">
        <v>956</v>
      </c>
      <c r="J3534" s="4" t="s">
        <v>957</v>
      </c>
      <c r="K3534" s="4" t="s">
        <v>35</v>
      </c>
      <c r="L3534" s="4" t="s">
        <v>3742</v>
      </c>
      <c r="M3534" s="4" t="s">
        <v>3746</v>
      </c>
      <c r="N3534" s="4" t="s">
        <v>3747</v>
      </c>
      <c r="O3534" s="17">
        <f>INDEX('список ID из СУЭ с должностями'!$A:$F,MATCH(E3534,'список ID из СУЭ с должностями'!$B:$B,0),5)</f>
        <v>0</v>
      </c>
    </row>
    <row r="3535" spans="1:15" ht="60">
      <c r="A3535" s="3" t="s">
        <v>10</v>
      </c>
      <c r="B3535" s="3" t="s">
        <v>11</v>
      </c>
      <c r="C3535" s="4">
        <v>2026</v>
      </c>
      <c r="D3535" s="5" t="s">
        <v>12</v>
      </c>
      <c r="E3535" s="4">
        <v>485</v>
      </c>
      <c r="F3535" s="4" t="s">
        <v>280</v>
      </c>
      <c r="G3535" s="4" t="s">
        <v>951</v>
      </c>
      <c r="H3535" s="4" t="s">
        <v>21</v>
      </c>
      <c r="I3535" s="4" t="s">
        <v>958</v>
      </c>
      <c r="J3535" s="4" t="s">
        <v>972</v>
      </c>
      <c r="K3535" s="4" t="s">
        <v>25</v>
      </c>
      <c r="L3535" s="4" t="s">
        <v>3743</v>
      </c>
      <c r="M3535" s="4" t="s">
        <v>3746</v>
      </c>
      <c r="N3535" s="4" t="s">
        <v>3747</v>
      </c>
      <c r="O3535" s="17">
        <f>INDEX('список ID из СУЭ с должностями'!$A:$F,MATCH(E3535,'список ID из СУЭ с должностями'!$B:$B,0),5)</f>
        <v>0</v>
      </c>
    </row>
    <row r="3536" spans="1:15" ht="180">
      <c r="A3536" s="3" t="s">
        <v>10</v>
      </c>
      <c r="B3536" s="3" t="s">
        <v>11</v>
      </c>
      <c r="C3536" s="4">
        <v>2026</v>
      </c>
      <c r="D3536" s="5" t="s">
        <v>12</v>
      </c>
      <c r="E3536" s="4">
        <v>485</v>
      </c>
      <c r="F3536" s="4" t="s">
        <v>280</v>
      </c>
      <c r="G3536" s="4" t="s">
        <v>951</v>
      </c>
      <c r="H3536" s="4" t="s">
        <v>15</v>
      </c>
      <c r="I3536" s="4" t="s">
        <v>960</v>
      </c>
      <c r="J3536" s="4" t="s">
        <v>961</v>
      </c>
      <c r="K3536" s="4" t="s">
        <v>188</v>
      </c>
      <c r="L3536" s="4" t="s">
        <v>3743</v>
      </c>
      <c r="M3536" s="4" t="s">
        <v>3746</v>
      </c>
      <c r="N3536" s="4" t="s">
        <v>3747</v>
      </c>
      <c r="O3536" s="17">
        <f>INDEX('список ID из СУЭ с должностями'!$A:$F,MATCH(E3536,'список ID из СУЭ с должностями'!$B:$B,0),5)</f>
        <v>0</v>
      </c>
    </row>
    <row r="3537" spans="1:15" ht="195">
      <c r="A3537" s="3" t="s">
        <v>10</v>
      </c>
      <c r="B3537" s="3" t="s">
        <v>11</v>
      </c>
      <c r="C3537" s="4">
        <v>2026</v>
      </c>
      <c r="D3537" s="5" t="s">
        <v>12</v>
      </c>
      <c r="E3537" s="4">
        <v>486</v>
      </c>
      <c r="F3537" s="4" t="s">
        <v>1331</v>
      </c>
      <c r="G3537" s="4" t="s">
        <v>1332</v>
      </c>
      <c r="H3537" s="4" t="s">
        <v>41</v>
      </c>
      <c r="I3537" s="4" t="s">
        <v>3426</v>
      </c>
      <c r="J3537" s="4" t="s">
        <v>3427</v>
      </c>
      <c r="K3537" s="4" t="s">
        <v>220</v>
      </c>
      <c r="L3537" s="4" t="s">
        <v>3743</v>
      </c>
      <c r="M3537" s="4" t="s">
        <v>3753</v>
      </c>
      <c r="N3537" s="4" t="s">
        <v>3747</v>
      </c>
      <c r="O3537" s="17">
        <f>INDEX('список ID из СУЭ с должностями'!$A:$F,MATCH(E3537,'список ID из СУЭ с должностями'!$B:$B,0),5)</f>
        <v>0</v>
      </c>
    </row>
    <row r="3538" spans="1:15" ht="75">
      <c r="A3538" s="3" t="s">
        <v>10</v>
      </c>
      <c r="B3538" s="3" t="s">
        <v>11</v>
      </c>
      <c r="C3538" s="4">
        <v>2026</v>
      </c>
      <c r="D3538" s="5" t="s">
        <v>12</v>
      </c>
      <c r="E3538" s="4">
        <v>486</v>
      </c>
      <c r="F3538" s="4" t="s">
        <v>1331</v>
      </c>
      <c r="G3538" s="4" t="s">
        <v>1332</v>
      </c>
      <c r="H3538" s="4" t="s">
        <v>15</v>
      </c>
      <c r="I3538" s="4" t="s">
        <v>3428</v>
      </c>
      <c r="J3538" s="4" t="s">
        <v>3429</v>
      </c>
      <c r="K3538" s="4" t="s">
        <v>38</v>
      </c>
      <c r="L3538" s="4" t="s">
        <v>3743</v>
      </c>
      <c r="M3538" s="4" t="s">
        <v>3746</v>
      </c>
      <c r="N3538" s="4" t="s">
        <v>3747</v>
      </c>
      <c r="O3538" s="17">
        <f>INDEX('список ID из СУЭ с должностями'!$A:$F,MATCH(E3538,'список ID из СУЭ с должностями'!$B:$B,0),5)</f>
        <v>0</v>
      </c>
    </row>
    <row r="3539" spans="1:15" ht="120">
      <c r="A3539" s="3" t="s">
        <v>10</v>
      </c>
      <c r="B3539" s="3" t="s">
        <v>11</v>
      </c>
      <c r="C3539" s="4">
        <v>2026</v>
      </c>
      <c r="D3539" s="5" t="s">
        <v>12</v>
      </c>
      <c r="E3539" s="4">
        <v>486</v>
      </c>
      <c r="F3539" s="4" t="s">
        <v>1331</v>
      </c>
      <c r="G3539" s="4" t="s">
        <v>1332</v>
      </c>
      <c r="H3539" s="4" t="s">
        <v>15</v>
      </c>
      <c r="I3539" s="4" t="s">
        <v>3430</v>
      </c>
      <c r="J3539" s="4" t="s">
        <v>3431</v>
      </c>
      <c r="K3539" s="4" t="s">
        <v>35</v>
      </c>
      <c r="L3539" s="4" t="s">
        <v>3743</v>
      </c>
      <c r="M3539" s="4" t="s">
        <v>3746</v>
      </c>
      <c r="N3539" s="4" t="s">
        <v>3747</v>
      </c>
      <c r="O3539" s="17">
        <f>INDEX('список ID из СУЭ с должностями'!$A:$F,MATCH(E3539,'список ID из СУЭ с должностями'!$B:$B,0),5)</f>
        <v>0</v>
      </c>
    </row>
    <row r="3540" spans="1:15" ht="75">
      <c r="A3540" s="3" t="s">
        <v>10</v>
      </c>
      <c r="B3540" s="3" t="s">
        <v>11</v>
      </c>
      <c r="C3540" s="4">
        <v>2026</v>
      </c>
      <c r="D3540" s="5" t="s">
        <v>12</v>
      </c>
      <c r="E3540" s="4">
        <v>486</v>
      </c>
      <c r="F3540" s="4" t="s">
        <v>1331</v>
      </c>
      <c r="G3540" s="4" t="s">
        <v>1332</v>
      </c>
      <c r="H3540" s="4" t="s">
        <v>41</v>
      </c>
      <c r="I3540" s="4" t="s">
        <v>3432</v>
      </c>
      <c r="J3540" s="4" t="s">
        <v>3433</v>
      </c>
      <c r="K3540" s="4" t="s">
        <v>52</v>
      </c>
      <c r="L3540" s="4" t="s">
        <v>3743</v>
      </c>
      <c r="M3540" s="4" t="s">
        <v>3746</v>
      </c>
      <c r="N3540" s="4" t="s">
        <v>3747</v>
      </c>
      <c r="O3540" s="17">
        <f>INDEX('список ID из СУЭ с должностями'!$A:$F,MATCH(E3540,'список ID из СУЭ с должностями'!$B:$B,0),5)</f>
        <v>0</v>
      </c>
    </row>
    <row r="3541" spans="1:15" ht="240">
      <c r="A3541" s="3" t="s">
        <v>10</v>
      </c>
      <c r="B3541" s="3" t="s">
        <v>11</v>
      </c>
      <c r="C3541" s="4">
        <v>2026</v>
      </c>
      <c r="D3541" s="5" t="s">
        <v>12</v>
      </c>
      <c r="E3541" s="4">
        <v>486</v>
      </c>
      <c r="F3541" s="4" t="s">
        <v>1331</v>
      </c>
      <c r="G3541" s="4" t="s">
        <v>1332</v>
      </c>
      <c r="H3541" s="4" t="s">
        <v>15</v>
      </c>
      <c r="I3541" s="4" t="s">
        <v>1014</v>
      </c>
      <c r="J3541" s="4" t="s">
        <v>3434</v>
      </c>
      <c r="K3541" s="4" t="s">
        <v>38</v>
      </c>
      <c r="L3541" s="4" t="s">
        <v>3743</v>
      </c>
      <c r="M3541" s="4" t="s">
        <v>3746</v>
      </c>
      <c r="N3541" s="4" t="s">
        <v>3747</v>
      </c>
      <c r="O3541" s="17">
        <f>INDEX('список ID из СУЭ с должностями'!$A:$F,MATCH(E3541,'список ID из СУЭ с должностями'!$B:$B,0),5)</f>
        <v>0</v>
      </c>
    </row>
    <row r="3542" spans="1:15" ht="330">
      <c r="A3542" s="3" t="s">
        <v>10</v>
      </c>
      <c r="B3542" s="3" t="s">
        <v>11</v>
      </c>
      <c r="C3542" s="4">
        <v>2026</v>
      </c>
      <c r="D3542" s="5" t="s">
        <v>12</v>
      </c>
      <c r="E3542" s="4">
        <v>487</v>
      </c>
      <c r="F3542" s="4" t="s">
        <v>280</v>
      </c>
      <c r="G3542" s="4" t="s">
        <v>320</v>
      </c>
      <c r="H3542" s="4" t="s">
        <v>15</v>
      </c>
      <c r="I3542" s="4" t="s">
        <v>323</v>
      </c>
      <c r="J3542" s="4" t="s">
        <v>826</v>
      </c>
      <c r="K3542" s="4" t="s">
        <v>66</v>
      </c>
      <c r="L3542" s="4" t="s">
        <v>3743</v>
      </c>
      <c r="M3542" s="4" t="s">
        <v>3746</v>
      </c>
      <c r="N3542" s="4" t="s">
        <v>3747</v>
      </c>
      <c r="O3542" s="17">
        <f>INDEX('список ID из СУЭ с должностями'!$A:$F,MATCH(E3542,'список ID из СУЭ с должностями'!$B:$B,0),5)</f>
        <v>0</v>
      </c>
    </row>
    <row r="3543" spans="1:15" ht="409.5">
      <c r="A3543" s="3" t="s">
        <v>10</v>
      </c>
      <c r="B3543" s="3" t="s">
        <v>11</v>
      </c>
      <c r="C3543" s="4">
        <v>2026</v>
      </c>
      <c r="D3543" s="5" t="s">
        <v>12</v>
      </c>
      <c r="E3543" s="4">
        <v>487</v>
      </c>
      <c r="F3543" s="4" t="s">
        <v>280</v>
      </c>
      <c r="G3543" s="4" t="s">
        <v>320</v>
      </c>
      <c r="H3543" s="4" t="s">
        <v>15</v>
      </c>
      <c r="I3543" s="4" t="s">
        <v>354</v>
      </c>
      <c r="J3543" s="4" t="s">
        <v>1059</v>
      </c>
      <c r="K3543" s="4" t="s">
        <v>25</v>
      </c>
      <c r="L3543" s="4" t="s">
        <v>3743</v>
      </c>
      <c r="M3543" s="4" t="s">
        <v>3746</v>
      </c>
      <c r="N3543" s="4" t="s">
        <v>3747</v>
      </c>
      <c r="O3543" s="17">
        <f>INDEX('список ID из СУЭ с должностями'!$A:$F,MATCH(E3543,'список ID из СУЭ с должностями'!$B:$B,0),5)</f>
        <v>0</v>
      </c>
    </row>
    <row r="3544" spans="1:15" ht="315">
      <c r="A3544" s="3" t="s">
        <v>10</v>
      </c>
      <c r="B3544" s="3" t="s">
        <v>11</v>
      </c>
      <c r="C3544" s="4">
        <v>2026</v>
      </c>
      <c r="D3544" s="5" t="s">
        <v>12</v>
      </c>
      <c r="E3544" s="4">
        <v>487</v>
      </c>
      <c r="F3544" s="4" t="s">
        <v>280</v>
      </c>
      <c r="G3544" s="4" t="s">
        <v>320</v>
      </c>
      <c r="H3544" s="4" t="s">
        <v>41</v>
      </c>
      <c r="I3544" s="4" t="s">
        <v>352</v>
      </c>
      <c r="J3544" s="4" t="s">
        <v>823</v>
      </c>
      <c r="K3544" s="4" t="s">
        <v>25</v>
      </c>
      <c r="L3544" s="4" t="s">
        <v>3743</v>
      </c>
      <c r="M3544" s="4" t="s">
        <v>3746</v>
      </c>
      <c r="N3544" s="4" t="s">
        <v>3747</v>
      </c>
      <c r="O3544" s="17">
        <f>INDEX('список ID из СУЭ с должностями'!$A:$F,MATCH(E3544,'список ID из СУЭ с должностями'!$B:$B,0),5)</f>
        <v>0</v>
      </c>
    </row>
    <row r="3545" spans="1:15" ht="135">
      <c r="A3545" s="3" t="s">
        <v>10</v>
      </c>
      <c r="B3545" s="3" t="s">
        <v>11</v>
      </c>
      <c r="C3545" s="4">
        <v>2026</v>
      </c>
      <c r="D3545" s="5" t="s">
        <v>12</v>
      </c>
      <c r="E3545" s="4">
        <v>487</v>
      </c>
      <c r="F3545" s="4" t="s">
        <v>280</v>
      </c>
      <c r="G3545" s="4" t="s">
        <v>320</v>
      </c>
      <c r="H3545" s="4" t="s">
        <v>15</v>
      </c>
      <c r="I3545" s="4" t="s">
        <v>318</v>
      </c>
      <c r="J3545" s="4" t="s">
        <v>1205</v>
      </c>
      <c r="K3545" s="4" t="s">
        <v>188</v>
      </c>
      <c r="L3545" s="4" t="s">
        <v>3743</v>
      </c>
      <c r="M3545" s="4" t="s">
        <v>3746</v>
      </c>
      <c r="N3545" s="4" t="s">
        <v>3747</v>
      </c>
      <c r="O3545" s="17">
        <f>INDEX('список ID из СУЭ с должностями'!$A:$F,MATCH(E3545,'список ID из СУЭ с должностями'!$B:$B,0),5)</f>
        <v>0</v>
      </c>
    </row>
    <row r="3546" spans="1:15" ht="330">
      <c r="A3546" s="3" t="s">
        <v>10</v>
      </c>
      <c r="B3546" s="3" t="s">
        <v>11</v>
      </c>
      <c r="C3546" s="4">
        <v>2026</v>
      </c>
      <c r="D3546" s="5" t="s">
        <v>12</v>
      </c>
      <c r="E3546" s="4">
        <v>487</v>
      </c>
      <c r="F3546" s="4" t="s">
        <v>280</v>
      </c>
      <c r="G3546" s="4" t="s">
        <v>320</v>
      </c>
      <c r="H3546" s="4" t="s">
        <v>15</v>
      </c>
      <c r="I3546" s="4" t="s">
        <v>325</v>
      </c>
      <c r="J3546" s="4" t="s">
        <v>1204</v>
      </c>
      <c r="K3546" s="4" t="s">
        <v>35</v>
      </c>
      <c r="L3546" s="4" t="s">
        <v>3743</v>
      </c>
      <c r="M3546" s="4" t="s">
        <v>3746</v>
      </c>
      <c r="N3546" s="4" t="s">
        <v>3747</v>
      </c>
      <c r="O3546" s="17">
        <f>INDEX('список ID из СУЭ с должностями'!$A:$F,MATCH(E3546,'список ID из СУЭ с должностями'!$B:$B,0),5)</f>
        <v>0</v>
      </c>
    </row>
    <row r="3547" spans="1:15" ht="105">
      <c r="A3547" s="3" t="s">
        <v>10</v>
      </c>
      <c r="B3547" s="3" t="s">
        <v>11</v>
      </c>
      <c r="C3547" s="4">
        <v>2026</v>
      </c>
      <c r="D3547" s="5" t="s">
        <v>12</v>
      </c>
      <c r="E3547" s="4">
        <v>487</v>
      </c>
      <c r="F3547" s="4" t="s">
        <v>280</v>
      </c>
      <c r="G3547" s="4" t="s">
        <v>320</v>
      </c>
      <c r="H3547" s="4" t="s">
        <v>15</v>
      </c>
      <c r="I3547" s="4" t="s">
        <v>358</v>
      </c>
      <c r="J3547" s="4" t="s">
        <v>825</v>
      </c>
      <c r="K3547" s="4" t="s">
        <v>66</v>
      </c>
      <c r="L3547" s="4" t="s">
        <v>3743</v>
      </c>
      <c r="M3547" s="4" t="s">
        <v>3746</v>
      </c>
      <c r="N3547" s="4" t="s">
        <v>3747</v>
      </c>
      <c r="O3547" s="17">
        <f>INDEX('список ID из СУЭ с должностями'!$A:$F,MATCH(E3547,'список ID из СУЭ с должностями'!$B:$B,0),5)</f>
        <v>0</v>
      </c>
    </row>
    <row r="3548" spans="1:15" ht="120">
      <c r="A3548" s="3" t="s">
        <v>10</v>
      </c>
      <c r="B3548" s="3" t="s">
        <v>11</v>
      </c>
      <c r="C3548" s="4">
        <v>2026</v>
      </c>
      <c r="D3548" s="5" t="s">
        <v>12</v>
      </c>
      <c r="E3548" s="4">
        <v>487</v>
      </c>
      <c r="F3548" s="4" t="s">
        <v>280</v>
      </c>
      <c r="G3548" s="4" t="s">
        <v>320</v>
      </c>
      <c r="H3548" s="4" t="s">
        <v>15</v>
      </c>
      <c r="I3548" s="4" t="s">
        <v>356</v>
      </c>
      <c r="J3548" s="4" t="s">
        <v>821</v>
      </c>
      <c r="K3548" s="4" t="s">
        <v>25</v>
      </c>
      <c r="L3548" s="4" t="s">
        <v>3743</v>
      </c>
      <c r="M3548" s="4" t="s">
        <v>3746</v>
      </c>
      <c r="N3548" s="4" t="s">
        <v>3747</v>
      </c>
      <c r="O3548" s="17">
        <f>INDEX('список ID из СУЭ с должностями'!$A:$F,MATCH(E3548,'список ID из СУЭ с должностями'!$B:$B,0),5)</f>
        <v>0</v>
      </c>
    </row>
    <row r="3549" spans="1:15" ht="315">
      <c r="A3549" s="3" t="s">
        <v>10</v>
      </c>
      <c r="B3549" s="3" t="s">
        <v>11</v>
      </c>
      <c r="C3549" s="4">
        <v>2026</v>
      </c>
      <c r="D3549" s="5" t="s">
        <v>12</v>
      </c>
      <c r="E3549" s="4">
        <v>487</v>
      </c>
      <c r="F3549" s="4" t="s">
        <v>280</v>
      </c>
      <c r="G3549" s="4" t="s">
        <v>320</v>
      </c>
      <c r="H3549" s="4" t="s">
        <v>15</v>
      </c>
      <c r="I3549" s="4" t="s">
        <v>28</v>
      </c>
      <c r="J3549" s="4" t="s">
        <v>824</v>
      </c>
      <c r="K3549" s="4" t="s">
        <v>25</v>
      </c>
      <c r="L3549" s="4" t="s">
        <v>3743</v>
      </c>
      <c r="M3549" s="4" t="s">
        <v>3746</v>
      </c>
      <c r="N3549" s="4" t="s">
        <v>3747</v>
      </c>
      <c r="O3549" s="17">
        <f>INDEX('список ID из СУЭ с должностями'!$A:$F,MATCH(E3549,'список ID из СУЭ с должностями'!$B:$B,0),5)</f>
        <v>0</v>
      </c>
    </row>
    <row r="3550" spans="1:15" ht="75">
      <c r="A3550" s="3" t="s">
        <v>10</v>
      </c>
      <c r="B3550" s="3" t="s">
        <v>11</v>
      </c>
      <c r="C3550" s="4">
        <v>2026</v>
      </c>
      <c r="D3550" s="5" t="s">
        <v>12</v>
      </c>
      <c r="E3550" s="4">
        <v>488</v>
      </c>
      <c r="F3550" s="4" t="s">
        <v>84</v>
      </c>
      <c r="G3550" s="4" t="s">
        <v>85</v>
      </c>
      <c r="H3550" s="4" t="s">
        <v>21</v>
      </c>
      <c r="I3550" s="4" t="s">
        <v>1188</v>
      </c>
      <c r="J3550" s="4" t="s">
        <v>1986</v>
      </c>
      <c r="K3550" s="4" t="s">
        <v>66</v>
      </c>
      <c r="L3550" s="4" t="s">
        <v>3743</v>
      </c>
      <c r="M3550" s="4" t="s">
        <v>3746</v>
      </c>
      <c r="N3550" s="4" t="s">
        <v>3747</v>
      </c>
      <c r="O3550" s="17">
        <f>INDEX('список ID из СУЭ с должностями'!$A:$F,MATCH(E3550,'список ID из СУЭ с должностями'!$B:$B,0),5)</f>
        <v>0</v>
      </c>
    </row>
    <row r="3551" spans="1:15" ht="75">
      <c r="A3551" s="3" t="s">
        <v>10</v>
      </c>
      <c r="B3551" s="3" t="s">
        <v>11</v>
      </c>
      <c r="C3551" s="4">
        <v>2026</v>
      </c>
      <c r="D3551" s="5" t="s">
        <v>12</v>
      </c>
      <c r="E3551" s="4">
        <v>488</v>
      </c>
      <c r="F3551" s="4" t="s">
        <v>84</v>
      </c>
      <c r="G3551" s="4" t="s">
        <v>85</v>
      </c>
      <c r="H3551" s="4" t="s">
        <v>15</v>
      </c>
      <c r="I3551" s="4" t="s">
        <v>1190</v>
      </c>
      <c r="J3551" s="4" t="s">
        <v>1987</v>
      </c>
      <c r="K3551" s="4" t="s">
        <v>30</v>
      </c>
      <c r="L3551" s="4" t="s">
        <v>3743</v>
      </c>
      <c r="M3551" s="4" t="s">
        <v>3746</v>
      </c>
      <c r="N3551" s="4" t="s">
        <v>3747</v>
      </c>
      <c r="O3551" s="17">
        <f>INDEX('список ID из СУЭ с должностями'!$A:$F,MATCH(E3551,'список ID из СУЭ с должностями'!$B:$B,0),5)</f>
        <v>0</v>
      </c>
    </row>
    <row r="3552" spans="1:15" ht="75">
      <c r="A3552" s="3" t="s">
        <v>10</v>
      </c>
      <c r="B3552" s="3" t="s">
        <v>11</v>
      </c>
      <c r="C3552" s="4">
        <v>2026</v>
      </c>
      <c r="D3552" s="5" t="s">
        <v>12</v>
      </c>
      <c r="E3552" s="4">
        <v>488</v>
      </c>
      <c r="F3552" s="4" t="s">
        <v>84</v>
      </c>
      <c r="G3552" s="4" t="s">
        <v>85</v>
      </c>
      <c r="H3552" s="4" t="s">
        <v>41</v>
      </c>
      <c r="I3552" s="4" t="s">
        <v>268</v>
      </c>
      <c r="J3552" s="4" t="s">
        <v>1988</v>
      </c>
      <c r="K3552" s="4" t="s">
        <v>30</v>
      </c>
      <c r="L3552" s="4" t="s">
        <v>3743</v>
      </c>
      <c r="M3552" s="4" t="s">
        <v>3746</v>
      </c>
      <c r="N3552" s="4" t="s">
        <v>3747</v>
      </c>
      <c r="O3552" s="17">
        <f>INDEX('список ID из СУЭ с должностями'!$A:$F,MATCH(E3552,'список ID из СУЭ с должностями'!$B:$B,0),5)</f>
        <v>0</v>
      </c>
    </row>
    <row r="3553" spans="1:15" ht="90">
      <c r="A3553" s="3" t="s">
        <v>10</v>
      </c>
      <c r="B3553" s="3" t="s">
        <v>11</v>
      </c>
      <c r="C3553" s="4">
        <v>2026</v>
      </c>
      <c r="D3553" s="5" t="s">
        <v>12</v>
      </c>
      <c r="E3553" s="4">
        <v>488</v>
      </c>
      <c r="F3553" s="4" t="s">
        <v>84</v>
      </c>
      <c r="G3553" s="4" t="s">
        <v>85</v>
      </c>
      <c r="H3553" s="4" t="s">
        <v>41</v>
      </c>
      <c r="I3553" s="4" t="s">
        <v>1989</v>
      </c>
      <c r="J3553" s="4" t="s">
        <v>1990</v>
      </c>
      <c r="K3553" s="4" t="s">
        <v>30</v>
      </c>
      <c r="L3553" s="4" t="s">
        <v>3743</v>
      </c>
      <c r="M3553" s="4" t="s">
        <v>3746</v>
      </c>
      <c r="N3553" s="4" t="s">
        <v>3747</v>
      </c>
      <c r="O3553" s="17">
        <f>INDEX('список ID из СУЭ с должностями'!$A:$F,MATCH(E3553,'список ID из СУЭ с должностями'!$B:$B,0),5)</f>
        <v>0</v>
      </c>
    </row>
    <row r="3554" spans="1:15" ht="75">
      <c r="A3554" s="3" t="s">
        <v>10</v>
      </c>
      <c r="B3554" s="3" t="s">
        <v>11</v>
      </c>
      <c r="C3554" s="4">
        <v>2026</v>
      </c>
      <c r="D3554" s="5" t="s">
        <v>12</v>
      </c>
      <c r="E3554" s="4">
        <v>488</v>
      </c>
      <c r="F3554" s="4" t="s">
        <v>84</v>
      </c>
      <c r="G3554" s="4" t="s">
        <v>85</v>
      </c>
      <c r="H3554" s="4" t="s">
        <v>21</v>
      </c>
      <c r="I3554" s="4" t="s">
        <v>1991</v>
      </c>
      <c r="J3554" s="4" t="s">
        <v>1992</v>
      </c>
      <c r="K3554" s="4" t="s">
        <v>30</v>
      </c>
      <c r="L3554" s="4" t="s">
        <v>3743</v>
      </c>
      <c r="M3554" s="4" t="s">
        <v>3746</v>
      </c>
      <c r="N3554" s="4" t="s">
        <v>3747</v>
      </c>
      <c r="O3554" s="17">
        <f>INDEX('список ID из СУЭ с должностями'!$A:$F,MATCH(E3554,'список ID из СУЭ с должностями'!$B:$B,0),5)</f>
        <v>0</v>
      </c>
    </row>
    <row r="3555" spans="1:15" ht="90">
      <c r="A3555" s="3" t="s">
        <v>10</v>
      </c>
      <c r="B3555" s="3" t="s">
        <v>11</v>
      </c>
      <c r="C3555" s="4">
        <v>2026</v>
      </c>
      <c r="D3555" s="5" t="s">
        <v>12</v>
      </c>
      <c r="E3555" s="4">
        <v>488</v>
      </c>
      <c r="F3555" s="4" t="s">
        <v>84</v>
      </c>
      <c r="G3555" s="4" t="s">
        <v>85</v>
      </c>
      <c r="H3555" s="4" t="s">
        <v>15</v>
      </c>
      <c r="I3555" s="4" t="s">
        <v>86</v>
      </c>
      <c r="J3555" s="4" t="s">
        <v>1993</v>
      </c>
      <c r="K3555" s="4" t="s">
        <v>35</v>
      </c>
      <c r="L3555" s="4" t="s">
        <v>3743</v>
      </c>
      <c r="M3555" s="4" t="s">
        <v>3746</v>
      </c>
      <c r="N3555" s="4" t="s">
        <v>3747</v>
      </c>
      <c r="O3555" s="17">
        <f>INDEX('список ID из СУЭ с должностями'!$A:$F,MATCH(E3555,'список ID из СУЭ с должностями'!$B:$B,0),5)</f>
        <v>0</v>
      </c>
    </row>
    <row r="3556" spans="1:15" ht="409.5">
      <c r="A3556" s="3" t="s">
        <v>10</v>
      </c>
      <c r="B3556" s="3" t="s">
        <v>11</v>
      </c>
      <c r="C3556" s="4">
        <v>2026</v>
      </c>
      <c r="D3556" s="5" t="s">
        <v>12</v>
      </c>
      <c r="E3556" s="4">
        <v>488</v>
      </c>
      <c r="F3556" s="4" t="s">
        <v>84</v>
      </c>
      <c r="G3556" s="4" t="s">
        <v>85</v>
      </c>
      <c r="H3556" s="4" t="s">
        <v>21</v>
      </c>
      <c r="I3556" s="4" t="s">
        <v>1198</v>
      </c>
      <c r="J3556" s="4" t="s">
        <v>3435</v>
      </c>
      <c r="K3556" s="4" t="s">
        <v>30</v>
      </c>
      <c r="L3556" s="4" t="s">
        <v>3743</v>
      </c>
      <c r="M3556" s="4" t="s">
        <v>3746</v>
      </c>
      <c r="N3556" s="4" t="s">
        <v>3747</v>
      </c>
      <c r="O3556" s="17">
        <f>INDEX('список ID из СУЭ с должностями'!$A:$F,MATCH(E3556,'список ID из СУЭ с должностями'!$B:$B,0),5)</f>
        <v>0</v>
      </c>
    </row>
    <row r="3557" spans="1:15" ht="75">
      <c r="A3557" s="3" t="s">
        <v>10</v>
      </c>
      <c r="B3557" s="3" t="s">
        <v>11</v>
      </c>
      <c r="C3557" s="4">
        <v>2026</v>
      </c>
      <c r="D3557" s="5" t="s">
        <v>12</v>
      </c>
      <c r="E3557" s="4">
        <v>488</v>
      </c>
      <c r="F3557" s="4" t="s">
        <v>84</v>
      </c>
      <c r="G3557" s="4" t="s">
        <v>85</v>
      </c>
      <c r="H3557" s="4" t="s">
        <v>15</v>
      </c>
      <c r="I3557" s="4" t="s">
        <v>1995</v>
      </c>
      <c r="J3557" s="4" t="s">
        <v>378</v>
      </c>
      <c r="K3557" s="4" t="s">
        <v>30</v>
      </c>
      <c r="L3557" s="4" t="s">
        <v>3742</v>
      </c>
      <c r="M3557" s="4" t="s">
        <v>3746</v>
      </c>
      <c r="N3557" s="4" t="s">
        <v>3747</v>
      </c>
      <c r="O3557" s="17">
        <f>INDEX('список ID из СУЭ с должностями'!$A:$F,MATCH(E3557,'список ID из СУЭ с должностями'!$B:$B,0),5)</f>
        <v>0</v>
      </c>
    </row>
    <row r="3558" spans="1:15" ht="75">
      <c r="A3558" s="3" t="s">
        <v>10</v>
      </c>
      <c r="B3558" s="3" t="s">
        <v>11</v>
      </c>
      <c r="C3558" s="4">
        <v>2026</v>
      </c>
      <c r="D3558" s="5" t="s">
        <v>12</v>
      </c>
      <c r="E3558" s="4">
        <v>488</v>
      </c>
      <c r="F3558" s="4" t="s">
        <v>84</v>
      </c>
      <c r="G3558" s="4" t="s">
        <v>85</v>
      </c>
      <c r="H3558" s="4" t="s">
        <v>15</v>
      </c>
      <c r="I3558" s="4" t="s">
        <v>1996</v>
      </c>
      <c r="J3558" s="4" t="s">
        <v>182</v>
      </c>
      <c r="K3558" s="4" t="s">
        <v>30</v>
      </c>
      <c r="L3558" s="4" t="s">
        <v>3742</v>
      </c>
      <c r="M3558" s="4" t="s">
        <v>3746</v>
      </c>
      <c r="N3558" s="4" t="s">
        <v>3747</v>
      </c>
      <c r="O3558" s="17">
        <f>INDEX('список ID из СУЭ с должностями'!$A:$F,MATCH(E3558,'список ID из СУЭ с должностями'!$B:$B,0),5)</f>
        <v>0</v>
      </c>
    </row>
    <row r="3559" spans="1:15" ht="75">
      <c r="A3559" s="3" t="s">
        <v>10</v>
      </c>
      <c r="B3559" s="3" t="s">
        <v>11</v>
      </c>
      <c r="C3559" s="4">
        <v>2026</v>
      </c>
      <c r="D3559" s="5" t="s">
        <v>12</v>
      </c>
      <c r="E3559" s="4">
        <v>489</v>
      </c>
      <c r="F3559" s="4" t="s">
        <v>67</v>
      </c>
      <c r="G3559" s="4" t="s">
        <v>1347</v>
      </c>
      <c r="H3559" s="4" t="s">
        <v>41</v>
      </c>
      <c r="I3559" s="4" t="s">
        <v>1348</v>
      </c>
      <c r="J3559" s="4" t="s">
        <v>2951</v>
      </c>
      <c r="K3559" s="4" t="s">
        <v>20</v>
      </c>
      <c r="L3559" s="4" t="s">
        <v>3743</v>
      </c>
      <c r="M3559" s="4" t="s">
        <v>3746</v>
      </c>
      <c r="N3559" s="4" t="s">
        <v>3747</v>
      </c>
      <c r="O3559" s="17">
        <f>INDEX('список ID из СУЭ с должностями'!$A:$F,MATCH(E3559,'список ID из СУЭ с должностями'!$B:$B,0),5)</f>
        <v>0</v>
      </c>
    </row>
    <row r="3560" spans="1:15" ht="180">
      <c r="A3560" s="3" t="s">
        <v>10</v>
      </c>
      <c r="B3560" s="3" t="s">
        <v>11</v>
      </c>
      <c r="C3560" s="4">
        <v>2026</v>
      </c>
      <c r="D3560" s="5" t="s">
        <v>12</v>
      </c>
      <c r="E3560" s="4">
        <v>489</v>
      </c>
      <c r="F3560" s="4" t="s">
        <v>67</v>
      </c>
      <c r="G3560" s="4" t="s">
        <v>1347</v>
      </c>
      <c r="H3560" s="4" t="s">
        <v>21</v>
      </c>
      <c r="I3560" s="4" t="s">
        <v>1350</v>
      </c>
      <c r="J3560" s="4" t="s">
        <v>3379</v>
      </c>
      <c r="K3560" s="4" t="s">
        <v>35</v>
      </c>
      <c r="L3560" s="4" t="s">
        <v>3743</v>
      </c>
      <c r="M3560" s="4" t="s">
        <v>3746</v>
      </c>
      <c r="N3560" s="4" t="s">
        <v>3747</v>
      </c>
      <c r="O3560" s="17">
        <f>INDEX('список ID из СУЭ с должностями'!$A:$F,MATCH(E3560,'список ID из СУЭ с должностями'!$B:$B,0),5)</f>
        <v>0</v>
      </c>
    </row>
    <row r="3561" spans="1:15" ht="345">
      <c r="A3561" s="3" t="s">
        <v>10</v>
      </c>
      <c r="B3561" s="3" t="s">
        <v>11</v>
      </c>
      <c r="C3561" s="4">
        <v>2026</v>
      </c>
      <c r="D3561" s="5" t="s">
        <v>12</v>
      </c>
      <c r="E3561" s="4">
        <v>489</v>
      </c>
      <c r="F3561" s="4" t="s">
        <v>67</v>
      </c>
      <c r="G3561" s="4" t="s">
        <v>1347</v>
      </c>
      <c r="H3561" s="4" t="s">
        <v>15</v>
      </c>
      <c r="I3561" s="4" t="s">
        <v>1354</v>
      </c>
      <c r="J3561" s="4" t="s">
        <v>3380</v>
      </c>
      <c r="K3561" s="4" t="s">
        <v>35</v>
      </c>
      <c r="L3561" s="4" t="s">
        <v>3743</v>
      </c>
      <c r="M3561" s="4" t="s">
        <v>3746</v>
      </c>
      <c r="N3561" s="4" t="s">
        <v>3747</v>
      </c>
      <c r="O3561" s="17">
        <f>INDEX('список ID из СУЭ с должностями'!$A:$F,MATCH(E3561,'список ID из СУЭ с должностями'!$B:$B,0),5)</f>
        <v>0</v>
      </c>
    </row>
    <row r="3562" spans="1:15" ht="135">
      <c r="A3562" s="3" t="s">
        <v>10</v>
      </c>
      <c r="B3562" s="3" t="s">
        <v>11</v>
      </c>
      <c r="C3562" s="4">
        <v>2026</v>
      </c>
      <c r="D3562" s="5" t="s">
        <v>12</v>
      </c>
      <c r="E3562" s="4">
        <v>489</v>
      </c>
      <c r="F3562" s="4" t="s">
        <v>67</v>
      </c>
      <c r="G3562" s="4" t="s">
        <v>1347</v>
      </c>
      <c r="H3562" s="4" t="s">
        <v>21</v>
      </c>
      <c r="I3562" s="4" t="s">
        <v>2785</v>
      </c>
      <c r="J3562" s="4" t="s">
        <v>3436</v>
      </c>
      <c r="K3562" s="4" t="s">
        <v>25</v>
      </c>
      <c r="L3562" s="4" t="s">
        <v>3743</v>
      </c>
      <c r="M3562" s="4" t="s">
        <v>3746</v>
      </c>
      <c r="N3562" s="4" t="s">
        <v>3747</v>
      </c>
      <c r="O3562" s="17">
        <f>INDEX('список ID из СУЭ с должностями'!$A:$F,MATCH(E3562,'список ID из СУЭ с должностями'!$B:$B,0),5)</f>
        <v>0</v>
      </c>
    </row>
    <row r="3563" spans="1:15" ht="75">
      <c r="A3563" s="3" t="s">
        <v>10</v>
      </c>
      <c r="B3563" s="3" t="s">
        <v>11</v>
      </c>
      <c r="C3563" s="4">
        <v>2026</v>
      </c>
      <c r="D3563" s="5" t="s">
        <v>12</v>
      </c>
      <c r="E3563" s="4">
        <v>489</v>
      </c>
      <c r="F3563" s="4" t="s">
        <v>67</v>
      </c>
      <c r="G3563" s="4" t="s">
        <v>1347</v>
      </c>
      <c r="H3563" s="4" t="s">
        <v>21</v>
      </c>
      <c r="I3563" s="4" t="s">
        <v>3381</v>
      </c>
      <c r="J3563" s="4" t="s">
        <v>378</v>
      </c>
      <c r="K3563" s="4" t="s">
        <v>30</v>
      </c>
      <c r="L3563" s="4" t="s">
        <v>3742</v>
      </c>
      <c r="M3563" s="4" t="s">
        <v>3746</v>
      </c>
      <c r="N3563" s="4" t="s">
        <v>3747</v>
      </c>
      <c r="O3563" s="17">
        <f>INDEX('список ID из СУЭ с должностями'!$A:$F,MATCH(E3563,'список ID из СУЭ с должностями'!$B:$B,0),5)</f>
        <v>0</v>
      </c>
    </row>
    <row r="3564" spans="1:15" ht="75">
      <c r="A3564" s="3" t="s">
        <v>10</v>
      </c>
      <c r="B3564" s="3" t="s">
        <v>11</v>
      </c>
      <c r="C3564" s="4">
        <v>2026</v>
      </c>
      <c r="D3564" s="5" t="s">
        <v>12</v>
      </c>
      <c r="E3564" s="4">
        <v>489</v>
      </c>
      <c r="F3564" s="4" t="s">
        <v>67</v>
      </c>
      <c r="G3564" s="4" t="s">
        <v>1347</v>
      </c>
      <c r="H3564" s="4" t="s">
        <v>15</v>
      </c>
      <c r="I3564" s="4" t="s">
        <v>3383</v>
      </c>
      <c r="J3564" s="4" t="s">
        <v>182</v>
      </c>
      <c r="K3564" s="4" t="s">
        <v>30</v>
      </c>
      <c r="L3564" s="4" t="s">
        <v>3742</v>
      </c>
      <c r="M3564" s="4" t="s">
        <v>3746</v>
      </c>
      <c r="N3564" s="4" t="s">
        <v>3747</v>
      </c>
      <c r="O3564" s="17">
        <f>INDEX('список ID из СУЭ с должностями'!$A:$F,MATCH(E3564,'список ID из СУЭ с должностями'!$B:$B,0),5)</f>
        <v>0</v>
      </c>
    </row>
    <row r="3565" spans="1:15" ht="45">
      <c r="A3565" s="3" t="s">
        <v>10</v>
      </c>
      <c r="B3565" s="3" t="s">
        <v>11</v>
      </c>
      <c r="C3565" s="4">
        <v>2026</v>
      </c>
      <c r="D3565" s="5" t="s">
        <v>12</v>
      </c>
      <c r="E3565" s="4">
        <v>490</v>
      </c>
      <c r="F3565" s="4" t="s">
        <v>385</v>
      </c>
      <c r="G3565" s="4" t="s">
        <v>1362</v>
      </c>
      <c r="H3565" s="4" t="s">
        <v>15</v>
      </c>
      <c r="I3565" s="4" t="s">
        <v>3437</v>
      </c>
      <c r="J3565" s="4" t="s">
        <v>3438</v>
      </c>
      <c r="K3565" s="4" t="s">
        <v>23</v>
      </c>
      <c r="L3565" s="4" t="s">
        <v>3743</v>
      </c>
      <c r="M3565" s="4" t="s">
        <v>3748</v>
      </c>
      <c r="N3565" s="4" t="s">
        <v>3752</v>
      </c>
      <c r="O3565" s="17">
        <f>INDEX('список ID из СУЭ с должностями'!$A:$F,MATCH(E3565,'список ID из СУЭ с должностями'!$B:$B,0),5)</f>
        <v>0</v>
      </c>
    </row>
    <row r="3566" spans="1:15" ht="60">
      <c r="A3566" s="3" t="s">
        <v>10</v>
      </c>
      <c r="B3566" s="3" t="s">
        <v>11</v>
      </c>
      <c r="C3566" s="4">
        <v>2026</v>
      </c>
      <c r="D3566" s="5" t="s">
        <v>12</v>
      </c>
      <c r="E3566" s="4">
        <v>490</v>
      </c>
      <c r="F3566" s="4" t="s">
        <v>385</v>
      </c>
      <c r="G3566" s="4" t="s">
        <v>1362</v>
      </c>
      <c r="H3566" s="4" t="s">
        <v>21</v>
      </c>
      <c r="I3566" s="4" t="s">
        <v>3439</v>
      </c>
      <c r="J3566" s="4" t="s">
        <v>3440</v>
      </c>
      <c r="K3566" s="4" t="s">
        <v>25</v>
      </c>
      <c r="L3566" s="4" t="s">
        <v>3743</v>
      </c>
      <c r="M3566" s="4" t="s">
        <v>3746</v>
      </c>
      <c r="N3566" s="4" t="s">
        <v>3747</v>
      </c>
      <c r="O3566" s="17">
        <f>INDEX('список ID из СУЭ с должностями'!$A:$F,MATCH(E3566,'список ID из СУЭ с должностями'!$B:$B,0),5)</f>
        <v>0</v>
      </c>
    </row>
    <row r="3567" spans="1:15" ht="75">
      <c r="A3567" s="3" t="s">
        <v>10</v>
      </c>
      <c r="B3567" s="3" t="s">
        <v>11</v>
      </c>
      <c r="C3567" s="4">
        <v>2026</v>
      </c>
      <c r="D3567" s="5" t="s">
        <v>12</v>
      </c>
      <c r="E3567" s="4">
        <v>490</v>
      </c>
      <c r="F3567" s="4" t="s">
        <v>385</v>
      </c>
      <c r="G3567" s="4" t="s">
        <v>1362</v>
      </c>
      <c r="H3567" s="4" t="s">
        <v>15</v>
      </c>
      <c r="I3567" s="4" t="s">
        <v>201</v>
      </c>
      <c r="J3567" s="4" t="s">
        <v>1507</v>
      </c>
      <c r="K3567" s="4" t="s">
        <v>188</v>
      </c>
      <c r="L3567" s="4" t="s">
        <v>3743</v>
      </c>
      <c r="M3567" s="4" t="s">
        <v>3746</v>
      </c>
      <c r="N3567" s="4" t="s">
        <v>3747</v>
      </c>
      <c r="O3567" s="17">
        <f>INDEX('список ID из СУЭ с должностями'!$A:$F,MATCH(E3567,'список ID из СУЭ с должностями'!$B:$B,0),5)</f>
        <v>0</v>
      </c>
    </row>
    <row r="3568" spans="1:15" ht="60">
      <c r="A3568" s="3" t="s">
        <v>10</v>
      </c>
      <c r="B3568" s="3" t="s">
        <v>11</v>
      </c>
      <c r="C3568" s="4">
        <v>2026</v>
      </c>
      <c r="D3568" s="5" t="s">
        <v>12</v>
      </c>
      <c r="E3568" s="4">
        <v>490</v>
      </c>
      <c r="F3568" s="4" t="s">
        <v>385</v>
      </c>
      <c r="G3568" s="4" t="s">
        <v>1362</v>
      </c>
      <c r="H3568" s="4" t="s">
        <v>21</v>
      </c>
      <c r="I3568" s="4" t="s">
        <v>1366</v>
      </c>
      <c r="J3568" s="4" t="s">
        <v>1367</v>
      </c>
      <c r="K3568" s="4" t="s">
        <v>30</v>
      </c>
      <c r="L3568" s="4" t="s">
        <v>3743</v>
      </c>
      <c r="M3568" s="4" t="s">
        <v>3746</v>
      </c>
      <c r="N3568" s="4" t="s">
        <v>3747</v>
      </c>
      <c r="O3568" s="17">
        <f>INDEX('список ID из СУЭ с должностями'!$A:$F,MATCH(E3568,'список ID из СУЭ с должностями'!$B:$B,0),5)</f>
        <v>0</v>
      </c>
    </row>
    <row r="3569" spans="1:15" ht="345">
      <c r="A3569" s="3" t="s">
        <v>10</v>
      </c>
      <c r="B3569" s="3" t="s">
        <v>11</v>
      </c>
      <c r="C3569" s="4">
        <v>2026</v>
      </c>
      <c r="D3569" s="5" t="s">
        <v>12</v>
      </c>
      <c r="E3569" s="4">
        <v>490</v>
      </c>
      <c r="F3569" s="4" t="s">
        <v>385</v>
      </c>
      <c r="G3569" s="4" t="s">
        <v>1362</v>
      </c>
      <c r="H3569" s="4" t="s">
        <v>15</v>
      </c>
      <c r="I3569" s="4" t="s">
        <v>1368</v>
      </c>
      <c r="J3569" s="4" t="s">
        <v>1369</v>
      </c>
      <c r="K3569" s="4" t="s">
        <v>35</v>
      </c>
      <c r="L3569" s="4" t="s">
        <v>3743</v>
      </c>
      <c r="M3569" s="4" t="s">
        <v>3746</v>
      </c>
      <c r="N3569" s="4" t="s">
        <v>3747</v>
      </c>
      <c r="O3569" s="17">
        <f>INDEX('список ID из СУЭ с должностями'!$A:$F,MATCH(E3569,'список ID из СУЭ с должностями'!$B:$B,0),5)</f>
        <v>0</v>
      </c>
    </row>
    <row r="3570" spans="1:15" ht="90">
      <c r="A3570" s="3" t="s">
        <v>10</v>
      </c>
      <c r="B3570" s="3" t="s">
        <v>11</v>
      </c>
      <c r="C3570" s="4">
        <v>2026</v>
      </c>
      <c r="D3570" s="5" t="s">
        <v>12</v>
      </c>
      <c r="E3570" s="4">
        <v>490</v>
      </c>
      <c r="F3570" s="4" t="s">
        <v>385</v>
      </c>
      <c r="G3570" s="4" t="s">
        <v>1362</v>
      </c>
      <c r="H3570" s="4" t="s">
        <v>41</v>
      </c>
      <c r="I3570" s="4" t="s">
        <v>3441</v>
      </c>
      <c r="J3570" s="4" t="s">
        <v>3442</v>
      </c>
      <c r="K3570" s="4" t="s">
        <v>30</v>
      </c>
      <c r="L3570" s="4" t="s">
        <v>3743</v>
      </c>
      <c r="M3570" s="4" t="s">
        <v>3746</v>
      </c>
      <c r="N3570" s="4" t="s">
        <v>3747</v>
      </c>
      <c r="O3570" s="17">
        <f>INDEX('список ID из СУЭ с должностями'!$A:$F,MATCH(E3570,'список ID из СУЭ с должностями'!$B:$B,0),5)</f>
        <v>0</v>
      </c>
    </row>
    <row r="3571" spans="1:15" ht="60">
      <c r="A3571" s="3" t="s">
        <v>10</v>
      </c>
      <c r="B3571" s="3" t="s">
        <v>11</v>
      </c>
      <c r="C3571" s="4">
        <v>2026</v>
      </c>
      <c r="D3571" s="5" t="s">
        <v>12</v>
      </c>
      <c r="E3571" s="4">
        <v>490</v>
      </c>
      <c r="F3571" s="4" t="s">
        <v>385</v>
      </c>
      <c r="G3571" s="4" t="s">
        <v>1362</v>
      </c>
      <c r="H3571" s="4" t="s">
        <v>15</v>
      </c>
      <c r="I3571" s="4" t="s">
        <v>1372</v>
      </c>
      <c r="J3571" s="4" t="s">
        <v>3443</v>
      </c>
      <c r="K3571" s="4" t="s">
        <v>2144</v>
      </c>
      <c r="L3571" s="4" t="s">
        <v>3743</v>
      </c>
      <c r="M3571" s="4" t="s">
        <v>3746</v>
      </c>
      <c r="N3571" s="4" t="s">
        <v>3768</v>
      </c>
      <c r="O3571" s="17">
        <f>INDEX('список ID из СУЭ с должностями'!$A:$F,MATCH(E3571,'список ID из СУЭ с должностями'!$B:$B,0),5)</f>
        <v>0</v>
      </c>
    </row>
    <row r="3572" spans="1:15" ht="90">
      <c r="A3572" s="3" t="s">
        <v>10</v>
      </c>
      <c r="B3572" s="3" t="s">
        <v>11</v>
      </c>
      <c r="C3572" s="4">
        <v>2026</v>
      </c>
      <c r="D3572" s="5" t="s">
        <v>12</v>
      </c>
      <c r="E3572" s="4">
        <v>490</v>
      </c>
      <c r="F3572" s="4" t="s">
        <v>385</v>
      </c>
      <c r="G3572" s="4" t="s">
        <v>1362</v>
      </c>
      <c r="H3572" s="4" t="s">
        <v>15</v>
      </c>
      <c r="I3572" s="4" t="s">
        <v>3444</v>
      </c>
      <c r="J3572" s="4" t="s">
        <v>3445</v>
      </c>
      <c r="K3572" s="4" t="s">
        <v>2144</v>
      </c>
      <c r="L3572" s="4" t="s">
        <v>3743</v>
      </c>
      <c r="M3572" s="4" t="s">
        <v>3746</v>
      </c>
      <c r="N3572" s="4" t="s">
        <v>3768</v>
      </c>
      <c r="O3572" s="17">
        <f>INDEX('список ID из СУЭ с должностями'!$A:$F,MATCH(E3572,'список ID из СУЭ с должностями'!$B:$B,0),5)</f>
        <v>0</v>
      </c>
    </row>
    <row r="3573" spans="1:15" ht="45">
      <c r="A3573" s="3" t="s">
        <v>10</v>
      </c>
      <c r="B3573" s="3" t="s">
        <v>11</v>
      </c>
      <c r="C3573" s="4">
        <v>2026</v>
      </c>
      <c r="D3573" s="5" t="s">
        <v>12</v>
      </c>
      <c r="E3573" s="4">
        <v>490</v>
      </c>
      <c r="F3573" s="4" t="s">
        <v>385</v>
      </c>
      <c r="G3573" s="4" t="s">
        <v>1362</v>
      </c>
      <c r="H3573" s="4" t="s">
        <v>15</v>
      </c>
      <c r="I3573" s="4" t="s">
        <v>3446</v>
      </c>
      <c r="J3573" s="4" t="s">
        <v>3447</v>
      </c>
      <c r="K3573" s="4" t="s">
        <v>35</v>
      </c>
      <c r="L3573" s="4" t="s">
        <v>3742</v>
      </c>
      <c r="M3573" s="4" t="s">
        <v>3746</v>
      </c>
      <c r="N3573" s="4" t="s">
        <v>3747</v>
      </c>
      <c r="O3573" s="17">
        <f>INDEX('список ID из СУЭ с должностями'!$A:$F,MATCH(E3573,'список ID из СУЭ с должностями'!$B:$B,0),5)</f>
        <v>0</v>
      </c>
    </row>
    <row r="3574" spans="1:15" ht="60">
      <c r="A3574" s="3" t="s">
        <v>10</v>
      </c>
      <c r="B3574" s="3" t="s">
        <v>11</v>
      </c>
      <c r="C3574" s="4">
        <v>2026</v>
      </c>
      <c r="D3574" s="5" t="s">
        <v>12</v>
      </c>
      <c r="E3574" s="4">
        <v>491</v>
      </c>
      <c r="F3574" s="4" t="s">
        <v>3448</v>
      </c>
      <c r="G3574" s="4" t="s">
        <v>404</v>
      </c>
      <c r="H3574" s="4" t="s">
        <v>1308</v>
      </c>
      <c r="I3574" s="4" t="s">
        <v>410</v>
      </c>
      <c r="J3574" s="4" t="s">
        <v>3449</v>
      </c>
      <c r="K3574" s="4"/>
      <c r="L3574" s="4" t="s">
        <v>3743</v>
      </c>
      <c r="M3574" s="4"/>
      <c r="N3574" s="4"/>
      <c r="O3574" s="17">
        <f>INDEX('список ID из СУЭ с должностями'!$A:$F,MATCH(E3574,'список ID из СУЭ с должностями'!$B:$B,0),5)</f>
        <v>0</v>
      </c>
    </row>
    <row r="3575" spans="1:15" ht="60">
      <c r="A3575" s="3" t="s">
        <v>10</v>
      </c>
      <c r="B3575" s="3" t="s">
        <v>11</v>
      </c>
      <c r="C3575" s="4">
        <v>2026</v>
      </c>
      <c r="D3575" s="5" t="s">
        <v>12</v>
      </c>
      <c r="E3575" s="4">
        <v>491</v>
      </c>
      <c r="F3575" s="4" t="s">
        <v>3448</v>
      </c>
      <c r="G3575" s="4" t="s">
        <v>404</v>
      </c>
      <c r="H3575" s="4" t="s">
        <v>15</v>
      </c>
      <c r="I3575" s="4" t="s">
        <v>3450</v>
      </c>
      <c r="J3575" s="4" t="s">
        <v>3451</v>
      </c>
      <c r="K3575" s="4" t="s">
        <v>52</v>
      </c>
      <c r="L3575" s="4" t="s">
        <v>3743</v>
      </c>
      <c r="M3575" s="4" t="s">
        <v>3746</v>
      </c>
      <c r="N3575" s="4" t="s">
        <v>3747</v>
      </c>
      <c r="O3575" s="17">
        <f>INDEX('список ID из СУЭ с должностями'!$A:$F,MATCH(E3575,'список ID из СУЭ с должностями'!$B:$B,0),5)</f>
        <v>0</v>
      </c>
    </row>
    <row r="3576" spans="1:15" ht="60">
      <c r="A3576" s="3" t="s">
        <v>10</v>
      </c>
      <c r="B3576" s="3" t="s">
        <v>11</v>
      </c>
      <c r="C3576" s="4">
        <v>2026</v>
      </c>
      <c r="D3576" s="5" t="s">
        <v>12</v>
      </c>
      <c r="E3576" s="4">
        <v>491</v>
      </c>
      <c r="F3576" s="4" t="s">
        <v>3448</v>
      </c>
      <c r="G3576" s="4" t="s">
        <v>404</v>
      </c>
      <c r="H3576" s="4" t="s">
        <v>15</v>
      </c>
      <c r="I3576" s="4" t="s">
        <v>3452</v>
      </c>
      <c r="J3576" s="4" t="s">
        <v>3453</v>
      </c>
      <c r="K3576" s="4" t="s">
        <v>52</v>
      </c>
      <c r="L3576" s="4" t="s">
        <v>3743</v>
      </c>
      <c r="M3576" s="4" t="s">
        <v>3746</v>
      </c>
      <c r="N3576" s="4" t="s">
        <v>3747</v>
      </c>
      <c r="O3576" s="17">
        <f>INDEX('список ID из СУЭ с должностями'!$A:$F,MATCH(E3576,'список ID из СУЭ с должностями'!$B:$B,0),5)</f>
        <v>0</v>
      </c>
    </row>
    <row r="3577" spans="1:15" ht="150">
      <c r="A3577" s="3" t="s">
        <v>10</v>
      </c>
      <c r="B3577" s="3" t="s">
        <v>11</v>
      </c>
      <c r="C3577" s="4">
        <v>2026</v>
      </c>
      <c r="D3577" s="5" t="s">
        <v>12</v>
      </c>
      <c r="E3577" s="4">
        <v>491</v>
      </c>
      <c r="F3577" s="4" t="s">
        <v>3448</v>
      </c>
      <c r="G3577" s="4" t="s">
        <v>404</v>
      </c>
      <c r="H3577" s="4" t="s">
        <v>15</v>
      </c>
      <c r="I3577" s="4" t="s">
        <v>405</v>
      </c>
      <c r="J3577" s="4" t="s">
        <v>3454</v>
      </c>
      <c r="K3577" s="4" t="s">
        <v>52</v>
      </c>
      <c r="L3577" s="4" t="s">
        <v>3743</v>
      </c>
      <c r="M3577" s="4" t="s">
        <v>3746</v>
      </c>
      <c r="N3577" s="4" t="s">
        <v>3747</v>
      </c>
      <c r="O3577" s="17">
        <f>INDEX('список ID из СУЭ с должностями'!$A:$F,MATCH(E3577,'список ID из СУЭ с должностями'!$B:$B,0),5)</f>
        <v>0</v>
      </c>
    </row>
    <row r="3578" spans="1:15" ht="60">
      <c r="A3578" s="3" t="s">
        <v>10</v>
      </c>
      <c r="B3578" s="3" t="s">
        <v>11</v>
      </c>
      <c r="C3578" s="4">
        <v>2026</v>
      </c>
      <c r="D3578" s="5" t="s">
        <v>12</v>
      </c>
      <c r="E3578" s="4">
        <v>491</v>
      </c>
      <c r="F3578" s="4" t="s">
        <v>3448</v>
      </c>
      <c r="G3578" s="4" t="s">
        <v>404</v>
      </c>
      <c r="H3578" s="4" t="s">
        <v>21</v>
      </c>
      <c r="I3578" s="4" t="s">
        <v>3455</v>
      </c>
      <c r="J3578" s="4" t="s">
        <v>3456</v>
      </c>
      <c r="K3578" s="4" t="s">
        <v>52</v>
      </c>
      <c r="L3578" s="4" t="s">
        <v>3743</v>
      </c>
      <c r="M3578" s="4" t="s">
        <v>3746</v>
      </c>
      <c r="N3578" s="4" t="s">
        <v>3747</v>
      </c>
      <c r="O3578" s="17">
        <f>INDEX('список ID из СУЭ с должностями'!$A:$F,MATCH(E3578,'список ID из СУЭ с должностями'!$B:$B,0),5)</f>
        <v>0</v>
      </c>
    </row>
    <row r="3579" spans="1:15" ht="150">
      <c r="A3579" s="3" t="s">
        <v>10</v>
      </c>
      <c r="B3579" s="3" t="s">
        <v>11</v>
      </c>
      <c r="C3579" s="4">
        <v>2026</v>
      </c>
      <c r="D3579" s="5" t="s">
        <v>12</v>
      </c>
      <c r="E3579" s="4">
        <v>491</v>
      </c>
      <c r="F3579" s="4" t="s">
        <v>3448</v>
      </c>
      <c r="G3579" s="4" t="s">
        <v>404</v>
      </c>
      <c r="H3579" s="4" t="s">
        <v>21</v>
      </c>
      <c r="I3579" s="4" t="s">
        <v>52</v>
      </c>
      <c r="J3579" s="4" t="s">
        <v>3457</v>
      </c>
      <c r="K3579" s="4" t="s">
        <v>52</v>
      </c>
      <c r="L3579" s="4" t="s">
        <v>3743</v>
      </c>
      <c r="M3579" s="4" t="s">
        <v>3746</v>
      </c>
      <c r="N3579" s="4" t="s">
        <v>3747</v>
      </c>
      <c r="O3579" s="17">
        <f>INDEX('список ID из СУЭ с должностями'!$A:$F,MATCH(E3579,'список ID из СУЭ с должностями'!$B:$B,0),5)</f>
        <v>0</v>
      </c>
    </row>
    <row r="3580" spans="1:15" ht="165">
      <c r="A3580" s="3" t="s">
        <v>10</v>
      </c>
      <c r="B3580" s="3" t="s">
        <v>11</v>
      </c>
      <c r="C3580" s="4">
        <v>2026</v>
      </c>
      <c r="D3580" s="5" t="s">
        <v>12</v>
      </c>
      <c r="E3580" s="4">
        <v>491</v>
      </c>
      <c r="F3580" s="4" t="s">
        <v>3448</v>
      </c>
      <c r="G3580" s="4" t="s">
        <v>404</v>
      </c>
      <c r="H3580" s="4" t="s">
        <v>15</v>
      </c>
      <c r="I3580" s="4" t="s">
        <v>408</v>
      </c>
      <c r="J3580" s="4" t="s">
        <v>3458</v>
      </c>
      <c r="K3580" s="4" t="s">
        <v>35</v>
      </c>
      <c r="L3580" s="4" t="s">
        <v>3743</v>
      </c>
      <c r="M3580" s="4" t="s">
        <v>3746</v>
      </c>
      <c r="N3580" s="4" t="s">
        <v>3747</v>
      </c>
      <c r="O3580" s="17">
        <f>INDEX('список ID из СУЭ с должностями'!$A:$F,MATCH(E3580,'список ID из СУЭ с должностями'!$B:$B,0),5)</f>
        <v>0</v>
      </c>
    </row>
    <row r="3581" spans="1:15" ht="90">
      <c r="A3581" s="3" t="s">
        <v>10</v>
      </c>
      <c r="B3581" s="3" t="s">
        <v>2</v>
      </c>
      <c r="C3581" s="4">
        <v>2026</v>
      </c>
      <c r="D3581" s="5" t="s">
        <v>12</v>
      </c>
      <c r="E3581" s="4">
        <v>492</v>
      </c>
      <c r="F3581" s="4" t="s">
        <v>2739</v>
      </c>
      <c r="G3581" s="4" t="s">
        <v>2740</v>
      </c>
      <c r="H3581" s="4" t="s">
        <v>21</v>
      </c>
      <c r="I3581" s="4" t="s">
        <v>3459</v>
      </c>
      <c r="J3581" s="4" t="s">
        <v>3460</v>
      </c>
      <c r="K3581" s="4" t="s">
        <v>1497</v>
      </c>
      <c r="L3581" s="4" t="s">
        <v>3743</v>
      </c>
      <c r="M3581" s="4" t="s">
        <v>3746</v>
      </c>
      <c r="N3581" s="4" t="s">
        <v>3778</v>
      </c>
      <c r="O3581" s="17">
        <f>INDEX('список ID из СУЭ с должностями'!$A:$F,MATCH(E3581,'список ID из СУЭ с должностями'!$B:$B,0),5)</f>
        <v>0</v>
      </c>
    </row>
    <row r="3582" spans="1:15" ht="255">
      <c r="A3582" s="3" t="s">
        <v>10</v>
      </c>
      <c r="B3582" s="3" t="s">
        <v>2</v>
      </c>
      <c r="C3582" s="4">
        <v>2026</v>
      </c>
      <c r="D3582" s="5" t="s">
        <v>12</v>
      </c>
      <c r="E3582" s="4">
        <v>492</v>
      </c>
      <c r="F3582" s="4" t="s">
        <v>2739</v>
      </c>
      <c r="G3582" s="4" t="s">
        <v>2740</v>
      </c>
      <c r="H3582" s="4" t="s">
        <v>15</v>
      </c>
      <c r="I3582" s="4" t="s">
        <v>1499</v>
      </c>
      <c r="J3582" s="4" t="s">
        <v>3184</v>
      </c>
      <c r="K3582" s="4" t="s">
        <v>35</v>
      </c>
      <c r="L3582" s="4" t="s">
        <v>3743</v>
      </c>
      <c r="M3582" s="4" t="s">
        <v>3746</v>
      </c>
      <c r="N3582" s="4" t="s">
        <v>3747</v>
      </c>
      <c r="O3582" s="17">
        <f>INDEX('список ID из СУЭ с должностями'!$A:$F,MATCH(E3582,'список ID из СУЭ с должностями'!$B:$B,0),5)</f>
        <v>0</v>
      </c>
    </row>
    <row r="3583" spans="1:15" ht="105">
      <c r="A3583" s="3" t="s">
        <v>10</v>
      </c>
      <c r="B3583" s="3" t="s">
        <v>2</v>
      </c>
      <c r="C3583" s="4">
        <v>2026</v>
      </c>
      <c r="D3583" s="5" t="s">
        <v>12</v>
      </c>
      <c r="E3583" s="4">
        <v>492</v>
      </c>
      <c r="F3583" s="4" t="s">
        <v>2739</v>
      </c>
      <c r="G3583" s="4" t="s">
        <v>2740</v>
      </c>
      <c r="H3583" s="4" t="s">
        <v>15</v>
      </c>
      <c r="I3583" s="4" t="s">
        <v>2749</v>
      </c>
      <c r="J3583" s="4" t="s">
        <v>3111</v>
      </c>
      <c r="K3583" s="4" t="s">
        <v>188</v>
      </c>
      <c r="L3583" s="4" t="s">
        <v>3743</v>
      </c>
      <c r="M3583" s="4" t="s">
        <v>3746</v>
      </c>
      <c r="N3583" s="4" t="s">
        <v>3747</v>
      </c>
      <c r="O3583" s="17">
        <f>INDEX('список ID из СУЭ с должностями'!$A:$F,MATCH(E3583,'список ID из СУЭ с должностями'!$B:$B,0),5)</f>
        <v>0</v>
      </c>
    </row>
    <row r="3584" spans="1:15" ht="255">
      <c r="A3584" s="3" t="s">
        <v>10</v>
      </c>
      <c r="B3584" s="3" t="s">
        <v>2</v>
      </c>
      <c r="C3584" s="4">
        <v>2026</v>
      </c>
      <c r="D3584" s="5" t="s">
        <v>12</v>
      </c>
      <c r="E3584" s="4">
        <v>492</v>
      </c>
      <c r="F3584" s="4" t="s">
        <v>2739</v>
      </c>
      <c r="G3584" s="4" t="s">
        <v>2740</v>
      </c>
      <c r="H3584" s="4" t="s">
        <v>15</v>
      </c>
      <c r="I3584" s="4" t="s">
        <v>2737</v>
      </c>
      <c r="J3584" s="4" t="s">
        <v>3113</v>
      </c>
      <c r="K3584" s="4" t="s">
        <v>35</v>
      </c>
      <c r="L3584" s="4" t="s">
        <v>3743</v>
      </c>
      <c r="M3584" s="4" t="s">
        <v>3746</v>
      </c>
      <c r="N3584" s="4" t="s">
        <v>3747</v>
      </c>
      <c r="O3584" s="17">
        <f>INDEX('список ID из СУЭ с должностями'!$A:$F,MATCH(E3584,'список ID из СУЭ с должностями'!$B:$B,0),5)</f>
        <v>0</v>
      </c>
    </row>
    <row r="3585" spans="1:15" ht="90">
      <c r="A3585" s="3" t="s">
        <v>10</v>
      </c>
      <c r="B3585" s="3" t="s">
        <v>2</v>
      </c>
      <c r="C3585" s="4">
        <v>2026</v>
      </c>
      <c r="D3585" s="5" t="s">
        <v>12</v>
      </c>
      <c r="E3585" s="4">
        <v>492</v>
      </c>
      <c r="F3585" s="4" t="s">
        <v>2739</v>
      </c>
      <c r="G3585" s="4" t="s">
        <v>2740</v>
      </c>
      <c r="H3585" s="4" t="s">
        <v>15</v>
      </c>
      <c r="I3585" s="4" t="s">
        <v>3185</v>
      </c>
      <c r="J3585" s="4" t="s">
        <v>3186</v>
      </c>
      <c r="K3585" s="4" t="s">
        <v>188</v>
      </c>
      <c r="L3585" s="4" t="s">
        <v>3743</v>
      </c>
      <c r="M3585" s="4" t="s">
        <v>3746</v>
      </c>
      <c r="N3585" s="4" t="s">
        <v>3747</v>
      </c>
      <c r="O3585" s="17">
        <f>INDEX('список ID из СУЭ с должностями'!$A:$F,MATCH(E3585,'список ID из СУЭ с должностями'!$B:$B,0),5)</f>
        <v>0</v>
      </c>
    </row>
    <row r="3586" spans="1:15" ht="90">
      <c r="A3586" s="3" t="s">
        <v>10</v>
      </c>
      <c r="B3586" s="3" t="s">
        <v>2</v>
      </c>
      <c r="C3586" s="4">
        <v>2026</v>
      </c>
      <c r="D3586" s="5" t="s">
        <v>12</v>
      </c>
      <c r="E3586" s="4">
        <v>492</v>
      </c>
      <c r="F3586" s="4" t="s">
        <v>2739</v>
      </c>
      <c r="G3586" s="4" t="s">
        <v>2740</v>
      </c>
      <c r="H3586" s="4" t="s">
        <v>21</v>
      </c>
      <c r="I3586" s="4" t="s">
        <v>3461</v>
      </c>
      <c r="J3586" s="4" t="s">
        <v>3462</v>
      </c>
      <c r="K3586" s="4" t="s">
        <v>35</v>
      </c>
      <c r="L3586" s="4" t="s">
        <v>3743</v>
      </c>
      <c r="M3586" s="4" t="s">
        <v>3746</v>
      </c>
      <c r="N3586" s="4" t="s">
        <v>3747</v>
      </c>
      <c r="O3586" s="17">
        <f>INDEX('список ID из СУЭ с должностями'!$A:$F,MATCH(E3586,'список ID из СУЭ с должностями'!$B:$B,0),5)</f>
        <v>0</v>
      </c>
    </row>
    <row r="3587" spans="1:15" ht="165">
      <c r="A3587" s="3" t="s">
        <v>10</v>
      </c>
      <c r="B3587" s="3" t="s">
        <v>2</v>
      </c>
      <c r="C3587" s="4">
        <v>2026</v>
      </c>
      <c r="D3587" s="5" t="s">
        <v>12</v>
      </c>
      <c r="E3587" s="4">
        <v>492</v>
      </c>
      <c r="F3587" s="4" t="s">
        <v>2739</v>
      </c>
      <c r="G3587" s="4" t="s">
        <v>2740</v>
      </c>
      <c r="H3587" s="4" t="s">
        <v>15</v>
      </c>
      <c r="I3587" s="4" t="s">
        <v>3463</v>
      </c>
      <c r="J3587" s="4" t="s">
        <v>3464</v>
      </c>
      <c r="K3587" s="4" t="s">
        <v>35</v>
      </c>
      <c r="L3587" s="4" t="s">
        <v>3743</v>
      </c>
      <c r="M3587" s="4" t="s">
        <v>3746</v>
      </c>
      <c r="N3587" s="4" t="s">
        <v>3747</v>
      </c>
      <c r="O3587" s="17">
        <f>INDEX('список ID из СУЭ с должностями'!$A:$F,MATCH(E3587,'список ID из СУЭ с должностями'!$B:$B,0),5)</f>
        <v>0</v>
      </c>
    </row>
    <row r="3588" spans="1:15" ht="90">
      <c r="A3588" s="3" t="s">
        <v>10</v>
      </c>
      <c r="B3588" s="3" t="s">
        <v>2</v>
      </c>
      <c r="C3588" s="4">
        <v>2026</v>
      </c>
      <c r="D3588" s="5" t="s">
        <v>12</v>
      </c>
      <c r="E3588" s="4">
        <v>492</v>
      </c>
      <c r="F3588" s="4" t="s">
        <v>2739</v>
      </c>
      <c r="G3588" s="4" t="s">
        <v>2740</v>
      </c>
      <c r="H3588" s="4" t="s">
        <v>41</v>
      </c>
      <c r="I3588" s="4" t="s">
        <v>3114</v>
      </c>
      <c r="J3588" s="4" t="s">
        <v>3187</v>
      </c>
      <c r="K3588" s="4" t="s">
        <v>188</v>
      </c>
      <c r="L3588" s="4" t="s">
        <v>3743</v>
      </c>
      <c r="M3588" s="4" t="s">
        <v>3746</v>
      </c>
      <c r="N3588" s="4" t="s">
        <v>3747</v>
      </c>
      <c r="O3588" s="17">
        <f>INDEX('список ID из СУЭ с должностями'!$A:$F,MATCH(E3588,'список ID из СУЭ с должностями'!$B:$B,0),5)</f>
        <v>0</v>
      </c>
    </row>
    <row r="3589" spans="1:15" ht="150">
      <c r="A3589" s="3" t="s">
        <v>10</v>
      </c>
      <c r="B3589" s="3" t="s">
        <v>2</v>
      </c>
      <c r="C3589" s="4">
        <v>2026</v>
      </c>
      <c r="D3589" s="5" t="s">
        <v>12</v>
      </c>
      <c r="E3589" s="4">
        <v>492</v>
      </c>
      <c r="F3589" s="4" t="s">
        <v>2739</v>
      </c>
      <c r="G3589" s="4" t="s">
        <v>2740</v>
      </c>
      <c r="H3589" s="4" t="s">
        <v>15</v>
      </c>
      <c r="I3589" s="4" t="s">
        <v>1493</v>
      </c>
      <c r="J3589" s="4" t="s">
        <v>3465</v>
      </c>
      <c r="K3589" s="4" t="s">
        <v>188</v>
      </c>
      <c r="L3589" s="4" t="s">
        <v>3743</v>
      </c>
      <c r="M3589" s="4" t="s">
        <v>3746</v>
      </c>
      <c r="N3589" s="4" t="s">
        <v>3747</v>
      </c>
      <c r="O3589" s="17">
        <f>INDEX('список ID из СУЭ с должностями'!$A:$F,MATCH(E3589,'список ID из СУЭ с должностями'!$B:$B,0),5)</f>
        <v>0</v>
      </c>
    </row>
    <row r="3590" spans="1:15" ht="90">
      <c r="A3590" s="3" t="s">
        <v>10</v>
      </c>
      <c r="B3590" s="3" t="s">
        <v>2</v>
      </c>
      <c r="C3590" s="4">
        <v>2026</v>
      </c>
      <c r="D3590" s="5" t="s">
        <v>12</v>
      </c>
      <c r="E3590" s="4">
        <v>492</v>
      </c>
      <c r="F3590" s="4" t="s">
        <v>2739</v>
      </c>
      <c r="G3590" s="4" t="s">
        <v>2740</v>
      </c>
      <c r="H3590" s="4" t="s">
        <v>15</v>
      </c>
      <c r="I3590" s="4" t="s">
        <v>1489</v>
      </c>
      <c r="J3590" s="4" t="s">
        <v>3188</v>
      </c>
      <c r="K3590" s="4" t="s">
        <v>35</v>
      </c>
      <c r="L3590" s="4" t="s">
        <v>3743</v>
      </c>
      <c r="M3590" s="4" t="s">
        <v>3746</v>
      </c>
      <c r="N3590" s="4" t="s">
        <v>3747</v>
      </c>
      <c r="O3590" s="17">
        <f>INDEX('список ID из СУЭ с должностями'!$A:$F,MATCH(E3590,'список ID из СУЭ с должностями'!$B:$B,0),5)</f>
        <v>0</v>
      </c>
    </row>
    <row r="3591" spans="1:15" ht="60">
      <c r="A3591" s="3" t="s">
        <v>10</v>
      </c>
      <c r="B3591" s="3" t="s">
        <v>11</v>
      </c>
      <c r="C3591" s="4">
        <v>2026</v>
      </c>
      <c r="D3591" s="5" t="s">
        <v>3466</v>
      </c>
      <c r="E3591" s="4">
        <v>493</v>
      </c>
      <c r="F3591" s="4" t="s">
        <v>2161</v>
      </c>
      <c r="G3591" s="4" t="s">
        <v>417</v>
      </c>
      <c r="H3591" s="4" t="s">
        <v>21</v>
      </c>
      <c r="I3591" s="4" t="s">
        <v>3467</v>
      </c>
      <c r="J3591" s="4" t="s">
        <v>3467</v>
      </c>
      <c r="K3591" s="4" t="s">
        <v>2845</v>
      </c>
      <c r="L3591" s="4" t="s">
        <v>3743</v>
      </c>
      <c r="M3591" s="4" t="s">
        <v>3746</v>
      </c>
      <c r="N3591" s="4" t="s">
        <v>3754</v>
      </c>
      <c r="O3591" s="17">
        <f>INDEX('список ID из СУЭ с должностями'!$A:$F,MATCH(E3591,'список ID из СУЭ с должностями'!$B:$B,0),5)</f>
        <v>0</v>
      </c>
    </row>
    <row r="3592" spans="1:15" ht="60">
      <c r="A3592" s="3" t="s">
        <v>10</v>
      </c>
      <c r="B3592" s="3" t="s">
        <v>11</v>
      </c>
      <c r="C3592" s="4">
        <v>2026</v>
      </c>
      <c r="D3592" s="5" t="s">
        <v>12</v>
      </c>
      <c r="E3592" s="4">
        <v>494</v>
      </c>
      <c r="F3592" s="4" t="s">
        <v>153</v>
      </c>
      <c r="G3592" s="4" t="s">
        <v>154</v>
      </c>
      <c r="H3592" s="4" t="s">
        <v>15</v>
      </c>
      <c r="I3592" s="4" t="s">
        <v>175</v>
      </c>
      <c r="J3592" s="4" t="s">
        <v>828</v>
      </c>
      <c r="K3592" s="4" t="s">
        <v>38</v>
      </c>
      <c r="L3592" s="4" t="s">
        <v>3743</v>
      </c>
      <c r="M3592" s="4" t="s">
        <v>3746</v>
      </c>
      <c r="N3592" s="4" t="s">
        <v>3747</v>
      </c>
      <c r="O3592" s="17">
        <f>INDEX('список ID из СУЭ с должностями'!$A:$F,MATCH(E3592,'список ID из СУЭ с должностями'!$B:$B,0),5)</f>
        <v>0</v>
      </c>
    </row>
    <row r="3593" spans="1:15" ht="90">
      <c r="A3593" s="3" t="s">
        <v>10</v>
      </c>
      <c r="B3593" s="3" t="s">
        <v>11</v>
      </c>
      <c r="C3593" s="4">
        <v>2026</v>
      </c>
      <c r="D3593" s="5" t="s">
        <v>12</v>
      </c>
      <c r="E3593" s="4">
        <v>494</v>
      </c>
      <c r="F3593" s="4" t="s">
        <v>153</v>
      </c>
      <c r="G3593" s="4" t="s">
        <v>154</v>
      </c>
      <c r="H3593" s="4" t="s">
        <v>21</v>
      </c>
      <c r="I3593" s="4" t="s">
        <v>155</v>
      </c>
      <c r="J3593" s="4" t="s">
        <v>156</v>
      </c>
      <c r="K3593" s="4" t="s">
        <v>30</v>
      </c>
      <c r="L3593" s="4" t="s">
        <v>3743</v>
      </c>
      <c r="M3593" s="4" t="s">
        <v>3746</v>
      </c>
      <c r="N3593" s="4" t="s">
        <v>3747</v>
      </c>
      <c r="O3593" s="17">
        <f>INDEX('список ID из СУЭ с должностями'!$A:$F,MATCH(E3593,'список ID из СУЭ с должностями'!$B:$B,0),5)</f>
        <v>0</v>
      </c>
    </row>
    <row r="3594" spans="1:15" ht="90">
      <c r="A3594" s="3" t="s">
        <v>10</v>
      </c>
      <c r="B3594" s="3" t="s">
        <v>11</v>
      </c>
      <c r="C3594" s="4">
        <v>2026</v>
      </c>
      <c r="D3594" s="5" t="s">
        <v>12</v>
      </c>
      <c r="E3594" s="4">
        <v>494</v>
      </c>
      <c r="F3594" s="4" t="s">
        <v>153</v>
      </c>
      <c r="G3594" s="4" t="s">
        <v>154</v>
      </c>
      <c r="H3594" s="4" t="s">
        <v>15</v>
      </c>
      <c r="I3594" s="4" t="s">
        <v>159</v>
      </c>
      <c r="J3594" s="4" t="s">
        <v>213</v>
      </c>
      <c r="K3594" s="4" t="s">
        <v>20</v>
      </c>
      <c r="L3594" s="4" t="s">
        <v>3743</v>
      </c>
      <c r="M3594" s="4" t="s">
        <v>3746</v>
      </c>
      <c r="N3594" s="4" t="s">
        <v>3747</v>
      </c>
      <c r="O3594" s="17">
        <f>INDEX('список ID из СУЭ с должностями'!$A:$F,MATCH(E3594,'список ID из СУЭ с должностями'!$B:$B,0),5)</f>
        <v>0</v>
      </c>
    </row>
    <row r="3595" spans="1:15" ht="60">
      <c r="A3595" s="3" t="s">
        <v>10</v>
      </c>
      <c r="B3595" s="3" t="s">
        <v>11</v>
      </c>
      <c r="C3595" s="4">
        <v>2026</v>
      </c>
      <c r="D3595" s="5" t="s">
        <v>12</v>
      </c>
      <c r="E3595" s="4">
        <v>494</v>
      </c>
      <c r="F3595" s="4" t="s">
        <v>153</v>
      </c>
      <c r="G3595" s="4" t="s">
        <v>154</v>
      </c>
      <c r="H3595" s="4" t="s">
        <v>15</v>
      </c>
      <c r="I3595" s="4" t="s">
        <v>161</v>
      </c>
      <c r="J3595" s="4" t="s">
        <v>162</v>
      </c>
      <c r="K3595" s="4" t="s">
        <v>151</v>
      </c>
      <c r="L3595" s="4" t="s">
        <v>3743</v>
      </c>
      <c r="M3595" s="4" t="s">
        <v>3746</v>
      </c>
      <c r="N3595" s="4" t="s">
        <v>3747</v>
      </c>
      <c r="O3595" s="17">
        <f>INDEX('список ID из СУЭ с должностями'!$A:$F,MATCH(E3595,'список ID из СУЭ с должностями'!$B:$B,0),5)</f>
        <v>0</v>
      </c>
    </row>
    <row r="3596" spans="1:15" ht="60">
      <c r="A3596" s="3" t="s">
        <v>10</v>
      </c>
      <c r="B3596" s="3" t="s">
        <v>11</v>
      </c>
      <c r="C3596" s="4">
        <v>2026</v>
      </c>
      <c r="D3596" s="5" t="s">
        <v>12</v>
      </c>
      <c r="E3596" s="4">
        <v>494</v>
      </c>
      <c r="F3596" s="4" t="s">
        <v>153</v>
      </c>
      <c r="G3596" s="4" t="s">
        <v>154</v>
      </c>
      <c r="H3596" s="4" t="s">
        <v>41</v>
      </c>
      <c r="I3596" s="4" t="s">
        <v>165</v>
      </c>
      <c r="J3596" s="4" t="s">
        <v>166</v>
      </c>
      <c r="K3596" s="4" t="s">
        <v>151</v>
      </c>
      <c r="L3596" s="4" t="s">
        <v>3743</v>
      </c>
      <c r="M3596" s="4" t="s">
        <v>3746</v>
      </c>
      <c r="N3596" s="4" t="s">
        <v>3747</v>
      </c>
      <c r="O3596" s="17">
        <f>INDEX('список ID из СУЭ с должностями'!$A:$F,MATCH(E3596,'список ID из СУЭ с должностями'!$B:$B,0),5)</f>
        <v>0</v>
      </c>
    </row>
    <row r="3597" spans="1:15" ht="105">
      <c r="A3597" s="3" t="s">
        <v>10</v>
      </c>
      <c r="B3597" s="3" t="s">
        <v>11</v>
      </c>
      <c r="C3597" s="4">
        <v>2026</v>
      </c>
      <c r="D3597" s="5" t="s">
        <v>12</v>
      </c>
      <c r="E3597" s="4">
        <v>494</v>
      </c>
      <c r="F3597" s="4" t="s">
        <v>153</v>
      </c>
      <c r="G3597" s="4" t="s">
        <v>154</v>
      </c>
      <c r="H3597" s="4" t="s">
        <v>15</v>
      </c>
      <c r="I3597" s="4" t="s">
        <v>167</v>
      </c>
      <c r="J3597" s="4" t="s">
        <v>168</v>
      </c>
      <c r="K3597" s="4" t="s">
        <v>20</v>
      </c>
      <c r="L3597" s="4" t="s">
        <v>3743</v>
      </c>
      <c r="M3597" s="4" t="s">
        <v>3746</v>
      </c>
      <c r="N3597" s="4" t="s">
        <v>3747</v>
      </c>
      <c r="O3597" s="17">
        <f>INDEX('список ID из СУЭ с должностями'!$A:$F,MATCH(E3597,'список ID из СУЭ с должностями'!$B:$B,0),5)</f>
        <v>0</v>
      </c>
    </row>
    <row r="3598" spans="1:15" ht="60">
      <c r="A3598" s="3" t="s">
        <v>10</v>
      </c>
      <c r="B3598" s="3" t="s">
        <v>11</v>
      </c>
      <c r="C3598" s="4">
        <v>2026</v>
      </c>
      <c r="D3598" s="5" t="s">
        <v>12</v>
      </c>
      <c r="E3598" s="4">
        <v>494</v>
      </c>
      <c r="F3598" s="4" t="s">
        <v>153</v>
      </c>
      <c r="G3598" s="4" t="s">
        <v>154</v>
      </c>
      <c r="H3598" s="4" t="s">
        <v>15</v>
      </c>
      <c r="I3598" s="4" t="s">
        <v>163</v>
      </c>
      <c r="J3598" s="4" t="s">
        <v>164</v>
      </c>
      <c r="K3598" s="4" t="s">
        <v>38</v>
      </c>
      <c r="L3598" s="4" t="s">
        <v>3742</v>
      </c>
      <c r="M3598" s="4" t="s">
        <v>3746</v>
      </c>
      <c r="N3598" s="4" t="s">
        <v>3747</v>
      </c>
      <c r="O3598" s="17">
        <f>INDEX('список ID из СУЭ с должностями'!$A:$F,MATCH(E3598,'список ID из СУЭ с должностями'!$B:$B,0),5)</f>
        <v>0</v>
      </c>
    </row>
    <row r="3599" spans="1:15" ht="60">
      <c r="A3599" s="3" t="s">
        <v>10</v>
      </c>
      <c r="B3599" s="3" t="s">
        <v>11</v>
      </c>
      <c r="C3599" s="4">
        <v>2026</v>
      </c>
      <c r="D3599" s="5" t="s">
        <v>12</v>
      </c>
      <c r="E3599" s="4">
        <v>494</v>
      </c>
      <c r="F3599" s="4" t="s">
        <v>153</v>
      </c>
      <c r="G3599" s="4" t="s">
        <v>154</v>
      </c>
      <c r="H3599" s="4" t="s">
        <v>15</v>
      </c>
      <c r="I3599" s="4" t="s">
        <v>169</v>
      </c>
      <c r="J3599" s="4" t="s">
        <v>170</v>
      </c>
      <c r="K3599" s="4" t="s">
        <v>55</v>
      </c>
      <c r="L3599" s="4" t="s">
        <v>3743</v>
      </c>
      <c r="M3599" s="4" t="s">
        <v>3746</v>
      </c>
      <c r="N3599" s="4" t="s">
        <v>3747</v>
      </c>
      <c r="O3599" s="17">
        <f>INDEX('список ID из СУЭ с должностями'!$A:$F,MATCH(E3599,'список ID из СУЭ с должностями'!$B:$B,0),5)</f>
        <v>0</v>
      </c>
    </row>
    <row r="3600" spans="1:15" ht="90">
      <c r="A3600" s="3" t="s">
        <v>10</v>
      </c>
      <c r="B3600" s="3" t="s">
        <v>11</v>
      </c>
      <c r="C3600" s="4">
        <v>2026</v>
      </c>
      <c r="D3600" s="5" t="s">
        <v>12</v>
      </c>
      <c r="E3600" s="4">
        <v>494</v>
      </c>
      <c r="F3600" s="4" t="s">
        <v>153</v>
      </c>
      <c r="G3600" s="4" t="s">
        <v>154</v>
      </c>
      <c r="H3600" s="4" t="s">
        <v>21</v>
      </c>
      <c r="I3600" s="4" t="s">
        <v>171</v>
      </c>
      <c r="J3600" s="4" t="s">
        <v>172</v>
      </c>
      <c r="K3600" s="4" t="s">
        <v>35</v>
      </c>
      <c r="L3600" s="4" t="s">
        <v>3743</v>
      </c>
      <c r="M3600" s="4" t="s">
        <v>3746</v>
      </c>
      <c r="N3600" s="4" t="s">
        <v>3747</v>
      </c>
      <c r="O3600" s="17">
        <f>INDEX('список ID из СУЭ с должностями'!$A:$F,MATCH(E3600,'список ID из СУЭ с должностями'!$B:$B,0),5)</f>
        <v>0</v>
      </c>
    </row>
    <row r="3601" spans="1:15" ht="60">
      <c r="A3601" s="3" t="s">
        <v>10</v>
      </c>
      <c r="B3601" s="3" t="s">
        <v>11</v>
      </c>
      <c r="C3601" s="4">
        <v>2026</v>
      </c>
      <c r="D3601" s="5" t="s">
        <v>12</v>
      </c>
      <c r="E3601" s="4">
        <v>494</v>
      </c>
      <c r="F3601" s="4" t="s">
        <v>153</v>
      </c>
      <c r="G3601" s="4" t="s">
        <v>154</v>
      </c>
      <c r="H3601" s="4" t="s">
        <v>15</v>
      </c>
      <c r="I3601" s="4" t="s">
        <v>173</v>
      </c>
      <c r="J3601" s="4" t="s">
        <v>174</v>
      </c>
      <c r="K3601" s="4" t="s">
        <v>151</v>
      </c>
      <c r="L3601" s="4" t="s">
        <v>3743</v>
      </c>
      <c r="M3601" s="4" t="s">
        <v>3746</v>
      </c>
      <c r="N3601" s="4" t="s">
        <v>3747</v>
      </c>
      <c r="O3601" s="17">
        <f>INDEX('список ID из СУЭ с должностями'!$A:$F,MATCH(E3601,'список ID из СУЭ с должностями'!$B:$B,0),5)</f>
        <v>0</v>
      </c>
    </row>
    <row r="3602" spans="1:15" ht="90">
      <c r="A3602" s="3" t="s">
        <v>10</v>
      </c>
      <c r="B3602" s="3" t="s">
        <v>11</v>
      </c>
      <c r="C3602" s="4">
        <v>2026</v>
      </c>
      <c r="D3602" s="5" t="s">
        <v>12</v>
      </c>
      <c r="E3602" s="4">
        <v>495</v>
      </c>
      <c r="F3602" s="4" t="s">
        <v>766</v>
      </c>
      <c r="G3602" s="4" t="s">
        <v>725</v>
      </c>
      <c r="H3602" s="4" t="s">
        <v>15</v>
      </c>
      <c r="I3602" s="4" t="s">
        <v>767</v>
      </c>
      <c r="J3602" s="4" t="s">
        <v>196</v>
      </c>
      <c r="K3602" s="4" t="s">
        <v>30</v>
      </c>
      <c r="L3602" s="4" t="s">
        <v>3742</v>
      </c>
      <c r="M3602" s="4" t="s">
        <v>3746</v>
      </c>
      <c r="N3602" s="4" t="s">
        <v>3747</v>
      </c>
      <c r="O3602" s="17">
        <f>INDEX('список ID из СУЭ с должностями'!$A:$F,MATCH(E3602,'список ID из СУЭ с должностями'!$B:$B,0),5)</f>
        <v>0</v>
      </c>
    </row>
    <row r="3603" spans="1:15" ht="90">
      <c r="A3603" s="3" t="s">
        <v>10</v>
      </c>
      <c r="B3603" s="3" t="s">
        <v>11</v>
      </c>
      <c r="C3603" s="4">
        <v>2026</v>
      </c>
      <c r="D3603" s="5" t="s">
        <v>12</v>
      </c>
      <c r="E3603" s="4">
        <v>495</v>
      </c>
      <c r="F3603" s="4" t="s">
        <v>766</v>
      </c>
      <c r="G3603" s="4" t="s">
        <v>725</v>
      </c>
      <c r="H3603" s="4" t="s">
        <v>15</v>
      </c>
      <c r="I3603" s="4" t="s">
        <v>768</v>
      </c>
      <c r="J3603" s="4" t="s">
        <v>182</v>
      </c>
      <c r="K3603" s="4" t="s">
        <v>30</v>
      </c>
      <c r="L3603" s="4" t="s">
        <v>3742</v>
      </c>
      <c r="M3603" s="4" t="s">
        <v>3746</v>
      </c>
      <c r="N3603" s="4" t="s">
        <v>3747</v>
      </c>
      <c r="O3603" s="17">
        <f>INDEX('список ID из СУЭ с должностями'!$A:$F,MATCH(E3603,'список ID из СУЭ с должностями'!$B:$B,0),5)</f>
        <v>0</v>
      </c>
    </row>
    <row r="3604" spans="1:15" ht="90">
      <c r="A3604" s="3" t="s">
        <v>10</v>
      </c>
      <c r="B3604" s="3" t="s">
        <v>11</v>
      </c>
      <c r="C3604" s="4">
        <v>2026</v>
      </c>
      <c r="D3604" s="5" t="s">
        <v>12</v>
      </c>
      <c r="E3604" s="4">
        <v>495</v>
      </c>
      <c r="F3604" s="4" t="s">
        <v>766</v>
      </c>
      <c r="G3604" s="4" t="s">
        <v>725</v>
      </c>
      <c r="H3604" s="4" t="s">
        <v>15</v>
      </c>
      <c r="I3604" s="4" t="s">
        <v>769</v>
      </c>
      <c r="J3604" s="4" t="s">
        <v>182</v>
      </c>
      <c r="K3604" s="4" t="s">
        <v>30</v>
      </c>
      <c r="L3604" s="4" t="s">
        <v>3742</v>
      </c>
      <c r="M3604" s="4" t="s">
        <v>3746</v>
      </c>
      <c r="N3604" s="4" t="s">
        <v>3747</v>
      </c>
      <c r="O3604" s="17">
        <f>INDEX('список ID из СУЭ с должностями'!$A:$F,MATCH(E3604,'список ID из СУЭ с должностями'!$B:$B,0),5)</f>
        <v>0</v>
      </c>
    </row>
    <row r="3605" spans="1:15" ht="90">
      <c r="A3605" s="3" t="s">
        <v>10</v>
      </c>
      <c r="B3605" s="3" t="s">
        <v>11</v>
      </c>
      <c r="C3605" s="4">
        <v>2026</v>
      </c>
      <c r="D3605" s="5" t="s">
        <v>12</v>
      </c>
      <c r="E3605" s="4">
        <v>495</v>
      </c>
      <c r="F3605" s="4" t="s">
        <v>766</v>
      </c>
      <c r="G3605" s="4" t="s">
        <v>725</v>
      </c>
      <c r="H3605" s="4" t="s">
        <v>15</v>
      </c>
      <c r="I3605" s="4" t="s">
        <v>770</v>
      </c>
      <c r="J3605" s="4" t="s">
        <v>771</v>
      </c>
      <c r="K3605" s="4" t="s">
        <v>35</v>
      </c>
      <c r="L3605" s="4" t="s">
        <v>3742</v>
      </c>
      <c r="M3605" s="4" t="s">
        <v>3746</v>
      </c>
      <c r="N3605" s="4" t="s">
        <v>3747</v>
      </c>
      <c r="O3605" s="17">
        <f>INDEX('список ID из СУЭ с должностями'!$A:$F,MATCH(E3605,'список ID из СУЭ с должностями'!$B:$B,0),5)</f>
        <v>0</v>
      </c>
    </row>
    <row r="3606" spans="1:15" ht="105">
      <c r="A3606" s="3" t="s">
        <v>10</v>
      </c>
      <c r="B3606" s="3" t="s">
        <v>11</v>
      </c>
      <c r="C3606" s="4">
        <v>2026</v>
      </c>
      <c r="D3606" s="5" t="s">
        <v>12</v>
      </c>
      <c r="E3606" s="4">
        <v>495</v>
      </c>
      <c r="F3606" s="4" t="s">
        <v>766</v>
      </c>
      <c r="G3606" s="4" t="s">
        <v>725</v>
      </c>
      <c r="H3606" s="4" t="s">
        <v>15</v>
      </c>
      <c r="I3606" s="4" t="s">
        <v>772</v>
      </c>
      <c r="J3606" s="4" t="s">
        <v>773</v>
      </c>
      <c r="K3606" s="4" t="s">
        <v>30</v>
      </c>
      <c r="L3606" s="4" t="s">
        <v>3743</v>
      </c>
      <c r="M3606" s="4" t="s">
        <v>3746</v>
      </c>
      <c r="N3606" s="4" t="s">
        <v>3747</v>
      </c>
      <c r="O3606" s="17">
        <f>INDEX('список ID из СУЭ с должностями'!$A:$F,MATCH(E3606,'список ID из СУЭ с должностями'!$B:$B,0),5)</f>
        <v>0</v>
      </c>
    </row>
    <row r="3607" spans="1:15" ht="90">
      <c r="A3607" s="3" t="s">
        <v>10</v>
      </c>
      <c r="B3607" s="3" t="s">
        <v>11</v>
      </c>
      <c r="C3607" s="4">
        <v>2026</v>
      </c>
      <c r="D3607" s="5" t="s">
        <v>12</v>
      </c>
      <c r="E3607" s="4">
        <v>495</v>
      </c>
      <c r="F3607" s="4" t="s">
        <v>766</v>
      </c>
      <c r="G3607" s="4" t="s">
        <v>725</v>
      </c>
      <c r="H3607" s="4" t="s">
        <v>15</v>
      </c>
      <c r="I3607" s="4" t="s">
        <v>774</v>
      </c>
      <c r="J3607" s="4" t="s">
        <v>182</v>
      </c>
      <c r="K3607" s="4" t="s">
        <v>30</v>
      </c>
      <c r="L3607" s="4" t="s">
        <v>3742</v>
      </c>
      <c r="M3607" s="4" t="s">
        <v>3746</v>
      </c>
      <c r="N3607" s="4" t="s">
        <v>3747</v>
      </c>
      <c r="O3607" s="17">
        <f>INDEX('список ID из СУЭ с должностями'!$A:$F,MATCH(E3607,'список ID из СУЭ с должностями'!$B:$B,0),5)</f>
        <v>0</v>
      </c>
    </row>
    <row r="3608" spans="1:15" ht="90">
      <c r="A3608" s="3" t="s">
        <v>10</v>
      </c>
      <c r="B3608" s="3" t="s">
        <v>11</v>
      </c>
      <c r="C3608" s="4">
        <v>2026</v>
      </c>
      <c r="D3608" s="5" t="s">
        <v>12</v>
      </c>
      <c r="E3608" s="4">
        <v>495</v>
      </c>
      <c r="F3608" s="4" t="s">
        <v>766</v>
      </c>
      <c r="G3608" s="4" t="s">
        <v>725</v>
      </c>
      <c r="H3608" s="4" t="s">
        <v>15</v>
      </c>
      <c r="I3608" s="4" t="s">
        <v>775</v>
      </c>
      <c r="J3608" s="4" t="s">
        <v>776</v>
      </c>
      <c r="K3608" s="4" t="s">
        <v>30</v>
      </c>
      <c r="L3608" s="4" t="s">
        <v>3743</v>
      </c>
      <c r="M3608" s="4" t="s">
        <v>3746</v>
      </c>
      <c r="N3608" s="4" t="s">
        <v>3747</v>
      </c>
      <c r="O3608" s="17">
        <f>INDEX('список ID из СУЭ с должностями'!$A:$F,MATCH(E3608,'список ID из СУЭ с должностями'!$B:$B,0),5)</f>
        <v>0</v>
      </c>
    </row>
    <row r="3609" spans="1:15" ht="90">
      <c r="A3609" s="3" t="s">
        <v>10</v>
      </c>
      <c r="B3609" s="3" t="s">
        <v>11</v>
      </c>
      <c r="C3609" s="4">
        <v>2026</v>
      </c>
      <c r="D3609" s="5" t="s">
        <v>12</v>
      </c>
      <c r="E3609" s="4">
        <v>495</v>
      </c>
      <c r="F3609" s="4" t="s">
        <v>766</v>
      </c>
      <c r="G3609" s="4" t="s">
        <v>725</v>
      </c>
      <c r="H3609" s="4" t="s">
        <v>15</v>
      </c>
      <c r="I3609" s="4" t="s">
        <v>777</v>
      </c>
      <c r="J3609" s="4" t="s">
        <v>132</v>
      </c>
      <c r="K3609" s="4" t="s">
        <v>30</v>
      </c>
      <c r="L3609" s="4" t="s">
        <v>3742</v>
      </c>
      <c r="M3609" s="4" t="s">
        <v>3746</v>
      </c>
      <c r="N3609" s="4" t="s">
        <v>3747</v>
      </c>
      <c r="O3609" s="17">
        <f>INDEX('список ID из СУЭ с должностями'!$A:$F,MATCH(E3609,'список ID из СУЭ с должностями'!$B:$B,0),5)</f>
        <v>0</v>
      </c>
    </row>
    <row r="3610" spans="1:15" ht="90">
      <c r="A3610" s="3" t="s">
        <v>10</v>
      </c>
      <c r="B3610" s="3" t="s">
        <v>11</v>
      </c>
      <c r="C3610" s="4">
        <v>2026</v>
      </c>
      <c r="D3610" s="5" t="s">
        <v>12</v>
      </c>
      <c r="E3610" s="4">
        <v>495</v>
      </c>
      <c r="F3610" s="4" t="s">
        <v>766</v>
      </c>
      <c r="G3610" s="4" t="s">
        <v>725</v>
      </c>
      <c r="H3610" s="4" t="s">
        <v>15</v>
      </c>
      <c r="I3610" s="4" t="s">
        <v>778</v>
      </c>
      <c r="J3610" s="4" t="s">
        <v>132</v>
      </c>
      <c r="K3610" s="4" t="s">
        <v>30</v>
      </c>
      <c r="L3610" s="4" t="s">
        <v>3742</v>
      </c>
      <c r="M3610" s="4" t="s">
        <v>3746</v>
      </c>
      <c r="N3610" s="4" t="s">
        <v>3747</v>
      </c>
      <c r="O3610" s="17">
        <f>INDEX('список ID из СУЭ с должностями'!$A:$F,MATCH(E3610,'список ID из СУЭ с должностями'!$B:$B,0),5)</f>
        <v>0</v>
      </c>
    </row>
    <row r="3611" spans="1:15" ht="90">
      <c r="A3611" s="3" t="s">
        <v>10</v>
      </c>
      <c r="B3611" s="3" t="s">
        <v>11</v>
      </c>
      <c r="C3611" s="4">
        <v>2026</v>
      </c>
      <c r="D3611" s="5" t="s">
        <v>12</v>
      </c>
      <c r="E3611" s="4">
        <v>495</v>
      </c>
      <c r="F3611" s="4" t="s">
        <v>766</v>
      </c>
      <c r="G3611" s="4" t="s">
        <v>725</v>
      </c>
      <c r="H3611" s="4" t="s">
        <v>21</v>
      </c>
      <c r="I3611" s="4" t="s">
        <v>779</v>
      </c>
      <c r="J3611" s="4" t="s">
        <v>132</v>
      </c>
      <c r="K3611" s="4" t="s">
        <v>25</v>
      </c>
      <c r="L3611" s="4" t="s">
        <v>3742</v>
      </c>
      <c r="M3611" s="4" t="s">
        <v>3746</v>
      </c>
      <c r="N3611" s="4" t="s">
        <v>3747</v>
      </c>
      <c r="O3611" s="17">
        <f>INDEX('список ID из СУЭ с должностями'!$A:$F,MATCH(E3611,'список ID из СУЭ с должностями'!$B:$B,0),5)</f>
        <v>0</v>
      </c>
    </row>
    <row r="3612" spans="1:15" ht="120">
      <c r="A3612" s="3" t="s">
        <v>10</v>
      </c>
      <c r="B3612" s="3" t="s">
        <v>11</v>
      </c>
      <c r="C3612" s="4">
        <v>2026</v>
      </c>
      <c r="D3612" s="5" t="s">
        <v>12</v>
      </c>
      <c r="E3612" s="4">
        <v>496</v>
      </c>
      <c r="F3612" s="4" t="s">
        <v>2426</v>
      </c>
      <c r="G3612" s="4" t="s">
        <v>2427</v>
      </c>
      <c r="H3612" s="4" t="s">
        <v>15</v>
      </c>
      <c r="I3612" s="4" t="s">
        <v>460</v>
      </c>
      <c r="J3612" s="4" t="s">
        <v>2428</v>
      </c>
      <c r="K3612" s="4" t="s">
        <v>38</v>
      </c>
      <c r="L3612" s="4" t="s">
        <v>3743</v>
      </c>
      <c r="M3612" s="4" t="s">
        <v>3746</v>
      </c>
      <c r="N3612" s="4" t="s">
        <v>3747</v>
      </c>
      <c r="O3612" s="17">
        <f>INDEX('список ID из СУЭ с должностями'!$A:$F,MATCH(E3612,'список ID из СУЭ с должностями'!$B:$B,0),5)</f>
        <v>0</v>
      </c>
    </row>
    <row r="3613" spans="1:15" ht="120">
      <c r="A3613" s="3" t="s">
        <v>10</v>
      </c>
      <c r="B3613" s="3" t="s">
        <v>11</v>
      </c>
      <c r="C3613" s="4">
        <v>2026</v>
      </c>
      <c r="D3613" s="5" t="s">
        <v>12</v>
      </c>
      <c r="E3613" s="4">
        <v>496</v>
      </c>
      <c r="F3613" s="4" t="s">
        <v>2426</v>
      </c>
      <c r="G3613" s="4" t="s">
        <v>2427</v>
      </c>
      <c r="H3613" s="4" t="s">
        <v>41</v>
      </c>
      <c r="I3613" s="4" t="s">
        <v>2430</v>
      </c>
      <c r="J3613" s="4" t="s">
        <v>3468</v>
      </c>
      <c r="K3613" s="4" t="s">
        <v>20</v>
      </c>
      <c r="L3613" s="4" t="s">
        <v>3743</v>
      </c>
      <c r="M3613" s="4" t="s">
        <v>3746</v>
      </c>
      <c r="N3613" s="4" t="s">
        <v>3747</v>
      </c>
      <c r="O3613" s="17">
        <f>INDEX('список ID из СУЭ с должностями'!$A:$F,MATCH(E3613,'список ID из СУЭ с должностями'!$B:$B,0),5)</f>
        <v>0</v>
      </c>
    </row>
    <row r="3614" spans="1:15" ht="120">
      <c r="A3614" s="3" t="s">
        <v>10</v>
      </c>
      <c r="B3614" s="3" t="s">
        <v>11</v>
      </c>
      <c r="C3614" s="4">
        <v>2026</v>
      </c>
      <c r="D3614" s="5" t="s">
        <v>12</v>
      </c>
      <c r="E3614" s="4">
        <v>496</v>
      </c>
      <c r="F3614" s="4" t="s">
        <v>2426</v>
      </c>
      <c r="G3614" s="4" t="s">
        <v>2427</v>
      </c>
      <c r="H3614" s="4" t="s">
        <v>21</v>
      </c>
      <c r="I3614" s="4" t="s">
        <v>2432</v>
      </c>
      <c r="J3614" s="4" t="s">
        <v>2433</v>
      </c>
      <c r="K3614" s="4" t="s">
        <v>25</v>
      </c>
      <c r="L3614" s="4" t="s">
        <v>3743</v>
      </c>
      <c r="M3614" s="4" t="s">
        <v>3746</v>
      </c>
      <c r="N3614" s="4" t="s">
        <v>3747</v>
      </c>
      <c r="O3614" s="17">
        <f>INDEX('список ID из СУЭ с должностями'!$A:$F,MATCH(E3614,'список ID из СУЭ с должностями'!$B:$B,0),5)</f>
        <v>0</v>
      </c>
    </row>
    <row r="3615" spans="1:15" ht="120">
      <c r="A3615" s="3" t="s">
        <v>10</v>
      </c>
      <c r="B3615" s="3" t="s">
        <v>11</v>
      </c>
      <c r="C3615" s="4">
        <v>2026</v>
      </c>
      <c r="D3615" s="5" t="s">
        <v>12</v>
      </c>
      <c r="E3615" s="4">
        <v>496</v>
      </c>
      <c r="F3615" s="4" t="s">
        <v>2426</v>
      </c>
      <c r="G3615" s="4" t="s">
        <v>2427</v>
      </c>
      <c r="H3615" s="4" t="s">
        <v>15</v>
      </c>
      <c r="I3615" s="4" t="s">
        <v>2434</v>
      </c>
      <c r="J3615" s="4" t="s">
        <v>2435</v>
      </c>
      <c r="K3615" s="4" t="s">
        <v>66</v>
      </c>
      <c r="L3615" s="4" t="s">
        <v>3743</v>
      </c>
      <c r="M3615" s="4" t="s">
        <v>3746</v>
      </c>
      <c r="N3615" s="4" t="s">
        <v>3747</v>
      </c>
      <c r="O3615" s="17">
        <f>INDEX('список ID из СУЭ с должностями'!$A:$F,MATCH(E3615,'список ID из СУЭ с должностями'!$B:$B,0),5)</f>
        <v>0</v>
      </c>
    </row>
    <row r="3616" spans="1:15" ht="120">
      <c r="A3616" s="3" t="s">
        <v>10</v>
      </c>
      <c r="B3616" s="3" t="s">
        <v>11</v>
      </c>
      <c r="C3616" s="4">
        <v>2026</v>
      </c>
      <c r="D3616" s="5" t="s">
        <v>12</v>
      </c>
      <c r="E3616" s="4">
        <v>496</v>
      </c>
      <c r="F3616" s="4" t="s">
        <v>2426</v>
      </c>
      <c r="G3616" s="4" t="s">
        <v>2427</v>
      </c>
      <c r="H3616" s="4" t="s">
        <v>41</v>
      </c>
      <c r="I3616" s="4" t="s">
        <v>2436</v>
      </c>
      <c r="J3616" s="4" t="s">
        <v>2437</v>
      </c>
      <c r="K3616" s="4" t="s">
        <v>66</v>
      </c>
      <c r="L3616" s="4" t="s">
        <v>3743</v>
      </c>
      <c r="M3616" s="4" t="s">
        <v>3746</v>
      </c>
      <c r="N3616" s="4" t="s">
        <v>3747</v>
      </c>
      <c r="O3616" s="17">
        <f>INDEX('список ID из СУЭ с должностями'!$A:$F,MATCH(E3616,'список ID из СУЭ с должностями'!$B:$B,0),5)</f>
        <v>0</v>
      </c>
    </row>
    <row r="3617" spans="1:15" ht="195">
      <c r="A3617" s="3" t="s">
        <v>10</v>
      </c>
      <c r="B3617" s="3" t="s">
        <v>11</v>
      </c>
      <c r="C3617" s="4">
        <v>2026</v>
      </c>
      <c r="D3617" s="5" t="s">
        <v>12</v>
      </c>
      <c r="E3617" s="4">
        <v>496</v>
      </c>
      <c r="F3617" s="4" t="s">
        <v>2426</v>
      </c>
      <c r="G3617" s="4" t="s">
        <v>2427</v>
      </c>
      <c r="H3617" s="4" t="s">
        <v>41</v>
      </c>
      <c r="I3617" s="4" t="s">
        <v>147</v>
      </c>
      <c r="J3617" s="4" t="s">
        <v>2438</v>
      </c>
      <c r="K3617" s="4" t="s">
        <v>35</v>
      </c>
      <c r="L3617" s="4" t="s">
        <v>3743</v>
      </c>
      <c r="M3617" s="4" t="s">
        <v>3746</v>
      </c>
      <c r="N3617" s="4" t="s">
        <v>3747</v>
      </c>
      <c r="O3617" s="17">
        <f>INDEX('список ID из СУЭ с должностями'!$A:$F,MATCH(E3617,'список ID из СУЭ с должностями'!$B:$B,0),5)</f>
        <v>0</v>
      </c>
    </row>
    <row r="3618" spans="1:15" ht="315">
      <c r="A3618" s="3" t="s">
        <v>10</v>
      </c>
      <c r="B3618" s="3" t="s">
        <v>11</v>
      </c>
      <c r="C3618" s="4">
        <v>2026</v>
      </c>
      <c r="D3618" s="5" t="s">
        <v>12</v>
      </c>
      <c r="E3618" s="4">
        <v>496</v>
      </c>
      <c r="F3618" s="4" t="s">
        <v>2426</v>
      </c>
      <c r="G3618" s="4" t="s">
        <v>2427</v>
      </c>
      <c r="H3618" s="4" t="s">
        <v>15</v>
      </c>
      <c r="I3618" s="4" t="s">
        <v>2439</v>
      </c>
      <c r="J3618" s="4" t="s">
        <v>2440</v>
      </c>
      <c r="K3618" s="4" t="s">
        <v>66</v>
      </c>
      <c r="L3618" s="4" t="s">
        <v>3743</v>
      </c>
      <c r="M3618" s="4" t="s">
        <v>3746</v>
      </c>
      <c r="N3618" s="4" t="s">
        <v>3747</v>
      </c>
      <c r="O3618" s="17">
        <f>INDEX('список ID из СУЭ с должностями'!$A:$F,MATCH(E3618,'список ID из СУЭ с должностями'!$B:$B,0),5)</f>
        <v>0</v>
      </c>
    </row>
    <row r="3619" spans="1:15" ht="90">
      <c r="A3619" s="3" t="s">
        <v>10</v>
      </c>
      <c r="B3619" s="3" t="s">
        <v>11</v>
      </c>
      <c r="C3619" s="4">
        <v>2026</v>
      </c>
      <c r="D3619" s="5" t="s">
        <v>12</v>
      </c>
      <c r="E3619" s="4">
        <v>497</v>
      </c>
      <c r="F3619" s="4" t="s">
        <v>67</v>
      </c>
      <c r="G3619" s="4" t="s">
        <v>725</v>
      </c>
      <c r="H3619" s="4" t="s">
        <v>15</v>
      </c>
      <c r="I3619" s="4" t="s">
        <v>3469</v>
      </c>
      <c r="J3619" s="4" t="s">
        <v>79</v>
      </c>
      <c r="K3619" s="4" t="s">
        <v>25</v>
      </c>
      <c r="L3619" s="4" t="s">
        <v>3742</v>
      </c>
      <c r="M3619" s="4" t="s">
        <v>3746</v>
      </c>
      <c r="N3619" s="4" t="s">
        <v>3747</v>
      </c>
      <c r="O3619" s="17">
        <f>INDEX('список ID из СУЭ с должностями'!$A:$F,MATCH(E3619,'список ID из СУЭ с должностями'!$B:$B,0),5)</f>
        <v>0</v>
      </c>
    </row>
    <row r="3620" spans="1:15" ht="90">
      <c r="A3620" s="3" t="s">
        <v>10</v>
      </c>
      <c r="B3620" s="3" t="s">
        <v>11</v>
      </c>
      <c r="C3620" s="4">
        <v>2026</v>
      </c>
      <c r="D3620" s="5" t="s">
        <v>12</v>
      </c>
      <c r="E3620" s="4">
        <v>497</v>
      </c>
      <c r="F3620" s="4" t="s">
        <v>67</v>
      </c>
      <c r="G3620" s="4" t="s">
        <v>725</v>
      </c>
      <c r="H3620" s="4" t="s">
        <v>15</v>
      </c>
      <c r="I3620" s="4" t="s">
        <v>1071</v>
      </c>
      <c r="J3620" s="4" t="s">
        <v>1072</v>
      </c>
      <c r="K3620" s="4" t="s">
        <v>35</v>
      </c>
      <c r="L3620" s="4" t="s">
        <v>3742</v>
      </c>
      <c r="M3620" s="4" t="s">
        <v>3746</v>
      </c>
      <c r="N3620" s="4" t="s">
        <v>3747</v>
      </c>
      <c r="O3620" s="17">
        <f>INDEX('список ID из СУЭ с должностями'!$A:$F,MATCH(E3620,'список ID из СУЭ с должностями'!$B:$B,0),5)</f>
        <v>0</v>
      </c>
    </row>
    <row r="3621" spans="1:15" ht="90">
      <c r="A3621" s="3" t="s">
        <v>10</v>
      </c>
      <c r="B3621" s="3" t="s">
        <v>11</v>
      </c>
      <c r="C3621" s="4">
        <v>2026</v>
      </c>
      <c r="D3621" s="5" t="s">
        <v>12</v>
      </c>
      <c r="E3621" s="4">
        <v>497</v>
      </c>
      <c r="F3621" s="4" t="s">
        <v>67</v>
      </c>
      <c r="G3621" s="4" t="s">
        <v>725</v>
      </c>
      <c r="H3621" s="4" t="s">
        <v>15</v>
      </c>
      <c r="I3621" s="4" t="s">
        <v>3470</v>
      </c>
      <c r="J3621" s="4" t="s">
        <v>1072</v>
      </c>
      <c r="K3621" s="4" t="s">
        <v>55</v>
      </c>
      <c r="L3621" s="4" t="s">
        <v>3742</v>
      </c>
      <c r="M3621" s="4" t="s">
        <v>3746</v>
      </c>
      <c r="N3621" s="4" t="s">
        <v>3747</v>
      </c>
      <c r="O3621" s="17">
        <f>INDEX('список ID из СУЭ с должностями'!$A:$F,MATCH(E3621,'список ID из СУЭ с должностями'!$B:$B,0),5)</f>
        <v>0</v>
      </c>
    </row>
    <row r="3622" spans="1:15" ht="90">
      <c r="A3622" s="3" t="s">
        <v>10</v>
      </c>
      <c r="B3622" s="3" t="s">
        <v>11</v>
      </c>
      <c r="C3622" s="4">
        <v>2026</v>
      </c>
      <c r="D3622" s="5" t="s">
        <v>12</v>
      </c>
      <c r="E3622" s="4">
        <v>497</v>
      </c>
      <c r="F3622" s="4" t="s">
        <v>67</v>
      </c>
      <c r="G3622" s="4" t="s">
        <v>725</v>
      </c>
      <c r="H3622" s="4" t="s">
        <v>15</v>
      </c>
      <c r="I3622" s="4" t="s">
        <v>2467</v>
      </c>
      <c r="J3622" s="4" t="s">
        <v>3471</v>
      </c>
      <c r="K3622" s="4" t="s">
        <v>25</v>
      </c>
      <c r="L3622" s="4" t="s">
        <v>3742</v>
      </c>
      <c r="M3622" s="4" t="s">
        <v>3746</v>
      </c>
      <c r="N3622" s="4" t="s">
        <v>3747</v>
      </c>
      <c r="O3622" s="17">
        <f>INDEX('список ID из СУЭ с должностями'!$A:$F,MATCH(E3622,'список ID из СУЭ с должностями'!$B:$B,0),5)</f>
        <v>0</v>
      </c>
    </row>
    <row r="3623" spans="1:15" ht="90">
      <c r="A3623" s="3" t="s">
        <v>10</v>
      </c>
      <c r="B3623" s="3" t="s">
        <v>11</v>
      </c>
      <c r="C3623" s="4">
        <v>2026</v>
      </c>
      <c r="D3623" s="5" t="s">
        <v>12</v>
      </c>
      <c r="E3623" s="4">
        <v>497</v>
      </c>
      <c r="F3623" s="4" t="s">
        <v>67</v>
      </c>
      <c r="G3623" s="4" t="s">
        <v>725</v>
      </c>
      <c r="H3623" s="4" t="s">
        <v>15</v>
      </c>
      <c r="I3623" s="4" t="s">
        <v>3472</v>
      </c>
      <c r="J3623" s="4" t="s">
        <v>79</v>
      </c>
      <c r="K3623" s="4" t="s">
        <v>38</v>
      </c>
      <c r="L3623" s="4" t="s">
        <v>3742</v>
      </c>
      <c r="M3623" s="4" t="s">
        <v>3746</v>
      </c>
      <c r="N3623" s="4" t="s">
        <v>3747</v>
      </c>
      <c r="O3623" s="17">
        <f>INDEX('список ID из СУЭ с должностями'!$A:$F,MATCH(E3623,'список ID из СУЭ с должностями'!$B:$B,0),5)</f>
        <v>0</v>
      </c>
    </row>
    <row r="3624" spans="1:15" ht="90">
      <c r="A3624" s="3" t="s">
        <v>10</v>
      </c>
      <c r="B3624" s="3" t="s">
        <v>11</v>
      </c>
      <c r="C3624" s="4">
        <v>2026</v>
      </c>
      <c r="D3624" s="5" t="s">
        <v>12</v>
      </c>
      <c r="E3624" s="4">
        <v>497</v>
      </c>
      <c r="F3624" s="4" t="s">
        <v>67</v>
      </c>
      <c r="G3624" s="4" t="s">
        <v>725</v>
      </c>
      <c r="H3624" s="4" t="s">
        <v>15</v>
      </c>
      <c r="I3624" s="4" t="s">
        <v>3473</v>
      </c>
      <c r="J3624" s="4" t="s">
        <v>182</v>
      </c>
      <c r="K3624" s="4" t="s">
        <v>38</v>
      </c>
      <c r="L3624" s="4" t="s">
        <v>3742</v>
      </c>
      <c r="M3624" s="4" t="s">
        <v>3746</v>
      </c>
      <c r="N3624" s="4" t="s">
        <v>3747</v>
      </c>
      <c r="O3624" s="17">
        <f>INDEX('список ID из СУЭ с должностями'!$A:$F,MATCH(E3624,'список ID из СУЭ с должностями'!$B:$B,0),5)</f>
        <v>0</v>
      </c>
    </row>
    <row r="3625" spans="1:15" ht="90">
      <c r="A3625" s="3" t="s">
        <v>10</v>
      </c>
      <c r="B3625" s="3" t="s">
        <v>11</v>
      </c>
      <c r="C3625" s="4">
        <v>2026</v>
      </c>
      <c r="D3625" s="5" t="s">
        <v>12</v>
      </c>
      <c r="E3625" s="4">
        <v>497</v>
      </c>
      <c r="F3625" s="4" t="s">
        <v>67</v>
      </c>
      <c r="G3625" s="4" t="s">
        <v>725</v>
      </c>
      <c r="H3625" s="4" t="s">
        <v>15</v>
      </c>
      <c r="I3625" s="4" t="s">
        <v>3474</v>
      </c>
      <c r="J3625" s="4" t="s">
        <v>182</v>
      </c>
      <c r="K3625" s="4" t="s">
        <v>66</v>
      </c>
      <c r="L3625" s="4" t="s">
        <v>3742</v>
      </c>
      <c r="M3625" s="4" t="s">
        <v>3746</v>
      </c>
      <c r="N3625" s="4" t="s">
        <v>3747</v>
      </c>
      <c r="O3625" s="17">
        <f>INDEX('список ID из СУЭ с должностями'!$A:$F,MATCH(E3625,'список ID из СУЭ с должностями'!$B:$B,0),5)</f>
        <v>0</v>
      </c>
    </row>
    <row r="3626" spans="1:15" ht="75">
      <c r="A3626" s="3" t="s">
        <v>10</v>
      </c>
      <c r="B3626" s="3" t="s">
        <v>11</v>
      </c>
      <c r="C3626" s="4">
        <v>2026</v>
      </c>
      <c r="D3626" s="5" t="s">
        <v>12</v>
      </c>
      <c r="E3626" s="4">
        <v>498</v>
      </c>
      <c r="F3626" s="4" t="s">
        <v>67</v>
      </c>
      <c r="G3626" s="4" t="s">
        <v>365</v>
      </c>
      <c r="H3626" s="4" t="s">
        <v>15</v>
      </c>
      <c r="I3626" s="4" t="s">
        <v>3475</v>
      </c>
      <c r="J3626" s="4" t="s">
        <v>3476</v>
      </c>
      <c r="K3626" s="4" t="s">
        <v>23</v>
      </c>
      <c r="L3626" s="4" t="s">
        <v>3743</v>
      </c>
      <c r="M3626" s="4" t="s">
        <v>3748</v>
      </c>
      <c r="N3626" s="4" t="s">
        <v>3752</v>
      </c>
      <c r="O3626" s="17">
        <f>INDEX('список ID из СУЭ с должностями'!$A:$F,MATCH(E3626,'список ID из СУЭ с должностями'!$B:$B,0),5)</f>
        <v>0</v>
      </c>
    </row>
    <row r="3627" spans="1:15" ht="285">
      <c r="A3627" s="3" t="s">
        <v>10</v>
      </c>
      <c r="B3627" s="3" t="s">
        <v>11</v>
      </c>
      <c r="C3627" s="4">
        <v>2026</v>
      </c>
      <c r="D3627" s="5" t="s">
        <v>12</v>
      </c>
      <c r="E3627" s="4">
        <v>498</v>
      </c>
      <c r="F3627" s="4" t="s">
        <v>67</v>
      </c>
      <c r="G3627" s="4" t="s">
        <v>365</v>
      </c>
      <c r="H3627" s="4" t="s">
        <v>15</v>
      </c>
      <c r="I3627" s="4" t="s">
        <v>373</v>
      </c>
      <c r="J3627" s="4" t="s">
        <v>3477</v>
      </c>
      <c r="K3627" s="4" t="s">
        <v>35</v>
      </c>
      <c r="L3627" s="4" t="s">
        <v>3743</v>
      </c>
      <c r="M3627" s="4" t="s">
        <v>3746</v>
      </c>
      <c r="N3627" s="4" t="s">
        <v>3747</v>
      </c>
      <c r="O3627" s="17">
        <f>INDEX('список ID из СУЭ с должностями'!$A:$F,MATCH(E3627,'список ID из СУЭ с должностями'!$B:$B,0),5)</f>
        <v>0</v>
      </c>
    </row>
    <row r="3628" spans="1:15" ht="75">
      <c r="A3628" s="3" t="s">
        <v>10</v>
      </c>
      <c r="B3628" s="3" t="s">
        <v>11</v>
      </c>
      <c r="C3628" s="4">
        <v>2026</v>
      </c>
      <c r="D3628" s="5" t="s">
        <v>12</v>
      </c>
      <c r="E3628" s="4">
        <v>498</v>
      </c>
      <c r="F3628" s="4" t="s">
        <v>67</v>
      </c>
      <c r="G3628" s="4" t="s">
        <v>365</v>
      </c>
      <c r="H3628" s="4" t="s">
        <v>15</v>
      </c>
      <c r="I3628" s="4" t="s">
        <v>377</v>
      </c>
      <c r="J3628" s="4" t="s">
        <v>378</v>
      </c>
      <c r="K3628" s="4" t="s">
        <v>30</v>
      </c>
      <c r="L3628" s="4" t="s">
        <v>3742</v>
      </c>
      <c r="M3628" s="4" t="s">
        <v>3746</v>
      </c>
      <c r="N3628" s="4" t="s">
        <v>3747</v>
      </c>
      <c r="O3628" s="17">
        <f>INDEX('список ID из СУЭ с должностями'!$A:$F,MATCH(E3628,'список ID из СУЭ с должностями'!$B:$B,0),5)</f>
        <v>0</v>
      </c>
    </row>
    <row r="3629" spans="1:15" ht="180">
      <c r="A3629" s="3" t="s">
        <v>10</v>
      </c>
      <c r="B3629" s="3" t="s">
        <v>11</v>
      </c>
      <c r="C3629" s="4">
        <v>2026</v>
      </c>
      <c r="D3629" s="5" t="s">
        <v>12</v>
      </c>
      <c r="E3629" s="4">
        <v>498</v>
      </c>
      <c r="F3629" s="4" t="s">
        <v>67</v>
      </c>
      <c r="G3629" s="4" t="s">
        <v>365</v>
      </c>
      <c r="H3629" s="4" t="s">
        <v>21</v>
      </c>
      <c r="I3629" s="4" t="s">
        <v>3478</v>
      </c>
      <c r="J3629" s="4" t="s">
        <v>3479</v>
      </c>
      <c r="K3629" s="4" t="s">
        <v>30</v>
      </c>
      <c r="L3629" s="4" t="s">
        <v>3743</v>
      </c>
      <c r="M3629" s="4" t="s">
        <v>3746</v>
      </c>
      <c r="N3629" s="4" t="s">
        <v>3747</v>
      </c>
      <c r="O3629" s="17">
        <f>INDEX('список ID из СУЭ с должностями'!$A:$F,MATCH(E3629,'список ID из СУЭ с должностями'!$B:$B,0),5)</f>
        <v>0</v>
      </c>
    </row>
    <row r="3630" spans="1:15" ht="75">
      <c r="A3630" s="3" t="s">
        <v>10</v>
      </c>
      <c r="B3630" s="3" t="s">
        <v>11</v>
      </c>
      <c r="C3630" s="4">
        <v>2026</v>
      </c>
      <c r="D3630" s="5" t="s">
        <v>12</v>
      </c>
      <c r="E3630" s="4">
        <v>498</v>
      </c>
      <c r="F3630" s="4" t="s">
        <v>67</v>
      </c>
      <c r="G3630" s="4" t="s">
        <v>365</v>
      </c>
      <c r="H3630" s="4" t="s">
        <v>15</v>
      </c>
      <c r="I3630" s="4" t="s">
        <v>3480</v>
      </c>
      <c r="J3630" s="4" t="s">
        <v>3481</v>
      </c>
      <c r="K3630" s="4" t="s">
        <v>23</v>
      </c>
      <c r="L3630" s="4" t="s">
        <v>3743</v>
      </c>
      <c r="M3630" s="4" t="s">
        <v>3748</v>
      </c>
      <c r="N3630" s="4" t="s">
        <v>3752</v>
      </c>
      <c r="O3630" s="17">
        <f>INDEX('список ID из СУЭ с должностями'!$A:$F,MATCH(E3630,'список ID из СУЭ с должностями'!$B:$B,0),5)</f>
        <v>0</v>
      </c>
    </row>
    <row r="3631" spans="1:15" ht="75">
      <c r="A3631" s="3" t="s">
        <v>10</v>
      </c>
      <c r="B3631" s="3" t="s">
        <v>11</v>
      </c>
      <c r="C3631" s="4">
        <v>2026</v>
      </c>
      <c r="D3631" s="5" t="s">
        <v>12</v>
      </c>
      <c r="E3631" s="4">
        <v>498</v>
      </c>
      <c r="F3631" s="4" t="s">
        <v>67</v>
      </c>
      <c r="G3631" s="4" t="s">
        <v>365</v>
      </c>
      <c r="H3631" s="4" t="s">
        <v>15</v>
      </c>
      <c r="I3631" s="4" t="s">
        <v>383</v>
      </c>
      <c r="J3631" s="4" t="s">
        <v>109</v>
      </c>
      <c r="K3631" s="4" t="s">
        <v>384</v>
      </c>
      <c r="L3631" s="4" t="s">
        <v>3742</v>
      </c>
      <c r="M3631" s="4" t="s">
        <v>3750</v>
      </c>
      <c r="N3631" s="4" t="s">
        <v>3756</v>
      </c>
      <c r="O3631" s="17">
        <f>INDEX('список ID из СУЭ с должностями'!$A:$F,MATCH(E3631,'список ID из СУЭ с должностями'!$B:$B,0),5)</f>
        <v>0</v>
      </c>
    </row>
    <row r="3632" spans="1:15" ht="90">
      <c r="A3632" s="3" t="s">
        <v>10</v>
      </c>
      <c r="B3632" s="3" t="s">
        <v>11</v>
      </c>
      <c r="C3632" s="4">
        <v>2026</v>
      </c>
      <c r="D3632" s="5" t="s">
        <v>12</v>
      </c>
      <c r="E3632" s="4">
        <v>498</v>
      </c>
      <c r="F3632" s="4" t="s">
        <v>67</v>
      </c>
      <c r="G3632" s="4" t="s">
        <v>365</v>
      </c>
      <c r="H3632" s="4" t="s">
        <v>21</v>
      </c>
      <c r="I3632" s="4" t="s">
        <v>375</v>
      </c>
      <c r="J3632" s="4" t="s">
        <v>115</v>
      </c>
      <c r="K3632" s="4" t="s">
        <v>376</v>
      </c>
      <c r="L3632" s="4" t="s">
        <v>3742</v>
      </c>
      <c r="M3632" s="4" t="s">
        <v>3750</v>
      </c>
      <c r="N3632" s="4" t="s">
        <v>3756</v>
      </c>
      <c r="O3632" s="17">
        <f>INDEX('список ID из СУЭ с должностями'!$A:$F,MATCH(E3632,'список ID из СУЭ с должностями'!$B:$B,0),5)</f>
        <v>0</v>
      </c>
    </row>
    <row r="3633" spans="1:15" ht="105">
      <c r="A3633" s="3" t="s">
        <v>10</v>
      </c>
      <c r="B3633" s="3" t="s">
        <v>11</v>
      </c>
      <c r="C3633" s="4">
        <v>2026</v>
      </c>
      <c r="D3633" s="5" t="s">
        <v>12</v>
      </c>
      <c r="E3633" s="4">
        <v>498</v>
      </c>
      <c r="F3633" s="4" t="s">
        <v>67</v>
      </c>
      <c r="G3633" s="4" t="s">
        <v>365</v>
      </c>
      <c r="H3633" s="4" t="s">
        <v>15</v>
      </c>
      <c r="I3633" s="4" t="s">
        <v>380</v>
      </c>
      <c r="J3633" s="4" t="s">
        <v>381</v>
      </c>
      <c r="K3633" s="4" t="s">
        <v>382</v>
      </c>
      <c r="L3633" s="4" t="s">
        <v>3742</v>
      </c>
      <c r="M3633" s="4" t="s">
        <v>3750</v>
      </c>
      <c r="N3633" s="4" t="s">
        <v>3756</v>
      </c>
      <c r="O3633" s="17">
        <f>INDEX('список ID из СУЭ с должностями'!$A:$F,MATCH(E3633,'список ID из СУЭ с должностями'!$B:$B,0),5)</f>
        <v>0</v>
      </c>
    </row>
    <row r="3634" spans="1:15" ht="120">
      <c r="A3634" s="3" t="s">
        <v>10</v>
      </c>
      <c r="B3634" s="3" t="s">
        <v>11</v>
      </c>
      <c r="C3634" s="4">
        <v>2026</v>
      </c>
      <c r="D3634" s="5" t="s">
        <v>12</v>
      </c>
      <c r="E3634" s="4">
        <v>499</v>
      </c>
      <c r="F3634" s="4" t="s">
        <v>67</v>
      </c>
      <c r="G3634" s="4" t="s">
        <v>1833</v>
      </c>
      <c r="H3634" s="4" t="s">
        <v>15</v>
      </c>
      <c r="I3634" s="4" t="s">
        <v>3482</v>
      </c>
      <c r="J3634" s="4" t="s">
        <v>3483</v>
      </c>
      <c r="K3634" s="4" t="s">
        <v>23</v>
      </c>
      <c r="L3634" s="4" t="s">
        <v>3743</v>
      </c>
      <c r="M3634" s="4" t="s">
        <v>3748</v>
      </c>
      <c r="N3634" s="4" t="s">
        <v>3752</v>
      </c>
      <c r="O3634" s="17">
        <f>INDEX('список ID из СУЭ с должностями'!$A:$F,MATCH(E3634,'список ID из СУЭ с должностями'!$B:$B,0),5)</f>
        <v>0</v>
      </c>
    </row>
    <row r="3635" spans="1:15" ht="105">
      <c r="A3635" s="3" t="s">
        <v>10</v>
      </c>
      <c r="B3635" s="3" t="s">
        <v>11</v>
      </c>
      <c r="C3635" s="4">
        <v>2026</v>
      </c>
      <c r="D3635" s="5" t="s">
        <v>12</v>
      </c>
      <c r="E3635" s="4">
        <v>499</v>
      </c>
      <c r="F3635" s="4" t="s">
        <v>67</v>
      </c>
      <c r="G3635" s="4" t="s">
        <v>1833</v>
      </c>
      <c r="H3635" s="4" t="s">
        <v>41</v>
      </c>
      <c r="I3635" s="4" t="s">
        <v>1846</v>
      </c>
      <c r="J3635" s="4" t="s">
        <v>3484</v>
      </c>
      <c r="K3635" s="4" t="s">
        <v>23</v>
      </c>
      <c r="L3635" s="4" t="s">
        <v>3743</v>
      </c>
      <c r="M3635" s="4" t="s">
        <v>3748</v>
      </c>
      <c r="N3635" s="4" t="s">
        <v>3752</v>
      </c>
      <c r="O3635" s="17">
        <f>INDEX('список ID из СУЭ с должностями'!$A:$F,MATCH(E3635,'список ID из СУЭ с должностями'!$B:$B,0),5)</f>
        <v>0</v>
      </c>
    </row>
    <row r="3636" spans="1:15" ht="165">
      <c r="A3636" s="3" t="s">
        <v>10</v>
      </c>
      <c r="B3636" s="3" t="s">
        <v>11</v>
      </c>
      <c r="C3636" s="4">
        <v>2026</v>
      </c>
      <c r="D3636" s="5" t="s">
        <v>12</v>
      </c>
      <c r="E3636" s="4">
        <v>499</v>
      </c>
      <c r="F3636" s="4" t="s">
        <v>67</v>
      </c>
      <c r="G3636" s="4" t="s">
        <v>1833</v>
      </c>
      <c r="H3636" s="4" t="s">
        <v>41</v>
      </c>
      <c r="I3636" s="4" t="s">
        <v>3485</v>
      </c>
      <c r="J3636" s="4" t="s">
        <v>3486</v>
      </c>
      <c r="K3636" s="4" t="s">
        <v>23</v>
      </c>
      <c r="L3636" s="4" t="s">
        <v>3743</v>
      </c>
      <c r="M3636" s="4" t="s">
        <v>3748</v>
      </c>
      <c r="N3636" s="4" t="s">
        <v>3752</v>
      </c>
      <c r="O3636" s="17">
        <f>INDEX('список ID из СУЭ с должностями'!$A:$F,MATCH(E3636,'список ID из СУЭ с должностями'!$B:$B,0),5)</f>
        <v>0</v>
      </c>
    </row>
    <row r="3637" spans="1:15" ht="345">
      <c r="A3637" s="3" t="s">
        <v>10</v>
      </c>
      <c r="B3637" s="3" t="s">
        <v>11</v>
      </c>
      <c r="C3637" s="4">
        <v>2026</v>
      </c>
      <c r="D3637" s="5" t="s">
        <v>12</v>
      </c>
      <c r="E3637" s="4">
        <v>499</v>
      </c>
      <c r="F3637" s="4" t="s">
        <v>67</v>
      </c>
      <c r="G3637" s="4" t="s">
        <v>1833</v>
      </c>
      <c r="H3637" s="4" t="s">
        <v>41</v>
      </c>
      <c r="I3637" s="4" t="s">
        <v>1842</v>
      </c>
      <c r="J3637" s="4" t="s">
        <v>3487</v>
      </c>
      <c r="K3637" s="4" t="s">
        <v>23</v>
      </c>
      <c r="L3637" s="4" t="s">
        <v>3743</v>
      </c>
      <c r="M3637" s="4" t="s">
        <v>3748</v>
      </c>
      <c r="N3637" s="4" t="s">
        <v>3752</v>
      </c>
      <c r="O3637" s="17">
        <f>INDEX('список ID из СУЭ с должностями'!$A:$F,MATCH(E3637,'список ID из СУЭ с должностями'!$B:$B,0),5)</f>
        <v>0</v>
      </c>
    </row>
    <row r="3638" spans="1:15" ht="180">
      <c r="A3638" s="3" t="s">
        <v>10</v>
      </c>
      <c r="B3638" s="3" t="s">
        <v>11</v>
      </c>
      <c r="C3638" s="4">
        <v>2026</v>
      </c>
      <c r="D3638" s="5" t="s">
        <v>12</v>
      </c>
      <c r="E3638" s="4">
        <v>499</v>
      </c>
      <c r="F3638" s="4" t="s">
        <v>67</v>
      </c>
      <c r="G3638" s="4" t="s">
        <v>1833</v>
      </c>
      <c r="H3638" s="4" t="s">
        <v>41</v>
      </c>
      <c r="I3638" s="4" t="s">
        <v>1838</v>
      </c>
      <c r="J3638" s="4" t="s">
        <v>3488</v>
      </c>
      <c r="K3638" s="4" t="s">
        <v>23</v>
      </c>
      <c r="L3638" s="4" t="s">
        <v>3743</v>
      </c>
      <c r="M3638" s="4" t="s">
        <v>3748</v>
      </c>
      <c r="N3638" s="4" t="s">
        <v>3752</v>
      </c>
      <c r="O3638" s="17">
        <f>INDEX('список ID из СУЭ с должностями'!$A:$F,MATCH(E3638,'список ID из СУЭ с должностями'!$B:$B,0),5)</f>
        <v>0</v>
      </c>
    </row>
    <row r="3639" spans="1:15" ht="345">
      <c r="A3639" s="3" t="s">
        <v>10</v>
      </c>
      <c r="B3639" s="3" t="s">
        <v>11</v>
      </c>
      <c r="C3639" s="4">
        <v>2026</v>
      </c>
      <c r="D3639" s="5" t="s">
        <v>12</v>
      </c>
      <c r="E3639" s="4">
        <v>499</v>
      </c>
      <c r="F3639" s="4" t="s">
        <v>67</v>
      </c>
      <c r="G3639" s="4" t="s">
        <v>1833</v>
      </c>
      <c r="H3639" s="4" t="s">
        <v>15</v>
      </c>
      <c r="I3639" s="4" t="s">
        <v>1885</v>
      </c>
      <c r="J3639" s="4" t="s">
        <v>3489</v>
      </c>
      <c r="K3639" s="4" t="s">
        <v>23</v>
      </c>
      <c r="L3639" s="4" t="s">
        <v>3743</v>
      </c>
      <c r="M3639" s="4" t="s">
        <v>3748</v>
      </c>
      <c r="N3639" s="4" t="s">
        <v>3752</v>
      </c>
      <c r="O3639" s="17">
        <f>INDEX('список ID из СУЭ с должностями'!$A:$F,MATCH(E3639,'список ID из СУЭ с должностями'!$B:$B,0),5)</f>
        <v>0</v>
      </c>
    </row>
    <row r="3640" spans="1:15" ht="409.5">
      <c r="A3640" s="3" t="s">
        <v>10</v>
      </c>
      <c r="B3640" s="3" t="s">
        <v>11</v>
      </c>
      <c r="C3640" s="4">
        <v>2026</v>
      </c>
      <c r="D3640" s="5" t="s">
        <v>12</v>
      </c>
      <c r="E3640" s="4">
        <v>499</v>
      </c>
      <c r="F3640" s="4" t="s">
        <v>67</v>
      </c>
      <c r="G3640" s="4" t="s">
        <v>1833</v>
      </c>
      <c r="H3640" s="4" t="s">
        <v>41</v>
      </c>
      <c r="I3640" s="4" t="s">
        <v>3490</v>
      </c>
      <c r="J3640" s="4" t="s">
        <v>3491</v>
      </c>
      <c r="K3640" s="4" t="s">
        <v>23</v>
      </c>
      <c r="L3640" s="4" t="s">
        <v>3743</v>
      </c>
      <c r="M3640" s="4" t="s">
        <v>3748</v>
      </c>
      <c r="N3640" s="4" t="s">
        <v>3752</v>
      </c>
      <c r="O3640" s="17">
        <f>INDEX('список ID из СУЭ с должностями'!$A:$F,MATCH(E3640,'список ID из СУЭ с должностями'!$B:$B,0),5)</f>
        <v>0</v>
      </c>
    </row>
    <row r="3641" spans="1:15" ht="255">
      <c r="A3641" s="3" t="s">
        <v>10</v>
      </c>
      <c r="B3641" s="3" t="s">
        <v>11</v>
      </c>
      <c r="C3641" s="4">
        <v>2026</v>
      </c>
      <c r="D3641" s="5" t="s">
        <v>12</v>
      </c>
      <c r="E3641" s="4">
        <v>499</v>
      </c>
      <c r="F3641" s="4" t="s">
        <v>67</v>
      </c>
      <c r="G3641" s="4" t="s">
        <v>1833</v>
      </c>
      <c r="H3641" s="4" t="s">
        <v>41</v>
      </c>
      <c r="I3641" s="4" t="s">
        <v>3492</v>
      </c>
      <c r="J3641" s="4" t="s">
        <v>3493</v>
      </c>
      <c r="K3641" s="4" t="s">
        <v>23</v>
      </c>
      <c r="L3641" s="4" t="s">
        <v>3743</v>
      </c>
      <c r="M3641" s="4" t="s">
        <v>3748</v>
      </c>
      <c r="N3641" s="4" t="s">
        <v>3752</v>
      </c>
      <c r="O3641" s="17">
        <f>INDEX('список ID из СУЭ с должностями'!$A:$F,MATCH(E3641,'список ID из СУЭ с должностями'!$B:$B,0),5)</f>
        <v>0</v>
      </c>
    </row>
    <row r="3642" spans="1:15" ht="150">
      <c r="A3642" s="3" t="s">
        <v>10</v>
      </c>
      <c r="B3642" s="3" t="s">
        <v>11</v>
      </c>
      <c r="C3642" s="4">
        <v>2026</v>
      </c>
      <c r="D3642" s="5" t="s">
        <v>12</v>
      </c>
      <c r="E3642" s="4">
        <v>500</v>
      </c>
      <c r="F3642" s="4" t="s">
        <v>385</v>
      </c>
      <c r="G3642" s="4" t="s">
        <v>2180</v>
      </c>
      <c r="H3642" s="4" t="s">
        <v>15</v>
      </c>
      <c r="I3642" s="4" t="s">
        <v>3494</v>
      </c>
      <c r="J3642" s="4" t="s">
        <v>3495</v>
      </c>
      <c r="K3642" s="4" t="s">
        <v>2189</v>
      </c>
      <c r="L3642" s="4" t="s">
        <v>3743</v>
      </c>
      <c r="M3642" s="4" t="s">
        <v>3750</v>
      </c>
      <c r="N3642" s="4" t="s">
        <v>3786</v>
      </c>
      <c r="O3642" s="17">
        <f>INDEX('список ID из СУЭ с должностями'!$A:$F,MATCH(E3642,'список ID из СУЭ с должностями'!$B:$B,0),5)</f>
        <v>0</v>
      </c>
    </row>
    <row r="3643" spans="1:15" ht="315">
      <c r="A3643" s="3" t="s">
        <v>10</v>
      </c>
      <c r="B3643" s="3" t="s">
        <v>11</v>
      </c>
      <c r="C3643" s="4">
        <v>2026</v>
      </c>
      <c r="D3643" s="5" t="s">
        <v>12</v>
      </c>
      <c r="E3643" s="4">
        <v>500</v>
      </c>
      <c r="F3643" s="4" t="s">
        <v>385</v>
      </c>
      <c r="G3643" s="4" t="s">
        <v>2180</v>
      </c>
      <c r="H3643" s="4" t="s">
        <v>15</v>
      </c>
      <c r="I3643" s="4" t="s">
        <v>3496</v>
      </c>
      <c r="J3643" s="4" t="s">
        <v>3497</v>
      </c>
      <c r="K3643" s="4" t="s">
        <v>2186</v>
      </c>
      <c r="L3643" s="4" t="s">
        <v>3743</v>
      </c>
      <c r="M3643" s="4" t="s">
        <v>3750</v>
      </c>
      <c r="N3643" s="4" t="s">
        <v>3786</v>
      </c>
      <c r="O3643" s="17">
        <f>INDEX('список ID из СУЭ с должностями'!$A:$F,MATCH(E3643,'список ID из СУЭ с должностями'!$B:$B,0),5)</f>
        <v>0</v>
      </c>
    </row>
    <row r="3644" spans="1:15" ht="45">
      <c r="A3644" s="3" t="s">
        <v>10</v>
      </c>
      <c r="B3644" s="3" t="s">
        <v>11</v>
      </c>
      <c r="C3644" s="4">
        <v>2026</v>
      </c>
      <c r="D3644" s="5" t="s">
        <v>12</v>
      </c>
      <c r="E3644" s="4">
        <v>500</v>
      </c>
      <c r="F3644" s="4" t="s">
        <v>385</v>
      </c>
      <c r="G3644" s="4" t="s">
        <v>2180</v>
      </c>
      <c r="H3644" s="4" t="s">
        <v>15</v>
      </c>
      <c r="I3644" s="4" t="s">
        <v>1259</v>
      </c>
      <c r="J3644" s="4" t="s">
        <v>3498</v>
      </c>
      <c r="K3644" s="4" t="s">
        <v>2183</v>
      </c>
      <c r="L3644" s="4" t="s">
        <v>3743</v>
      </c>
      <c r="M3644" s="4" t="s">
        <v>3750</v>
      </c>
      <c r="N3644" s="4" t="s">
        <v>3786</v>
      </c>
      <c r="O3644" s="17">
        <f>INDEX('список ID из СУЭ с должностями'!$A:$F,MATCH(E3644,'список ID из СУЭ с должностями'!$B:$B,0),5)</f>
        <v>0</v>
      </c>
    </row>
    <row r="3645" spans="1:15" ht="255">
      <c r="A3645" s="3" t="s">
        <v>10</v>
      </c>
      <c r="B3645" s="3" t="s">
        <v>11</v>
      </c>
      <c r="C3645" s="4">
        <v>2026</v>
      </c>
      <c r="D3645" s="5" t="s">
        <v>12</v>
      </c>
      <c r="E3645" s="4">
        <v>500</v>
      </c>
      <c r="F3645" s="4" t="s">
        <v>385</v>
      </c>
      <c r="G3645" s="4" t="s">
        <v>2180</v>
      </c>
      <c r="H3645" s="4" t="s">
        <v>21</v>
      </c>
      <c r="I3645" s="4" t="s">
        <v>2186</v>
      </c>
      <c r="J3645" s="4" t="s">
        <v>3499</v>
      </c>
      <c r="K3645" s="4" t="s">
        <v>2186</v>
      </c>
      <c r="L3645" s="4" t="s">
        <v>3743</v>
      </c>
      <c r="M3645" s="4" t="s">
        <v>3750</v>
      </c>
      <c r="N3645" s="4" t="s">
        <v>3786</v>
      </c>
      <c r="O3645" s="17">
        <f>INDEX('список ID из СУЭ с должностями'!$A:$F,MATCH(E3645,'список ID из СУЭ с должностями'!$B:$B,0),5)</f>
        <v>0</v>
      </c>
    </row>
    <row r="3646" spans="1:15" ht="195">
      <c r="A3646" s="3" t="s">
        <v>10</v>
      </c>
      <c r="B3646" s="3" t="s">
        <v>11</v>
      </c>
      <c r="C3646" s="4">
        <v>2026</v>
      </c>
      <c r="D3646" s="5" t="s">
        <v>12</v>
      </c>
      <c r="E3646" s="4">
        <v>500</v>
      </c>
      <c r="F3646" s="4" t="s">
        <v>385</v>
      </c>
      <c r="G3646" s="4" t="s">
        <v>2180</v>
      </c>
      <c r="H3646" s="4" t="s">
        <v>15</v>
      </c>
      <c r="I3646" s="4" t="s">
        <v>3500</v>
      </c>
      <c r="J3646" s="4" t="s">
        <v>3501</v>
      </c>
      <c r="K3646" s="4" t="s">
        <v>2189</v>
      </c>
      <c r="L3646" s="4" t="s">
        <v>3743</v>
      </c>
      <c r="M3646" s="4" t="s">
        <v>3750</v>
      </c>
      <c r="N3646" s="4" t="s">
        <v>3786</v>
      </c>
      <c r="O3646" s="17">
        <f>INDEX('список ID из СУЭ с должностями'!$A:$F,MATCH(E3646,'список ID из СУЭ с должностями'!$B:$B,0),5)</f>
        <v>0</v>
      </c>
    </row>
    <row r="3647" spans="1:15" ht="75">
      <c r="A3647" s="3" t="s">
        <v>10</v>
      </c>
      <c r="B3647" s="3" t="s">
        <v>11</v>
      </c>
      <c r="C3647" s="4">
        <v>2026</v>
      </c>
      <c r="D3647" s="5" t="s">
        <v>12</v>
      </c>
      <c r="E3647" s="4">
        <v>501</v>
      </c>
      <c r="F3647" s="4" t="s">
        <v>307</v>
      </c>
      <c r="G3647" s="4" t="s">
        <v>1347</v>
      </c>
      <c r="H3647" s="4" t="s">
        <v>15</v>
      </c>
      <c r="I3647" s="4" t="s">
        <v>3325</v>
      </c>
      <c r="J3647" s="4" t="s">
        <v>3502</v>
      </c>
      <c r="K3647" s="4" t="s">
        <v>25</v>
      </c>
      <c r="L3647" s="4" t="s">
        <v>3743</v>
      </c>
      <c r="M3647" s="4" t="s">
        <v>3746</v>
      </c>
      <c r="N3647" s="4" t="s">
        <v>3747</v>
      </c>
      <c r="O3647" s="17">
        <f>INDEX('список ID из СУЭ с должностями'!$A:$F,MATCH(E3647,'список ID из СУЭ с должностями'!$B:$B,0),5)</f>
        <v>0</v>
      </c>
    </row>
    <row r="3648" spans="1:15" ht="255">
      <c r="A3648" s="3" t="s">
        <v>10</v>
      </c>
      <c r="B3648" s="3" t="s">
        <v>11</v>
      </c>
      <c r="C3648" s="4">
        <v>2026</v>
      </c>
      <c r="D3648" s="5" t="s">
        <v>12</v>
      </c>
      <c r="E3648" s="4">
        <v>501</v>
      </c>
      <c r="F3648" s="4" t="s">
        <v>307</v>
      </c>
      <c r="G3648" s="4" t="s">
        <v>1347</v>
      </c>
      <c r="H3648" s="4" t="s">
        <v>41</v>
      </c>
      <c r="I3648" s="4" t="s">
        <v>3503</v>
      </c>
      <c r="J3648" s="4" t="s">
        <v>3504</v>
      </c>
      <c r="K3648" s="4" t="s">
        <v>25</v>
      </c>
      <c r="L3648" s="4" t="s">
        <v>3743</v>
      </c>
      <c r="M3648" s="4" t="s">
        <v>3746</v>
      </c>
      <c r="N3648" s="4" t="s">
        <v>3747</v>
      </c>
      <c r="O3648" s="17">
        <f>INDEX('список ID из СУЭ с должностями'!$A:$F,MATCH(E3648,'список ID из СУЭ с должностями'!$B:$B,0),5)</f>
        <v>0</v>
      </c>
    </row>
    <row r="3649" spans="1:15" ht="75">
      <c r="A3649" s="3" t="s">
        <v>10</v>
      </c>
      <c r="B3649" s="3" t="s">
        <v>11</v>
      </c>
      <c r="C3649" s="4">
        <v>2026</v>
      </c>
      <c r="D3649" s="5" t="s">
        <v>12</v>
      </c>
      <c r="E3649" s="4">
        <v>501</v>
      </c>
      <c r="F3649" s="4" t="s">
        <v>307</v>
      </c>
      <c r="G3649" s="4" t="s">
        <v>1347</v>
      </c>
      <c r="H3649" s="4" t="s">
        <v>15</v>
      </c>
      <c r="I3649" s="4" t="s">
        <v>1356</v>
      </c>
      <c r="J3649" s="4" t="s">
        <v>1357</v>
      </c>
      <c r="K3649" s="4" t="s">
        <v>20</v>
      </c>
      <c r="L3649" s="4" t="s">
        <v>3743</v>
      </c>
      <c r="M3649" s="4" t="s">
        <v>3746</v>
      </c>
      <c r="N3649" s="4" t="s">
        <v>3747</v>
      </c>
      <c r="O3649" s="17">
        <f>INDEX('список ID из СУЭ с должностями'!$A:$F,MATCH(E3649,'список ID из СУЭ с должностями'!$B:$B,0),5)</f>
        <v>0</v>
      </c>
    </row>
    <row r="3650" spans="1:15" ht="210">
      <c r="A3650" s="3" t="s">
        <v>10</v>
      </c>
      <c r="B3650" s="3" t="s">
        <v>11</v>
      </c>
      <c r="C3650" s="4">
        <v>2026</v>
      </c>
      <c r="D3650" s="5" t="s">
        <v>12</v>
      </c>
      <c r="E3650" s="4">
        <v>501</v>
      </c>
      <c r="F3650" s="4" t="s">
        <v>307</v>
      </c>
      <c r="G3650" s="4" t="s">
        <v>1347</v>
      </c>
      <c r="H3650" s="4" t="s">
        <v>15</v>
      </c>
      <c r="I3650" s="4" t="s">
        <v>1350</v>
      </c>
      <c r="J3650" s="4" t="s">
        <v>1351</v>
      </c>
      <c r="K3650" s="4" t="s">
        <v>35</v>
      </c>
      <c r="L3650" s="4" t="s">
        <v>3743</v>
      </c>
      <c r="M3650" s="4" t="s">
        <v>3746</v>
      </c>
      <c r="N3650" s="4" t="s">
        <v>3747</v>
      </c>
      <c r="O3650" s="17">
        <f>INDEX('список ID из СУЭ с должностями'!$A:$F,MATCH(E3650,'список ID из СУЭ с должностями'!$B:$B,0),5)</f>
        <v>0</v>
      </c>
    </row>
    <row r="3651" spans="1:15" ht="405">
      <c r="A3651" s="3" t="s">
        <v>10</v>
      </c>
      <c r="B3651" s="3" t="s">
        <v>11</v>
      </c>
      <c r="C3651" s="4">
        <v>2026</v>
      </c>
      <c r="D3651" s="5" t="s">
        <v>12</v>
      </c>
      <c r="E3651" s="4">
        <v>501</v>
      </c>
      <c r="F3651" s="4" t="s">
        <v>307</v>
      </c>
      <c r="G3651" s="4" t="s">
        <v>1347</v>
      </c>
      <c r="H3651" s="4" t="s">
        <v>15</v>
      </c>
      <c r="I3651" s="4" t="s">
        <v>1354</v>
      </c>
      <c r="J3651" s="4" t="s">
        <v>3505</v>
      </c>
      <c r="K3651" s="4" t="s">
        <v>35</v>
      </c>
      <c r="L3651" s="4" t="s">
        <v>3743</v>
      </c>
      <c r="M3651" s="4" t="s">
        <v>3746</v>
      </c>
      <c r="N3651" s="4" t="s">
        <v>3747</v>
      </c>
      <c r="O3651" s="17">
        <f>INDEX('список ID из СУЭ с должностями'!$A:$F,MATCH(E3651,'список ID из СУЭ с должностями'!$B:$B,0),5)</f>
        <v>0</v>
      </c>
    </row>
    <row r="3652" spans="1:15" ht="75">
      <c r="A3652" s="3" t="s">
        <v>10</v>
      </c>
      <c r="B3652" s="3" t="s">
        <v>11</v>
      </c>
      <c r="C3652" s="4">
        <v>2026</v>
      </c>
      <c r="D3652" s="5" t="s">
        <v>12</v>
      </c>
      <c r="E3652" s="4">
        <v>501</v>
      </c>
      <c r="F3652" s="4" t="s">
        <v>307</v>
      </c>
      <c r="G3652" s="4" t="s">
        <v>1347</v>
      </c>
      <c r="H3652" s="4" t="s">
        <v>15</v>
      </c>
      <c r="I3652" s="4" t="s">
        <v>3506</v>
      </c>
      <c r="J3652" s="4" t="s">
        <v>3507</v>
      </c>
      <c r="K3652" s="4" t="s">
        <v>23</v>
      </c>
      <c r="L3652" s="4" t="s">
        <v>3743</v>
      </c>
      <c r="M3652" s="4" t="s">
        <v>3748</v>
      </c>
      <c r="N3652" s="4" t="s">
        <v>3749</v>
      </c>
      <c r="O3652" s="17">
        <f>INDEX('список ID из СУЭ с должностями'!$A:$F,MATCH(E3652,'список ID из СУЭ с должностями'!$B:$B,0),5)</f>
        <v>0</v>
      </c>
    </row>
    <row r="3653" spans="1:15" ht="75">
      <c r="A3653" s="3" t="s">
        <v>10</v>
      </c>
      <c r="B3653" s="3" t="s">
        <v>11</v>
      </c>
      <c r="C3653" s="4">
        <v>2026</v>
      </c>
      <c r="D3653" s="5" t="s">
        <v>12</v>
      </c>
      <c r="E3653" s="4">
        <v>501</v>
      </c>
      <c r="F3653" s="4" t="s">
        <v>307</v>
      </c>
      <c r="G3653" s="4" t="s">
        <v>1347</v>
      </c>
      <c r="H3653" s="4" t="s">
        <v>15</v>
      </c>
      <c r="I3653" s="4" t="s">
        <v>3069</v>
      </c>
      <c r="J3653" s="4" t="s">
        <v>3508</v>
      </c>
      <c r="K3653" s="4" t="s">
        <v>3069</v>
      </c>
      <c r="L3653" s="4" t="s">
        <v>3743</v>
      </c>
      <c r="M3653" s="4" t="s">
        <v>3750</v>
      </c>
      <c r="N3653" s="4" t="s">
        <v>3779</v>
      </c>
      <c r="O3653" s="17">
        <f>INDEX('список ID из СУЭ с должностями'!$A:$F,MATCH(E3653,'список ID из СУЭ с должностями'!$B:$B,0),5)</f>
        <v>0</v>
      </c>
    </row>
    <row r="3654" spans="1:15" ht="90">
      <c r="A3654" s="3" t="s">
        <v>10</v>
      </c>
      <c r="B3654" s="3" t="s">
        <v>11</v>
      </c>
      <c r="C3654" s="4">
        <v>2026</v>
      </c>
      <c r="D3654" s="5" t="s">
        <v>12</v>
      </c>
      <c r="E3654" s="4">
        <v>501</v>
      </c>
      <c r="F3654" s="4" t="s">
        <v>307</v>
      </c>
      <c r="G3654" s="4" t="s">
        <v>1347</v>
      </c>
      <c r="H3654" s="4" t="s">
        <v>15</v>
      </c>
      <c r="I3654" s="4" t="s">
        <v>2958</v>
      </c>
      <c r="J3654" s="4" t="s">
        <v>378</v>
      </c>
      <c r="K3654" s="4" t="s">
        <v>379</v>
      </c>
      <c r="L3654" s="4" t="s">
        <v>3742</v>
      </c>
      <c r="M3654" s="4" t="s">
        <v>3750</v>
      </c>
      <c r="N3654" s="4" t="s">
        <v>3779</v>
      </c>
      <c r="O3654" s="17">
        <f>INDEX('список ID из СУЭ с должностями'!$A:$F,MATCH(E3654,'список ID из СУЭ с должностями'!$B:$B,0),5)</f>
        <v>0</v>
      </c>
    </row>
    <row r="3655" spans="1:15" ht="135">
      <c r="A3655" s="3" t="s">
        <v>10</v>
      </c>
      <c r="B3655" s="3" t="s">
        <v>11</v>
      </c>
      <c r="C3655" s="4">
        <v>2026</v>
      </c>
      <c r="D3655" s="5" t="s">
        <v>12</v>
      </c>
      <c r="E3655" s="4">
        <v>501</v>
      </c>
      <c r="F3655" s="4" t="s">
        <v>307</v>
      </c>
      <c r="G3655" s="4" t="s">
        <v>1347</v>
      </c>
      <c r="H3655" s="4" t="s">
        <v>15</v>
      </c>
      <c r="I3655" s="4" t="s">
        <v>3509</v>
      </c>
      <c r="J3655" s="4" t="s">
        <v>2959</v>
      </c>
      <c r="K3655" s="4" t="s">
        <v>2952</v>
      </c>
      <c r="L3655" s="4" t="s">
        <v>3743</v>
      </c>
      <c r="M3655" s="4" t="s">
        <v>3750</v>
      </c>
      <c r="N3655" s="4" t="s">
        <v>3779</v>
      </c>
      <c r="O3655" s="17">
        <f>INDEX('список ID из СУЭ с должностями'!$A:$F,MATCH(E3655,'список ID из СУЭ с должностями'!$B:$B,0),5)</f>
        <v>0</v>
      </c>
    </row>
    <row r="3656" spans="1:15" ht="75">
      <c r="A3656" s="3" t="s">
        <v>10</v>
      </c>
      <c r="B3656" s="3" t="s">
        <v>11</v>
      </c>
      <c r="C3656" s="4">
        <v>2026</v>
      </c>
      <c r="D3656" s="5" t="s">
        <v>12</v>
      </c>
      <c r="E3656" s="4">
        <v>501</v>
      </c>
      <c r="F3656" s="4" t="s">
        <v>307</v>
      </c>
      <c r="G3656" s="4" t="s">
        <v>1347</v>
      </c>
      <c r="H3656" s="4" t="s">
        <v>15</v>
      </c>
      <c r="I3656" s="4" t="s">
        <v>3383</v>
      </c>
      <c r="J3656" s="4" t="s">
        <v>182</v>
      </c>
      <c r="K3656" s="4" t="s">
        <v>2954</v>
      </c>
      <c r="L3656" s="4" t="s">
        <v>3742</v>
      </c>
      <c r="M3656" s="4" t="s">
        <v>3750</v>
      </c>
      <c r="N3656" s="4" t="s">
        <v>3779</v>
      </c>
      <c r="O3656" s="17">
        <f>INDEX('список ID из СУЭ с должностями'!$A:$F,MATCH(E3656,'список ID из СУЭ с должностями'!$B:$B,0),5)</f>
        <v>0</v>
      </c>
    </row>
    <row r="3657" spans="1:15" ht="60">
      <c r="A3657" s="3" t="s">
        <v>10</v>
      </c>
      <c r="B3657" s="3" t="s">
        <v>11</v>
      </c>
      <c r="C3657" s="4">
        <v>2026</v>
      </c>
      <c r="D3657" s="5" t="s">
        <v>12</v>
      </c>
      <c r="E3657" s="4">
        <v>502</v>
      </c>
      <c r="F3657" s="4" t="s">
        <v>84</v>
      </c>
      <c r="G3657" s="4" t="s">
        <v>3266</v>
      </c>
      <c r="H3657" s="4" t="s">
        <v>15</v>
      </c>
      <c r="I3657" s="4" t="s">
        <v>3510</v>
      </c>
      <c r="J3657" s="4" t="s">
        <v>3511</v>
      </c>
      <c r="K3657" s="4" t="s">
        <v>23</v>
      </c>
      <c r="L3657" s="4" t="s">
        <v>3743</v>
      </c>
      <c r="M3657" s="4" t="s">
        <v>3748</v>
      </c>
      <c r="N3657" s="4" t="s">
        <v>3752</v>
      </c>
      <c r="O3657" s="17">
        <f>INDEX('список ID из СУЭ с должностями'!$A:$F,MATCH(E3657,'список ID из СУЭ с должностями'!$B:$B,0),5)</f>
        <v>0</v>
      </c>
    </row>
    <row r="3658" spans="1:15" ht="60">
      <c r="A3658" s="3" t="s">
        <v>10</v>
      </c>
      <c r="B3658" s="3" t="s">
        <v>11</v>
      </c>
      <c r="C3658" s="4">
        <v>2026</v>
      </c>
      <c r="D3658" s="5" t="s">
        <v>12</v>
      </c>
      <c r="E3658" s="4">
        <v>502</v>
      </c>
      <c r="F3658" s="4" t="s">
        <v>84</v>
      </c>
      <c r="G3658" s="4" t="s">
        <v>3266</v>
      </c>
      <c r="H3658" s="4" t="s">
        <v>15</v>
      </c>
      <c r="I3658" s="4" t="s">
        <v>3512</v>
      </c>
      <c r="J3658" s="4" t="s">
        <v>3513</v>
      </c>
      <c r="K3658" s="4" t="s">
        <v>30</v>
      </c>
      <c r="L3658" s="4" t="s">
        <v>3743</v>
      </c>
      <c r="M3658" s="4" t="s">
        <v>3746</v>
      </c>
      <c r="N3658" s="4" t="s">
        <v>3747</v>
      </c>
      <c r="O3658" s="17">
        <f>INDEX('список ID из СУЭ с должностями'!$A:$F,MATCH(E3658,'список ID из СУЭ с должностями'!$B:$B,0),5)</f>
        <v>0</v>
      </c>
    </row>
    <row r="3659" spans="1:15" ht="60">
      <c r="A3659" s="3" t="s">
        <v>10</v>
      </c>
      <c r="B3659" s="3" t="s">
        <v>11</v>
      </c>
      <c r="C3659" s="4">
        <v>2026</v>
      </c>
      <c r="D3659" s="5" t="s">
        <v>12</v>
      </c>
      <c r="E3659" s="4">
        <v>502</v>
      </c>
      <c r="F3659" s="4" t="s">
        <v>84</v>
      </c>
      <c r="G3659" s="4" t="s">
        <v>3266</v>
      </c>
      <c r="H3659" s="4" t="s">
        <v>15</v>
      </c>
      <c r="I3659" s="4" t="s">
        <v>3514</v>
      </c>
      <c r="J3659" s="4" t="s">
        <v>3515</v>
      </c>
      <c r="K3659" s="4" t="s">
        <v>52</v>
      </c>
      <c r="L3659" s="4" t="s">
        <v>3743</v>
      </c>
      <c r="M3659" s="4" t="s">
        <v>3746</v>
      </c>
      <c r="N3659" s="4" t="s">
        <v>3747</v>
      </c>
      <c r="O3659" s="17">
        <f>INDEX('список ID из СУЭ с должностями'!$A:$F,MATCH(E3659,'список ID из СУЭ с должностями'!$B:$B,0),5)</f>
        <v>0</v>
      </c>
    </row>
    <row r="3660" spans="1:15" ht="345">
      <c r="A3660" s="3" t="s">
        <v>10</v>
      </c>
      <c r="B3660" s="3" t="s">
        <v>11</v>
      </c>
      <c r="C3660" s="4">
        <v>2026</v>
      </c>
      <c r="D3660" s="5" t="s">
        <v>12</v>
      </c>
      <c r="E3660" s="4">
        <v>502</v>
      </c>
      <c r="F3660" s="4" t="s">
        <v>84</v>
      </c>
      <c r="G3660" s="4" t="s">
        <v>3266</v>
      </c>
      <c r="H3660" s="4" t="s">
        <v>15</v>
      </c>
      <c r="I3660" s="4" t="s">
        <v>3516</v>
      </c>
      <c r="J3660" s="4" t="s">
        <v>3517</v>
      </c>
      <c r="K3660" s="4" t="s">
        <v>52</v>
      </c>
      <c r="L3660" s="4" t="s">
        <v>3743</v>
      </c>
      <c r="M3660" s="4" t="s">
        <v>3746</v>
      </c>
      <c r="N3660" s="4" t="s">
        <v>3747</v>
      </c>
      <c r="O3660" s="17">
        <f>INDEX('список ID из СУЭ с должностями'!$A:$F,MATCH(E3660,'список ID из СУЭ с должностями'!$B:$B,0),5)</f>
        <v>0</v>
      </c>
    </row>
    <row r="3661" spans="1:15" ht="120">
      <c r="A3661" s="3" t="s">
        <v>10</v>
      </c>
      <c r="B3661" s="3" t="s">
        <v>11</v>
      </c>
      <c r="C3661" s="4">
        <v>2026</v>
      </c>
      <c r="D3661" s="5" t="s">
        <v>12</v>
      </c>
      <c r="E3661" s="4">
        <v>503</v>
      </c>
      <c r="F3661" s="4" t="s">
        <v>454</v>
      </c>
      <c r="G3661" s="4" t="s">
        <v>455</v>
      </c>
      <c r="H3661" s="4" t="s">
        <v>15</v>
      </c>
      <c r="I3661" s="4" t="s">
        <v>456</v>
      </c>
      <c r="J3661" s="4" t="s">
        <v>457</v>
      </c>
      <c r="K3661" s="4" t="s">
        <v>23</v>
      </c>
      <c r="L3661" s="4" t="s">
        <v>3743</v>
      </c>
      <c r="M3661" s="4" t="s">
        <v>3748</v>
      </c>
      <c r="N3661" s="4" t="s">
        <v>3752</v>
      </c>
      <c r="O3661" s="17">
        <f>INDEX('список ID из СУЭ с должностями'!$A:$F,MATCH(E3661,'список ID из СУЭ с должностями'!$B:$B,0),5)</f>
        <v>0</v>
      </c>
    </row>
    <row r="3662" spans="1:15" ht="375">
      <c r="A3662" s="3" t="s">
        <v>10</v>
      </c>
      <c r="B3662" s="3" t="s">
        <v>11</v>
      </c>
      <c r="C3662" s="4">
        <v>2026</v>
      </c>
      <c r="D3662" s="5" t="s">
        <v>12</v>
      </c>
      <c r="E3662" s="4">
        <v>503</v>
      </c>
      <c r="F3662" s="4" t="s">
        <v>454</v>
      </c>
      <c r="G3662" s="4" t="s">
        <v>455</v>
      </c>
      <c r="H3662" s="4" t="s">
        <v>15</v>
      </c>
      <c r="I3662" s="4" t="s">
        <v>460</v>
      </c>
      <c r="J3662" s="4" t="s">
        <v>461</v>
      </c>
      <c r="K3662" s="4" t="s">
        <v>38</v>
      </c>
      <c r="L3662" s="4" t="s">
        <v>3743</v>
      </c>
      <c r="M3662" s="4" t="s">
        <v>3746</v>
      </c>
      <c r="N3662" s="4" t="s">
        <v>3747</v>
      </c>
      <c r="O3662" s="17">
        <f>INDEX('список ID из СУЭ с должностями'!$A:$F,MATCH(E3662,'список ID из СУЭ с должностями'!$B:$B,0),5)</f>
        <v>0</v>
      </c>
    </row>
    <row r="3663" spans="1:15" ht="120">
      <c r="A3663" s="3" t="s">
        <v>10</v>
      </c>
      <c r="B3663" s="3" t="s">
        <v>11</v>
      </c>
      <c r="C3663" s="4">
        <v>2026</v>
      </c>
      <c r="D3663" s="5" t="s">
        <v>12</v>
      </c>
      <c r="E3663" s="4">
        <v>503</v>
      </c>
      <c r="F3663" s="4" t="s">
        <v>454</v>
      </c>
      <c r="G3663" s="4" t="s">
        <v>455</v>
      </c>
      <c r="H3663" s="4" t="s">
        <v>15</v>
      </c>
      <c r="I3663" s="4" t="s">
        <v>462</v>
      </c>
      <c r="J3663" s="4" t="s">
        <v>463</v>
      </c>
      <c r="K3663" s="4" t="s">
        <v>35</v>
      </c>
      <c r="L3663" s="4" t="s">
        <v>3742</v>
      </c>
      <c r="M3663" s="4" t="s">
        <v>3746</v>
      </c>
      <c r="N3663" s="4" t="s">
        <v>3747</v>
      </c>
      <c r="O3663" s="17">
        <f>INDEX('список ID из СУЭ с должностями'!$A:$F,MATCH(E3663,'список ID из СУЭ с должностями'!$B:$B,0),5)</f>
        <v>0</v>
      </c>
    </row>
    <row r="3664" spans="1:15" ht="409.5">
      <c r="A3664" s="3" t="s">
        <v>10</v>
      </c>
      <c r="B3664" s="3" t="s">
        <v>11</v>
      </c>
      <c r="C3664" s="4">
        <v>2026</v>
      </c>
      <c r="D3664" s="5" t="s">
        <v>12</v>
      </c>
      <c r="E3664" s="4">
        <v>503</v>
      </c>
      <c r="F3664" s="4" t="s">
        <v>454</v>
      </c>
      <c r="G3664" s="4" t="s">
        <v>455</v>
      </c>
      <c r="H3664" s="4" t="s">
        <v>15</v>
      </c>
      <c r="I3664" s="4" t="s">
        <v>464</v>
      </c>
      <c r="J3664" s="4" t="s">
        <v>465</v>
      </c>
      <c r="K3664" s="4" t="s">
        <v>66</v>
      </c>
      <c r="L3664" s="4" t="s">
        <v>3743</v>
      </c>
      <c r="M3664" s="4" t="s">
        <v>3746</v>
      </c>
      <c r="N3664" s="4" t="s">
        <v>3747</v>
      </c>
      <c r="O3664" s="17">
        <f>INDEX('список ID из СУЭ с должностями'!$A:$F,MATCH(E3664,'список ID из СУЭ с должностями'!$B:$B,0),5)</f>
        <v>0</v>
      </c>
    </row>
    <row r="3665" spans="1:15" ht="120">
      <c r="A3665" s="3" t="s">
        <v>10</v>
      </c>
      <c r="B3665" s="3" t="s">
        <v>11</v>
      </c>
      <c r="C3665" s="4">
        <v>2026</v>
      </c>
      <c r="D3665" s="5" t="s">
        <v>12</v>
      </c>
      <c r="E3665" s="4">
        <v>503</v>
      </c>
      <c r="F3665" s="4" t="s">
        <v>454</v>
      </c>
      <c r="G3665" s="4" t="s">
        <v>455</v>
      </c>
      <c r="H3665" s="4" t="s">
        <v>15</v>
      </c>
      <c r="I3665" s="4" t="s">
        <v>466</v>
      </c>
      <c r="J3665" s="4" t="s">
        <v>467</v>
      </c>
      <c r="K3665" s="4" t="s">
        <v>30</v>
      </c>
      <c r="L3665" s="4" t="s">
        <v>3742</v>
      </c>
      <c r="M3665" s="4" t="s">
        <v>3746</v>
      </c>
      <c r="N3665" s="4" t="s">
        <v>3747</v>
      </c>
      <c r="O3665" s="17">
        <f>INDEX('список ID из СУЭ с должностями'!$A:$F,MATCH(E3665,'список ID из СУЭ с должностями'!$B:$B,0),5)</f>
        <v>0</v>
      </c>
    </row>
    <row r="3666" spans="1:15" ht="120">
      <c r="A3666" s="3" t="s">
        <v>10</v>
      </c>
      <c r="B3666" s="3" t="s">
        <v>11</v>
      </c>
      <c r="C3666" s="4">
        <v>2026</v>
      </c>
      <c r="D3666" s="5" t="s">
        <v>12</v>
      </c>
      <c r="E3666" s="4">
        <v>503</v>
      </c>
      <c r="F3666" s="4" t="s">
        <v>454</v>
      </c>
      <c r="G3666" s="4" t="s">
        <v>455</v>
      </c>
      <c r="H3666" s="4" t="s">
        <v>15</v>
      </c>
      <c r="I3666" s="4" t="s">
        <v>468</v>
      </c>
      <c r="J3666" s="4" t="s">
        <v>79</v>
      </c>
      <c r="K3666" s="4" t="s">
        <v>30</v>
      </c>
      <c r="L3666" s="4" t="s">
        <v>3742</v>
      </c>
      <c r="M3666" s="4" t="s">
        <v>3746</v>
      </c>
      <c r="N3666" s="4" t="s">
        <v>3747</v>
      </c>
      <c r="O3666" s="17">
        <f>INDEX('список ID из СУЭ с должностями'!$A:$F,MATCH(E3666,'список ID из СУЭ с должностями'!$B:$B,0),5)</f>
        <v>0</v>
      </c>
    </row>
    <row r="3667" spans="1:15" ht="210">
      <c r="A3667" s="3" t="s">
        <v>10</v>
      </c>
      <c r="B3667" s="3" t="s">
        <v>11</v>
      </c>
      <c r="C3667" s="4">
        <v>2026</v>
      </c>
      <c r="D3667" s="5" t="s">
        <v>12</v>
      </c>
      <c r="E3667" s="4">
        <v>503</v>
      </c>
      <c r="F3667" s="4" t="s">
        <v>454</v>
      </c>
      <c r="G3667" s="4" t="s">
        <v>455</v>
      </c>
      <c r="H3667" s="4" t="s">
        <v>15</v>
      </c>
      <c r="I3667" s="4" t="s">
        <v>469</v>
      </c>
      <c r="J3667" s="4" t="s">
        <v>470</v>
      </c>
      <c r="K3667" s="4" t="s">
        <v>30</v>
      </c>
      <c r="L3667" s="4" t="s">
        <v>3743</v>
      </c>
      <c r="M3667" s="4" t="s">
        <v>3746</v>
      </c>
      <c r="N3667" s="4" t="s">
        <v>3747</v>
      </c>
      <c r="O3667" s="17">
        <f>INDEX('список ID из СУЭ с должностями'!$A:$F,MATCH(E3667,'список ID из СУЭ с должностями'!$B:$B,0),5)</f>
        <v>0</v>
      </c>
    </row>
    <row r="3668" spans="1:15" ht="120">
      <c r="A3668" s="3" t="s">
        <v>10</v>
      </c>
      <c r="B3668" s="3" t="s">
        <v>11</v>
      </c>
      <c r="C3668" s="4">
        <v>2026</v>
      </c>
      <c r="D3668" s="5" t="s">
        <v>12</v>
      </c>
      <c r="E3668" s="4">
        <v>503</v>
      </c>
      <c r="F3668" s="4" t="s">
        <v>454</v>
      </c>
      <c r="G3668" s="4" t="s">
        <v>455</v>
      </c>
      <c r="H3668" s="4" t="s">
        <v>15</v>
      </c>
      <c r="I3668" s="4" t="s">
        <v>471</v>
      </c>
      <c r="J3668" s="4" t="s">
        <v>463</v>
      </c>
      <c r="K3668" s="4" t="s">
        <v>188</v>
      </c>
      <c r="L3668" s="4" t="s">
        <v>3742</v>
      </c>
      <c r="M3668" s="4" t="s">
        <v>3746</v>
      </c>
      <c r="N3668" s="4" t="s">
        <v>3747</v>
      </c>
      <c r="O3668" s="17">
        <f>INDEX('список ID из СУЭ с должностями'!$A:$F,MATCH(E3668,'список ID из СУЭ с должностями'!$B:$B,0),5)</f>
        <v>0</v>
      </c>
    </row>
    <row r="3669" spans="1:15" ht="409.5">
      <c r="A3669" s="3" t="s">
        <v>10</v>
      </c>
      <c r="B3669" s="3" t="s">
        <v>11</v>
      </c>
      <c r="C3669" s="4">
        <v>2026</v>
      </c>
      <c r="D3669" s="5" t="s">
        <v>12</v>
      </c>
      <c r="E3669" s="4">
        <v>503</v>
      </c>
      <c r="F3669" s="4" t="s">
        <v>454</v>
      </c>
      <c r="G3669" s="4" t="s">
        <v>455</v>
      </c>
      <c r="H3669" s="4" t="s">
        <v>15</v>
      </c>
      <c r="I3669" s="4" t="s">
        <v>472</v>
      </c>
      <c r="J3669" s="4" t="s">
        <v>473</v>
      </c>
      <c r="K3669" s="4" t="s">
        <v>25</v>
      </c>
      <c r="L3669" s="4" t="s">
        <v>3743</v>
      </c>
      <c r="M3669" s="4" t="s">
        <v>3746</v>
      </c>
      <c r="N3669" s="4" t="s">
        <v>3747</v>
      </c>
      <c r="O3669" s="17">
        <f>INDEX('список ID из СУЭ с должностями'!$A:$F,MATCH(E3669,'список ID из СУЭ с должностями'!$B:$B,0),5)</f>
        <v>0</v>
      </c>
    </row>
    <row r="3670" spans="1:15" ht="60">
      <c r="A3670" s="3" t="s">
        <v>10</v>
      </c>
      <c r="B3670" s="3" t="s">
        <v>11</v>
      </c>
      <c r="C3670" s="4">
        <v>2026</v>
      </c>
      <c r="D3670" s="5" t="s">
        <v>12</v>
      </c>
      <c r="E3670" s="4">
        <v>504</v>
      </c>
      <c r="F3670" s="4" t="s">
        <v>385</v>
      </c>
      <c r="G3670" s="4" t="s">
        <v>1754</v>
      </c>
      <c r="H3670" s="4" t="s">
        <v>21</v>
      </c>
      <c r="I3670" s="4" t="s">
        <v>220</v>
      </c>
      <c r="J3670" s="4" t="s">
        <v>1755</v>
      </c>
      <c r="K3670" s="4" t="s">
        <v>220</v>
      </c>
      <c r="L3670" s="4" t="s">
        <v>3743</v>
      </c>
      <c r="M3670" s="4" t="s">
        <v>3753</v>
      </c>
      <c r="N3670" s="4" t="s">
        <v>3747</v>
      </c>
      <c r="O3670" s="17">
        <f>INDEX('список ID из СУЭ с должностями'!$A:$F,MATCH(E3670,'список ID из СУЭ с должностями'!$B:$B,0),5)</f>
        <v>0</v>
      </c>
    </row>
    <row r="3671" spans="1:15" ht="60">
      <c r="A3671" s="3" t="s">
        <v>10</v>
      </c>
      <c r="B3671" s="3" t="s">
        <v>11</v>
      </c>
      <c r="C3671" s="4">
        <v>2026</v>
      </c>
      <c r="D3671" s="5" t="s">
        <v>12</v>
      </c>
      <c r="E3671" s="4">
        <v>504</v>
      </c>
      <c r="F3671" s="4" t="s">
        <v>385</v>
      </c>
      <c r="G3671" s="4" t="s">
        <v>1754</v>
      </c>
      <c r="H3671" s="4" t="s">
        <v>15</v>
      </c>
      <c r="I3671" s="4" t="s">
        <v>3518</v>
      </c>
      <c r="J3671" s="4" t="s">
        <v>3519</v>
      </c>
      <c r="K3671" s="4" t="s">
        <v>30</v>
      </c>
      <c r="L3671" s="4" t="s">
        <v>3743</v>
      </c>
      <c r="M3671" s="4" t="s">
        <v>3746</v>
      </c>
      <c r="N3671" s="4" t="s">
        <v>3747</v>
      </c>
      <c r="O3671" s="17">
        <f>INDEX('список ID из СУЭ с должностями'!$A:$F,MATCH(E3671,'список ID из СУЭ с должностями'!$B:$B,0),5)</f>
        <v>0</v>
      </c>
    </row>
    <row r="3672" spans="1:15" ht="60">
      <c r="A3672" s="3" t="s">
        <v>10</v>
      </c>
      <c r="B3672" s="3" t="s">
        <v>11</v>
      </c>
      <c r="C3672" s="4">
        <v>2026</v>
      </c>
      <c r="D3672" s="5" t="s">
        <v>12</v>
      </c>
      <c r="E3672" s="4">
        <v>504</v>
      </c>
      <c r="F3672" s="4" t="s">
        <v>385</v>
      </c>
      <c r="G3672" s="4" t="s">
        <v>1754</v>
      </c>
      <c r="H3672" s="4" t="s">
        <v>21</v>
      </c>
      <c r="I3672" s="4" t="s">
        <v>3520</v>
      </c>
      <c r="J3672" s="4" t="s">
        <v>3521</v>
      </c>
      <c r="K3672" s="4" t="s">
        <v>30</v>
      </c>
      <c r="L3672" s="4" t="s">
        <v>3743</v>
      </c>
      <c r="M3672" s="4" t="s">
        <v>3746</v>
      </c>
      <c r="N3672" s="4" t="s">
        <v>3747</v>
      </c>
      <c r="O3672" s="17">
        <f>INDEX('список ID из СУЭ с должностями'!$A:$F,MATCH(E3672,'список ID из СУЭ с должностями'!$B:$B,0),5)</f>
        <v>0</v>
      </c>
    </row>
    <row r="3673" spans="1:15" ht="60">
      <c r="A3673" s="3" t="s">
        <v>10</v>
      </c>
      <c r="B3673" s="3" t="s">
        <v>11</v>
      </c>
      <c r="C3673" s="4">
        <v>2026</v>
      </c>
      <c r="D3673" s="5" t="s">
        <v>12</v>
      </c>
      <c r="E3673" s="4">
        <v>504</v>
      </c>
      <c r="F3673" s="4" t="s">
        <v>385</v>
      </c>
      <c r="G3673" s="4" t="s">
        <v>1754</v>
      </c>
      <c r="H3673" s="4" t="s">
        <v>21</v>
      </c>
      <c r="I3673" s="4" t="s">
        <v>3522</v>
      </c>
      <c r="J3673" s="4" t="s">
        <v>3523</v>
      </c>
      <c r="K3673" s="4" t="s">
        <v>30</v>
      </c>
      <c r="L3673" s="4" t="s">
        <v>3742</v>
      </c>
      <c r="M3673" s="4" t="s">
        <v>3746</v>
      </c>
      <c r="N3673" s="4" t="s">
        <v>3747</v>
      </c>
      <c r="O3673" s="17">
        <f>INDEX('список ID из СУЭ с должностями'!$A:$F,MATCH(E3673,'список ID из СУЭ с должностями'!$B:$B,0),5)</f>
        <v>0</v>
      </c>
    </row>
    <row r="3674" spans="1:15" ht="60">
      <c r="A3674" s="3" t="s">
        <v>10</v>
      </c>
      <c r="B3674" s="3" t="s">
        <v>11</v>
      </c>
      <c r="C3674" s="4">
        <v>2026</v>
      </c>
      <c r="D3674" s="5" t="s">
        <v>12</v>
      </c>
      <c r="E3674" s="4">
        <v>504</v>
      </c>
      <c r="F3674" s="4" t="s">
        <v>385</v>
      </c>
      <c r="G3674" s="4" t="s">
        <v>1754</v>
      </c>
      <c r="H3674" s="4" t="s">
        <v>21</v>
      </c>
      <c r="I3674" s="4" t="s">
        <v>3524</v>
      </c>
      <c r="J3674" s="4" t="s">
        <v>3525</v>
      </c>
      <c r="K3674" s="4" t="s">
        <v>23</v>
      </c>
      <c r="L3674" s="4" t="s">
        <v>3743</v>
      </c>
      <c r="M3674" s="4" t="s">
        <v>3748</v>
      </c>
      <c r="N3674" s="4" t="s">
        <v>3752</v>
      </c>
      <c r="O3674" s="17">
        <f>INDEX('список ID из СУЭ с должностями'!$A:$F,MATCH(E3674,'список ID из СУЭ с должностями'!$B:$B,0),5)</f>
        <v>0</v>
      </c>
    </row>
    <row r="3675" spans="1:15" ht="60">
      <c r="A3675" s="3" t="s">
        <v>10</v>
      </c>
      <c r="B3675" s="3" t="s">
        <v>11</v>
      </c>
      <c r="C3675" s="4">
        <v>2026</v>
      </c>
      <c r="D3675" s="5" t="s">
        <v>12</v>
      </c>
      <c r="E3675" s="4">
        <v>504</v>
      </c>
      <c r="F3675" s="4" t="s">
        <v>385</v>
      </c>
      <c r="G3675" s="4" t="s">
        <v>1754</v>
      </c>
      <c r="H3675" s="4" t="s">
        <v>21</v>
      </c>
      <c r="I3675" s="4" t="s">
        <v>3526</v>
      </c>
      <c r="J3675" s="4" t="s">
        <v>3527</v>
      </c>
      <c r="K3675" s="4" t="s">
        <v>30</v>
      </c>
      <c r="L3675" s="4" t="s">
        <v>3743</v>
      </c>
      <c r="M3675" s="4" t="s">
        <v>3746</v>
      </c>
      <c r="N3675" s="4" t="s">
        <v>3747</v>
      </c>
      <c r="O3675" s="17">
        <f>INDEX('список ID из СУЭ с должностями'!$A:$F,MATCH(E3675,'список ID из СУЭ с должностями'!$B:$B,0),5)</f>
        <v>0</v>
      </c>
    </row>
    <row r="3676" spans="1:15" ht="210">
      <c r="A3676" s="3" t="s">
        <v>10</v>
      </c>
      <c r="B3676" s="3" t="s">
        <v>11</v>
      </c>
      <c r="C3676" s="4">
        <v>2026</v>
      </c>
      <c r="D3676" s="5" t="s">
        <v>12</v>
      </c>
      <c r="E3676" s="4">
        <v>505</v>
      </c>
      <c r="F3676" s="4" t="s">
        <v>2228</v>
      </c>
      <c r="G3676" s="4" t="s">
        <v>3528</v>
      </c>
      <c r="H3676" s="4" t="s">
        <v>1308</v>
      </c>
      <c r="I3676" s="4" t="s">
        <v>3529</v>
      </c>
      <c r="J3676" s="4" t="s">
        <v>3530</v>
      </c>
      <c r="K3676" s="4"/>
      <c r="L3676" s="4" t="s">
        <v>3743</v>
      </c>
      <c r="M3676" s="4"/>
      <c r="N3676" s="4"/>
      <c r="O3676" s="17">
        <f>INDEX('список ID из СУЭ с должностями'!$A:$F,MATCH(E3676,'список ID из СУЭ с должностями'!$B:$B,0),5)</f>
        <v>0</v>
      </c>
    </row>
    <row r="3677" spans="1:15" ht="105">
      <c r="A3677" s="3" t="s">
        <v>10</v>
      </c>
      <c r="B3677" s="3" t="s">
        <v>11</v>
      </c>
      <c r="C3677" s="4">
        <v>2026</v>
      </c>
      <c r="D3677" s="5" t="s">
        <v>12</v>
      </c>
      <c r="E3677" s="4">
        <v>505</v>
      </c>
      <c r="F3677" s="4" t="s">
        <v>2228</v>
      </c>
      <c r="G3677" s="4" t="s">
        <v>3528</v>
      </c>
      <c r="H3677" s="4" t="s">
        <v>15</v>
      </c>
      <c r="I3677" s="4" t="s">
        <v>3531</v>
      </c>
      <c r="J3677" s="4" t="s">
        <v>3532</v>
      </c>
      <c r="K3677" s="4" t="s">
        <v>2238</v>
      </c>
      <c r="L3677" s="4" t="s">
        <v>3743</v>
      </c>
      <c r="M3677" s="4" t="s">
        <v>3746</v>
      </c>
      <c r="N3677" s="4" t="s">
        <v>3775</v>
      </c>
      <c r="O3677" s="17">
        <f>INDEX('список ID из СУЭ с должностями'!$A:$F,MATCH(E3677,'список ID из СУЭ с должностями'!$B:$B,0),5)</f>
        <v>0</v>
      </c>
    </row>
    <row r="3678" spans="1:15" ht="195">
      <c r="A3678" s="3" t="s">
        <v>10</v>
      </c>
      <c r="B3678" s="3" t="s">
        <v>11</v>
      </c>
      <c r="C3678" s="4">
        <v>2026</v>
      </c>
      <c r="D3678" s="5" t="s">
        <v>12</v>
      </c>
      <c r="E3678" s="4">
        <v>505</v>
      </c>
      <c r="F3678" s="4" t="s">
        <v>2228</v>
      </c>
      <c r="G3678" s="4" t="s">
        <v>3528</v>
      </c>
      <c r="H3678" s="4" t="s">
        <v>21</v>
      </c>
      <c r="I3678" s="4" t="s">
        <v>2252</v>
      </c>
      <c r="J3678" s="4" t="s">
        <v>2253</v>
      </c>
      <c r="K3678" s="4" t="s">
        <v>2232</v>
      </c>
      <c r="L3678" s="4" t="s">
        <v>3743</v>
      </c>
      <c r="M3678" s="4" t="s">
        <v>3746</v>
      </c>
      <c r="N3678" s="4" t="s">
        <v>3775</v>
      </c>
      <c r="O3678" s="17">
        <f>INDEX('список ID из СУЭ с должностями'!$A:$F,MATCH(E3678,'список ID из СУЭ с должностями'!$B:$B,0),5)</f>
        <v>0</v>
      </c>
    </row>
    <row r="3679" spans="1:15" ht="60">
      <c r="A3679" s="3" t="s">
        <v>10</v>
      </c>
      <c r="B3679" s="3" t="s">
        <v>11</v>
      </c>
      <c r="C3679" s="4">
        <v>2026</v>
      </c>
      <c r="D3679" s="5" t="s">
        <v>12</v>
      </c>
      <c r="E3679" s="4">
        <v>505</v>
      </c>
      <c r="F3679" s="4" t="s">
        <v>2228</v>
      </c>
      <c r="G3679" s="4" t="s">
        <v>3528</v>
      </c>
      <c r="H3679" s="4" t="s">
        <v>15</v>
      </c>
      <c r="I3679" s="4" t="s">
        <v>3533</v>
      </c>
      <c r="J3679" s="4" t="s">
        <v>3533</v>
      </c>
      <c r="K3679" s="4" t="s">
        <v>2232</v>
      </c>
      <c r="L3679" s="4" t="s">
        <v>3743</v>
      </c>
      <c r="M3679" s="4" t="s">
        <v>3746</v>
      </c>
      <c r="N3679" s="4" t="s">
        <v>3775</v>
      </c>
      <c r="O3679" s="17">
        <f>INDEX('список ID из СУЭ с должностями'!$A:$F,MATCH(E3679,'список ID из СУЭ с должностями'!$B:$B,0),5)</f>
        <v>0</v>
      </c>
    </row>
    <row r="3680" spans="1:15" ht="240">
      <c r="A3680" s="3" t="s">
        <v>10</v>
      </c>
      <c r="B3680" s="3" t="s">
        <v>11</v>
      </c>
      <c r="C3680" s="4">
        <v>2026</v>
      </c>
      <c r="D3680" s="5" t="s">
        <v>12</v>
      </c>
      <c r="E3680" s="4">
        <v>505</v>
      </c>
      <c r="F3680" s="4" t="s">
        <v>2228</v>
      </c>
      <c r="G3680" s="4" t="s">
        <v>3528</v>
      </c>
      <c r="H3680" s="4" t="s">
        <v>21</v>
      </c>
      <c r="I3680" s="4" t="s">
        <v>3534</v>
      </c>
      <c r="J3680" s="4" t="s">
        <v>3535</v>
      </c>
      <c r="K3680" s="4" t="s">
        <v>38</v>
      </c>
      <c r="L3680" s="4" t="s">
        <v>3743</v>
      </c>
      <c r="M3680" s="4" t="s">
        <v>3746</v>
      </c>
      <c r="N3680" s="4" t="s">
        <v>3747</v>
      </c>
      <c r="O3680" s="17">
        <f>INDEX('список ID из СУЭ с должностями'!$A:$F,MATCH(E3680,'список ID из СУЭ с должностями'!$B:$B,0),5)</f>
        <v>0</v>
      </c>
    </row>
    <row r="3681" spans="1:15" ht="60">
      <c r="A3681" s="3" t="s">
        <v>10</v>
      </c>
      <c r="B3681" s="3" t="s">
        <v>11</v>
      </c>
      <c r="C3681" s="4">
        <v>2026</v>
      </c>
      <c r="D3681" s="5" t="s">
        <v>12</v>
      </c>
      <c r="E3681" s="4">
        <v>505</v>
      </c>
      <c r="F3681" s="4" t="s">
        <v>2228</v>
      </c>
      <c r="G3681" s="4" t="s">
        <v>3528</v>
      </c>
      <c r="H3681" s="4" t="s">
        <v>15</v>
      </c>
      <c r="I3681" s="4" t="s">
        <v>2239</v>
      </c>
      <c r="J3681" s="4" t="s">
        <v>3536</v>
      </c>
      <c r="K3681" s="4" t="s">
        <v>35</v>
      </c>
      <c r="L3681" s="4" t="s">
        <v>3743</v>
      </c>
      <c r="M3681" s="4" t="s">
        <v>3746</v>
      </c>
      <c r="N3681" s="4" t="s">
        <v>3747</v>
      </c>
      <c r="O3681" s="17">
        <f>INDEX('список ID из СУЭ с должностями'!$A:$F,MATCH(E3681,'список ID из СУЭ с должностями'!$B:$B,0),5)</f>
        <v>0</v>
      </c>
    </row>
    <row r="3682" spans="1:15" ht="60">
      <c r="A3682" s="3" t="s">
        <v>10</v>
      </c>
      <c r="B3682" s="3" t="s">
        <v>11</v>
      </c>
      <c r="C3682" s="4">
        <v>2026</v>
      </c>
      <c r="D3682" s="5" t="s">
        <v>12</v>
      </c>
      <c r="E3682" s="4">
        <v>505</v>
      </c>
      <c r="F3682" s="4" t="s">
        <v>2228</v>
      </c>
      <c r="G3682" s="4" t="s">
        <v>3528</v>
      </c>
      <c r="H3682" s="4" t="s">
        <v>15</v>
      </c>
      <c r="I3682" s="4" t="s">
        <v>3537</v>
      </c>
      <c r="J3682" s="4" t="s">
        <v>3538</v>
      </c>
      <c r="K3682" s="4" t="s">
        <v>30</v>
      </c>
      <c r="L3682" s="4" t="s">
        <v>3742</v>
      </c>
      <c r="M3682" s="4" t="s">
        <v>3746</v>
      </c>
      <c r="N3682" s="4" t="s">
        <v>3747</v>
      </c>
      <c r="O3682" s="17">
        <f>INDEX('список ID из СУЭ с должностями'!$A:$F,MATCH(E3682,'список ID из СУЭ с должностями'!$B:$B,0),5)</f>
        <v>0</v>
      </c>
    </row>
    <row r="3683" spans="1:15" ht="60">
      <c r="A3683" s="3" t="s">
        <v>10</v>
      </c>
      <c r="B3683" s="3" t="s">
        <v>11</v>
      </c>
      <c r="C3683" s="4">
        <v>2026</v>
      </c>
      <c r="D3683" s="5" t="s">
        <v>12</v>
      </c>
      <c r="E3683" s="4">
        <v>505</v>
      </c>
      <c r="F3683" s="4" t="s">
        <v>2228</v>
      </c>
      <c r="G3683" s="4" t="s">
        <v>3528</v>
      </c>
      <c r="H3683" s="4" t="s">
        <v>15</v>
      </c>
      <c r="I3683" s="4" t="s">
        <v>3539</v>
      </c>
      <c r="J3683" s="4" t="s">
        <v>3540</v>
      </c>
      <c r="K3683" s="4" t="s">
        <v>23</v>
      </c>
      <c r="L3683" s="4" t="s">
        <v>3743</v>
      </c>
      <c r="M3683" s="4" t="s">
        <v>3748</v>
      </c>
      <c r="N3683" s="4" t="s">
        <v>3752</v>
      </c>
      <c r="O3683" s="17">
        <f>INDEX('список ID из СУЭ с должностями'!$A:$F,MATCH(E3683,'список ID из СУЭ с должностями'!$B:$B,0),5)</f>
        <v>0</v>
      </c>
    </row>
    <row r="3684" spans="1:15" ht="195">
      <c r="A3684" s="3" t="s">
        <v>10</v>
      </c>
      <c r="B3684" s="3" t="s">
        <v>11</v>
      </c>
      <c r="C3684" s="4">
        <v>2026</v>
      </c>
      <c r="D3684" s="5" t="s">
        <v>12</v>
      </c>
      <c r="E3684" s="4">
        <v>505</v>
      </c>
      <c r="F3684" s="4" t="s">
        <v>2228</v>
      </c>
      <c r="G3684" s="4" t="s">
        <v>3528</v>
      </c>
      <c r="H3684" s="4" t="s">
        <v>21</v>
      </c>
      <c r="I3684" s="4" t="s">
        <v>3541</v>
      </c>
      <c r="J3684" s="4" t="s">
        <v>3542</v>
      </c>
      <c r="K3684" s="4" t="s">
        <v>38</v>
      </c>
      <c r="L3684" s="4" t="s">
        <v>3743</v>
      </c>
      <c r="M3684" s="4" t="s">
        <v>3746</v>
      </c>
      <c r="N3684" s="4" t="s">
        <v>3747</v>
      </c>
      <c r="O3684" s="17">
        <f>INDEX('список ID из СУЭ с должностями'!$A:$F,MATCH(E3684,'список ID из СУЭ с должностями'!$B:$B,0),5)</f>
        <v>0</v>
      </c>
    </row>
    <row r="3685" spans="1:15" ht="120">
      <c r="A3685" s="3" t="s">
        <v>10</v>
      </c>
      <c r="B3685" s="3" t="s">
        <v>11</v>
      </c>
      <c r="C3685" s="4">
        <v>2026</v>
      </c>
      <c r="D3685" s="5" t="s">
        <v>12</v>
      </c>
      <c r="E3685" s="4">
        <v>505</v>
      </c>
      <c r="F3685" s="4" t="s">
        <v>2228</v>
      </c>
      <c r="G3685" s="4" t="s">
        <v>3528</v>
      </c>
      <c r="H3685" s="4" t="s">
        <v>21</v>
      </c>
      <c r="I3685" s="4" t="s">
        <v>3543</v>
      </c>
      <c r="J3685" s="4" t="s">
        <v>2237</v>
      </c>
      <c r="K3685" s="4" t="s">
        <v>2238</v>
      </c>
      <c r="L3685" s="4" t="s">
        <v>3743</v>
      </c>
      <c r="M3685" s="4" t="s">
        <v>3746</v>
      </c>
      <c r="N3685" s="4" t="s">
        <v>3775</v>
      </c>
      <c r="O3685" s="17">
        <f>INDEX('список ID из СУЭ с должностями'!$A:$F,MATCH(E3685,'список ID из СУЭ с должностями'!$B:$B,0),5)</f>
        <v>0</v>
      </c>
    </row>
    <row r="3686" spans="1:15" ht="345">
      <c r="A3686" s="3" t="s">
        <v>10</v>
      </c>
      <c r="B3686" s="3" t="s">
        <v>11</v>
      </c>
      <c r="C3686" s="4">
        <v>2026</v>
      </c>
      <c r="D3686" s="5" t="s">
        <v>12</v>
      </c>
      <c r="E3686" s="4">
        <v>505</v>
      </c>
      <c r="F3686" s="4" t="s">
        <v>2228</v>
      </c>
      <c r="G3686" s="4" t="s">
        <v>3528</v>
      </c>
      <c r="H3686" s="4" t="s">
        <v>15</v>
      </c>
      <c r="I3686" s="4" t="s">
        <v>3544</v>
      </c>
      <c r="J3686" s="4" t="s">
        <v>3545</v>
      </c>
      <c r="K3686" s="4" t="s">
        <v>2232</v>
      </c>
      <c r="L3686" s="4" t="s">
        <v>3743</v>
      </c>
      <c r="M3686" s="4" t="s">
        <v>3746</v>
      </c>
      <c r="N3686" s="4" t="s">
        <v>3775</v>
      </c>
      <c r="O3686" s="17">
        <f>INDEX('список ID из СУЭ с должностями'!$A:$F,MATCH(E3686,'список ID из СУЭ с должностями'!$B:$B,0),5)</f>
        <v>0</v>
      </c>
    </row>
    <row r="3687" spans="1:15" ht="75">
      <c r="A3687" s="3" t="s">
        <v>10</v>
      </c>
      <c r="B3687" s="3" t="s">
        <v>11</v>
      </c>
      <c r="C3687" s="4">
        <v>2026</v>
      </c>
      <c r="D3687" s="5" t="s">
        <v>12</v>
      </c>
      <c r="E3687" s="4">
        <v>506</v>
      </c>
      <c r="F3687" s="4" t="s">
        <v>239</v>
      </c>
      <c r="G3687" s="4" t="s">
        <v>2254</v>
      </c>
      <c r="H3687" s="4" t="s">
        <v>15</v>
      </c>
      <c r="I3687" s="4" t="s">
        <v>2830</v>
      </c>
      <c r="J3687" s="4" t="s">
        <v>299</v>
      </c>
      <c r="K3687" s="4" t="s">
        <v>66</v>
      </c>
      <c r="L3687" s="4" t="s">
        <v>3743</v>
      </c>
      <c r="M3687" s="4" t="s">
        <v>3746</v>
      </c>
      <c r="N3687" s="4" t="s">
        <v>3747</v>
      </c>
      <c r="O3687" s="17" t="str">
        <f>INDEX('список ID из СУЭ с должностями'!$A:$F,MATCH(E3687,'список ID из СУЭ с должностями'!$B:$B,0),5)</f>
        <v>ИПП</v>
      </c>
    </row>
    <row r="3688" spans="1:15" ht="75">
      <c r="A3688" s="3" t="s">
        <v>10</v>
      </c>
      <c r="B3688" s="3" t="s">
        <v>11</v>
      </c>
      <c r="C3688" s="4">
        <v>2026</v>
      </c>
      <c r="D3688" s="5" t="s">
        <v>12</v>
      </c>
      <c r="E3688" s="4">
        <v>506</v>
      </c>
      <c r="F3688" s="4" t="s">
        <v>239</v>
      </c>
      <c r="G3688" s="4" t="s">
        <v>2254</v>
      </c>
      <c r="H3688" s="4" t="s">
        <v>15</v>
      </c>
      <c r="I3688" s="4" t="s">
        <v>834</v>
      </c>
      <c r="J3688" s="4" t="s">
        <v>196</v>
      </c>
      <c r="K3688" s="4" t="s">
        <v>188</v>
      </c>
      <c r="L3688" s="4" t="s">
        <v>3742</v>
      </c>
      <c r="M3688" s="4" t="s">
        <v>3746</v>
      </c>
      <c r="N3688" s="4" t="s">
        <v>3747</v>
      </c>
      <c r="O3688" s="17" t="str">
        <f>INDEX('список ID из СУЭ с должностями'!$A:$F,MATCH(E3688,'список ID из СУЭ с должностями'!$B:$B,0),5)</f>
        <v>ИПП</v>
      </c>
    </row>
    <row r="3689" spans="1:15" ht="75">
      <c r="A3689" s="3" t="s">
        <v>10</v>
      </c>
      <c r="B3689" s="3" t="s">
        <v>11</v>
      </c>
      <c r="C3689" s="4">
        <v>2026</v>
      </c>
      <c r="D3689" s="5" t="s">
        <v>12</v>
      </c>
      <c r="E3689" s="4">
        <v>506</v>
      </c>
      <c r="F3689" s="4" t="s">
        <v>239</v>
      </c>
      <c r="G3689" s="4" t="s">
        <v>2254</v>
      </c>
      <c r="H3689" s="4" t="s">
        <v>15</v>
      </c>
      <c r="I3689" s="4" t="s">
        <v>48</v>
      </c>
      <c r="J3689" s="4" t="s">
        <v>187</v>
      </c>
      <c r="K3689" s="4" t="s">
        <v>35</v>
      </c>
      <c r="L3689" s="4" t="s">
        <v>3743</v>
      </c>
      <c r="M3689" s="4" t="s">
        <v>3746</v>
      </c>
      <c r="N3689" s="4" t="s">
        <v>3747</v>
      </c>
      <c r="O3689" s="17" t="str">
        <f>INDEX('список ID из СУЭ с должностями'!$A:$F,MATCH(E3689,'список ID из СУЭ с должностями'!$B:$B,0),5)</f>
        <v>ИПП</v>
      </c>
    </row>
    <row r="3690" spans="1:15" ht="165">
      <c r="A3690" s="3" t="s">
        <v>10</v>
      </c>
      <c r="B3690" s="3" t="s">
        <v>11</v>
      </c>
      <c r="C3690" s="4">
        <v>2026</v>
      </c>
      <c r="D3690" s="5" t="s">
        <v>12</v>
      </c>
      <c r="E3690" s="4">
        <v>506</v>
      </c>
      <c r="F3690" s="4" t="s">
        <v>239</v>
      </c>
      <c r="G3690" s="4" t="s">
        <v>2254</v>
      </c>
      <c r="H3690" s="4" t="s">
        <v>15</v>
      </c>
      <c r="I3690" s="4" t="s">
        <v>201</v>
      </c>
      <c r="J3690" s="4" t="s">
        <v>2499</v>
      </c>
      <c r="K3690" s="4" t="s">
        <v>188</v>
      </c>
      <c r="L3690" s="4" t="s">
        <v>3743</v>
      </c>
      <c r="M3690" s="4" t="s">
        <v>3746</v>
      </c>
      <c r="N3690" s="4" t="s">
        <v>3747</v>
      </c>
      <c r="O3690" s="17" t="str">
        <f>INDEX('список ID из СУЭ с должностями'!$A:$F,MATCH(E3690,'список ID из СУЭ с должностями'!$B:$B,0),5)</f>
        <v>ИПП</v>
      </c>
    </row>
    <row r="3691" spans="1:15" ht="75">
      <c r="A3691" s="3" t="s">
        <v>10</v>
      </c>
      <c r="B3691" s="3" t="s">
        <v>11</v>
      </c>
      <c r="C3691" s="4">
        <v>2026</v>
      </c>
      <c r="D3691" s="5" t="s">
        <v>12</v>
      </c>
      <c r="E3691" s="4">
        <v>506</v>
      </c>
      <c r="F3691" s="4" t="s">
        <v>239</v>
      </c>
      <c r="G3691" s="4" t="s">
        <v>2254</v>
      </c>
      <c r="H3691" s="4" t="s">
        <v>15</v>
      </c>
      <c r="I3691" s="4" t="s">
        <v>1702</v>
      </c>
      <c r="J3691" s="4" t="s">
        <v>132</v>
      </c>
      <c r="K3691" s="4" t="s">
        <v>38</v>
      </c>
      <c r="L3691" s="4" t="s">
        <v>3742</v>
      </c>
      <c r="M3691" s="4" t="s">
        <v>3746</v>
      </c>
      <c r="N3691" s="4" t="s">
        <v>3747</v>
      </c>
      <c r="O3691" s="17" t="str">
        <f>INDEX('список ID из СУЭ с должностями'!$A:$F,MATCH(E3691,'список ID из СУЭ с должностями'!$B:$B,0),5)</f>
        <v>ИПП</v>
      </c>
    </row>
    <row r="3692" spans="1:15" ht="75">
      <c r="A3692" s="3" t="s">
        <v>10</v>
      </c>
      <c r="B3692" s="3" t="s">
        <v>11</v>
      </c>
      <c r="C3692" s="4">
        <v>2026</v>
      </c>
      <c r="D3692" s="5" t="s">
        <v>12</v>
      </c>
      <c r="E3692" s="4">
        <v>506</v>
      </c>
      <c r="F3692" s="4" t="s">
        <v>239</v>
      </c>
      <c r="G3692" s="4" t="s">
        <v>2254</v>
      </c>
      <c r="H3692" s="4" t="s">
        <v>15</v>
      </c>
      <c r="I3692" s="4" t="s">
        <v>1408</v>
      </c>
      <c r="J3692" s="4" t="s">
        <v>182</v>
      </c>
      <c r="K3692" s="4" t="s">
        <v>151</v>
      </c>
      <c r="L3692" s="4" t="s">
        <v>3742</v>
      </c>
      <c r="M3692" s="4" t="s">
        <v>3746</v>
      </c>
      <c r="N3692" s="4" t="s">
        <v>3747</v>
      </c>
      <c r="O3692" s="17" t="str">
        <f>INDEX('список ID из СУЭ с должностями'!$A:$F,MATCH(E3692,'список ID из СУЭ с должностями'!$B:$B,0),5)</f>
        <v>ИПП</v>
      </c>
    </row>
    <row r="3693" spans="1:15" ht="90">
      <c r="A3693" s="3" t="s">
        <v>10</v>
      </c>
      <c r="B3693" s="3" t="s">
        <v>11</v>
      </c>
      <c r="C3693" s="4">
        <v>2026</v>
      </c>
      <c r="D3693" s="5" t="s">
        <v>12</v>
      </c>
      <c r="E3693" s="4">
        <v>506</v>
      </c>
      <c r="F3693" s="4" t="s">
        <v>239</v>
      </c>
      <c r="G3693" s="4" t="s">
        <v>2254</v>
      </c>
      <c r="H3693" s="4" t="s">
        <v>21</v>
      </c>
      <c r="I3693" s="4" t="s">
        <v>829</v>
      </c>
      <c r="J3693" s="4" t="s">
        <v>199</v>
      </c>
      <c r="K3693" s="4" t="s">
        <v>20</v>
      </c>
      <c r="L3693" s="4" t="s">
        <v>3743</v>
      </c>
      <c r="M3693" s="4" t="s">
        <v>3746</v>
      </c>
      <c r="N3693" s="4" t="s">
        <v>3747</v>
      </c>
      <c r="O3693" s="17" t="str">
        <f>INDEX('список ID из СУЭ с должностями'!$A:$F,MATCH(E3693,'список ID из СУЭ с должностями'!$B:$B,0),5)</f>
        <v>ИПП</v>
      </c>
    </row>
    <row r="3694" spans="1:15" ht="135">
      <c r="A3694" s="3" t="s">
        <v>10</v>
      </c>
      <c r="B3694" s="3" t="s">
        <v>11</v>
      </c>
      <c r="C3694" s="4">
        <v>2026</v>
      </c>
      <c r="D3694" s="5" t="s">
        <v>12</v>
      </c>
      <c r="E3694" s="4">
        <v>507</v>
      </c>
      <c r="F3694" s="4" t="s">
        <v>454</v>
      </c>
      <c r="G3694" s="4" t="s">
        <v>3012</v>
      </c>
      <c r="H3694" s="4" t="s">
        <v>21</v>
      </c>
      <c r="I3694" s="4" t="s">
        <v>806</v>
      </c>
      <c r="J3694" s="4" t="s">
        <v>3170</v>
      </c>
      <c r="K3694" s="4" t="s">
        <v>35</v>
      </c>
      <c r="L3694" s="4" t="s">
        <v>3743</v>
      </c>
      <c r="M3694" s="4" t="s">
        <v>3746</v>
      </c>
      <c r="N3694" s="4" t="s">
        <v>3747</v>
      </c>
      <c r="O3694" s="17">
        <f>INDEX('список ID из СУЭ с должностями'!$A:$F,MATCH(E3694,'список ID из СУЭ с должностями'!$B:$B,0),5)</f>
        <v>0</v>
      </c>
    </row>
    <row r="3695" spans="1:15" ht="135">
      <c r="A3695" s="3" t="s">
        <v>10</v>
      </c>
      <c r="B3695" s="3" t="s">
        <v>11</v>
      </c>
      <c r="C3695" s="4">
        <v>2026</v>
      </c>
      <c r="D3695" s="5" t="s">
        <v>12</v>
      </c>
      <c r="E3695" s="4">
        <v>507</v>
      </c>
      <c r="F3695" s="4" t="s">
        <v>454</v>
      </c>
      <c r="G3695" s="4" t="s">
        <v>3012</v>
      </c>
      <c r="H3695" s="4" t="s">
        <v>15</v>
      </c>
      <c r="I3695" s="4" t="s">
        <v>855</v>
      </c>
      <c r="J3695" s="4" t="s">
        <v>856</v>
      </c>
      <c r="K3695" s="4" t="s">
        <v>35</v>
      </c>
      <c r="L3695" s="4" t="s">
        <v>3743</v>
      </c>
      <c r="M3695" s="4" t="s">
        <v>3746</v>
      </c>
      <c r="N3695" s="4" t="s">
        <v>3747</v>
      </c>
      <c r="O3695" s="17">
        <f>INDEX('список ID из СУЭ с должностями'!$A:$F,MATCH(E3695,'список ID из СУЭ с должностями'!$B:$B,0),5)</f>
        <v>0</v>
      </c>
    </row>
    <row r="3696" spans="1:15" ht="195">
      <c r="A3696" s="3" t="s">
        <v>10</v>
      </c>
      <c r="B3696" s="3" t="s">
        <v>11</v>
      </c>
      <c r="C3696" s="4">
        <v>2026</v>
      </c>
      <c r="D3696" s="5" t="s">
        <v>12</v>
      </c>
      <c r="E3696" s="4">
        <v>507</v>
      </c>
      <c r="F3696" s="4" t="s">
        <v>454</v>
      </c>
      <c r="G3696" s="4" t="s">
        <v>3012</v>
      </c>
      <c r="H3696" s="4" t="s">
        <v>41</v>
      </c>
      <c r="I3696" s="4" t="s">
        <v>857</v>
      </c>
      <c r="J3696" s="4" t="s">
        <v>3171</v>
      </c>
      <c r="K3696" s="4" t="s">
        <v>35</v>
      </c>
      <c r="L3696" s="4" t="s">
        <v>3743</v>
      </c>
      <c r="M3696" s="4" t="s">
        <v>3746</v>
      </c>
      <c r="N3696" s="4" t="s">
        <v>3747</v>
      </c>
      <c r="O3696" s="17">
        <f>INDEX('список ID из СУЭ с должностями'!$A:$F,MATCH(E3696,'список ID из СУЭ с должностями'!$B:$B,0),5)</f>
        <v>0</v>
      </c>
    </row>
    <row r="3697" spans="1:15" ht="135">
      <c r="A3697" s="3" t="s">
        <v>10</v>
      </c>
      <c r="B3697" s="3" t="s">
        <v>11</v>
      </c>
      <c r="C3697" s="4">
        <v>2026</v>
      </c>
      <c r="D3697" s="5" t="s">
        <v>12</v>
      </c>
      <c r="E3697" s="4">
        <v>507</v>
      </c>
      <c r="F3697" s="4" t="s">
        <v>454</v>
      </c>
      <c r="G3697" s="4" t="s">
        <v>3012</v>
      </c>
      <c r="H3697" s="4" t="s">
        <v>15</v>
      </c>
      <c r="I3697" s="4" t="s">
        <v>149</v>
      </c>
      <c r="J3697" s="4" t="s">
        <v>859</v>
      </c>
      <c r="K3697" s="4" t="s">
        <v>52</v>
      </c>
      <c r="L3697" s="4" t="s">
        <v>3743</v>
      </c>
      <c r="M3697" s="4" t="s">
        <v>3746</v>
      </c>
      <c r="N3697" s="4" t="s">
        <v>3747</v>
      </c>
      <c r="O3697" s="17">
        <f>INDEX('список ID из СУЭ с должностями'!$A:$F,MATCH(E3697,'список ID из СУЭ с должностями'!$B:$B,0),5)</f>
        <v>0</v>
      </c>
    </row>
    <row r="3698" spans="1:15" ht="225">
      <c r="A3698" s="3" t="s">
        <v>10</v>
      </c>
      <c r="B3698" s="3" t="s">
        <v>11</v>
      </c>
      <c r="C3698" s="4">
        <v>2026</v>
      </c>
      <c r="D3698" s="5" t="s">
        <v>12</v>
      </c>
      <c r="E3698" s="4">
        <v>507</v>
      </c>
      <c r="F3698" s="4" t="s">
        <v>454</v>
      </c>
      <c r="G3698" s="4" t="s">
        <v>3012</v>
      </c>
      <c r="H3698" s="4" t="s">
        <v>15</v>
      </c>
      <c r="I3698" s="4" t="s">
        <v>303</v>
      </c>
      <c r="J3698" s="4" t="s">
        <v>860</v>
      </c>
      <c r="K3698" s="4" t="s">
        <v>52</v>
      </c>
      <c r="L3698" s="4" t="s">
        <v>3743</v>
      </c>
      <c r="M3698" s="4" t="s">
        <v>3746</v>
      </c>
      <c r="N3698" s="4" t="s">
        <v>3747</v>
      </c>
      <c r="O3698" s="17">
        <f>INDEX('список ID из СУЭ с должностями'!$A:$F,MATCH(E3698,'список ID из СУЭ с должностями'!$B:$B,0),5)</f>
        <v>0</v>
      </c>
    </row>
    <row r="3699" spans="1:15" ht="120">
      <c r="A3699" s="3" t="s">
        <v>10</v>
      </c>
      <c r="B3699" s="3" t="s">
        <v>11</v>
      </c>
      <c r="C3699" s="4">
        <v>2026</v>
      </c>
      <c r="D3699" s="5" t="s">
        <v>12</v>
      </c>
      <c r="E3699" s="4">
        <v>508</v>
      </c>
      <c r="F3699" s="4" t="s">
        <v>67</v>
      </c>
      <c r="G3699" s="4" t="s">
        <v>1540</v>
      </c>
      <c r="H3699" s="4" t="s">
        <v>15</v>
      </c>
      <c r="I3699" s="4" t="s">
        <v>1550</v>
      </c>
      <c r="J3699" s="4" t="s">
        <v>1551</v>
      </c>
      <c r="K3699" s="4" t="s">
        <v>35</v>
      </c>
      <c r="L3699" s="4" t="s">
        <v>3743</v>
      </c>
      <c r="M3699" s="4" t="s">
        <v>3746</v>
      </c>
      <c r="N3699" s="4" t="s">
        <v>3747</v>
      </c>
      <c r="O3699" s="17">
        <f>INDEX('список ID из СУЭ с должностями'!$A:$F,MATCH(E3699,'список ID из СУЭ с должностями'!$B:$B,0),5)</f>
        <v>0</v>
      </c>
    </row>
    <row r="3700" spans="1:15" ht="165">
      <c r="A3700" s="3" t="s">
        <v>10</v>
      </c>
      <c r="B3700" s="3" t="s">
        <v>11</v>
      </c>
      <c r="C3700" s="4">
        <v>2026</v>
      </c>
      <c r="D3700" s="5" t="s">
        <v>12</v>
      </c>
      <c r="E3700" s="4">
        <v>508</v>
      </c>
      <c r="F3700" s="4" t="s">
        <v>67</v>
      </c>
      <c r="G3700" s="4" t="s">
        <v>1540</v>
      </c>
      <c r="H3700" s="4" t="s">
        <v>15</v>
      </c>
      <c r="I3700" s="4" t="s">
        <v>1548</v>
      </c>
      <c r="J3700" s="4" t="s">
        <v>2837</v>
      </c>
      <c r="K3700" s="4" t="s">
        <v>66</v>
      </c>
      <c r="L3700" s="4" t="s">
        <v>3743</v>
      </c>
      <c r="M3700" s="4" t="s">
        <v>3746</v>
      </c>
      <c r="N3700" s="4" t="s">
        <v>3747</v>
      </c>
      <c r="O3700" s="17">
        <f>INDEX('список ID из СУЭ с должностями'!$A:$F,MATCH(E3700,'список ID из СУЭ с должностями'!$B:$B,0),5)</f>
        <v>0</v>
      </c>
    </row>
    <row r="3701" spans="1:15" ht="75">
      <c r="A3701" s="3" t="s">
        <v>10</v>
      </c>
      <c r="B3701" s="3" t="s">
        <v>11</v>
      </c>
      <c r="C3701" s="4">
        <v>2026</v>
      </c>
      <c r="D3701" s="5" t="s">
        <v>12</v>
      </c>
      <c r="E3701" s="4">
        <v>508</v>
      </c>
      <c r="F3701" s="4" t="s">
        <v>67</v>
      </c>
      <c r="G3701" s="4" t="s">
        <v>1540</v>
      </c>
      <c r="H3701" s="4" t="s">
        <v>21</v>
      </c>
      <c r="I3701" s="4" t="s">
        <v>2838</v>
      </c>
      <c r="J3701" s="4" t="s">
        <v>2839</v>
      </c>
      <c r="K3701" s="4" t="s">
        <v>20</v>
      </c>
      <c r="L3701" s="4" t="s">
        <v>3742</v>
      </c>
      <c r="M3701" s="4" t="s">
        <v>3746</v>
      </c>
      <c r="N3701" s="4" t="s">
        <v>3747</v>
      </c>
      <c r="O3701" s="17">
        <f>INDEX('список ID из СУЭ с должностями'!$A:$F,MATCH(E3701,'список ID из СУЭ с должностями'!$B:$B,0),5)</f>
        <v>0</v>
      </c>
    </row>
    <row r="3702" spans="1:15" ht="105">
      <c r="A3702" s="3" t="s">
        <v>10</v>
      </c>
      <c r="B3702" s="3" t="s">
        <v>11</v>
      </c>
      <c r="C3702" s="4">
        <v>2026</v>
      </c>
      <c r="D3702" s="5" t="s">
        <v>12</v>
      </c>
      <c r="E3702" s="4">
        <v>508</v>
      </c>
      <c r="F3702" s="4" t="s">
        <v>67</v>
      </c>
      <c r="G3702" s="4" t="s">
        <v>1540</v>
      </c>
      <c r="H3702" s="4" t="s">
        <v>41</v>
      </c>
      <c r="I3702" s="4" t="s">
        <v>2835</v>
      </c>
      <c r="J3702" s="4" t="s">
        <v>2836</v>
      </c>
      <c r="K3702" s="4" t="s">
        <v>20</v>
      </c>
      <c r="L3702" s="4" t="s">
        <v>3743</v>
      </c>
      <c r="M3702" s="4" t="s">
        <v>3746</v>
      </c>
      <c r="N3702" s="4" t="s">
        <v>3747</v>
      </c>
      <c r="O3702" s="17">
        <f>INDEX('список ID из СУЭ с должностями'!$A:$F,MATCH(E3702,'список ID из СУЭ с должностями'!$B:$B,0),5)</f>
        <v>0</v>
      </c>
    </row>
    <row r="3703" spans="1:15" ht="150">
      <c r="A3703" s="3" t="s">
        <v>10</v>
      </c>
      <c r="B3703" s="3" t="s">
        <v>11</v>
      </c>
      <c r="C3703" s="4">
        <v>2026</v>
      </c>
      <c r="D3703" s="5" t="s">
        <v>12</v>
      </c>
      <c r="E3703" s="4">
        <v>508</v>
      </c>
      <c r="F3703" s="4" t="s">
        <v>67</v>
      </c>
      <c r="G3703" s="4" t="s">
        <v>1540</v>
      </c>
      <c r="H3703" s="4" t="s">
        <v>15</v>
      </c>
      <c r="I3703" s="4" t="s">
        <v>1546</v>
      </c>
      <c r="J3703" s="4" t="s">
        <v>3546</v>
      </c>
      <c r="K3703" s="4" t="s">
        <v>188</v>
      </c>
      <c r="L3703" s="4" t="s">
        <v>3743</v>
      </c>
      <c r="M3703" s="4" t="s">
        <v>3746</v>
      </c>
      <c r="N3703" s="4" t="s">
        <v>3747</v>
      </c>
      <c r="O3703" s="17">
        <f>INDEX('список ID из СУЭ с должностями'!$A:$F,MATCH(E3703,'список ID из СУЭ с должностями'!$B:$B,0),5)</f>
        <v>0</v>
      </c>
    </row>
    <row r="3704" spans="1:15" ht="75">
      <c r="A3704" s="3" t="s">
        <v>10</v>
      </c>
      <c r="B3704" s="3" t="s">
        <v>11</v>
      </c>
      <c r="C3704" s="4">
        <v>2026</v>
      </c>
      <c r="D3704" s="5" t="s">
        <v>12</v>
      </c>
      <c r="E3704" s="4">
        <v>508</v>
      </c>
      <c r="F3704" s="4" t="s">
        <v>67</v>
      </c>
      <c r="G3704" s="4" t="s">
        <v>1540</v>
      </c>
      <c r="H3704" s="4" t="s">
        <v>41</v>
      </c>
      <c r="I3704" s="4" t="s">
        <v>2841</v>
      </c>
      <c r="J3704" s="4" t="s">
        <v>2842</v>
      </c>
      <c r="K3704" s="4" t="s">
        <v>20</v>
      </c>
      <c r="L3704" s="4" t="s">
        <v>3742</v>
      </c>
      <c r="M3704" s="4" t="s">
        <v>3746</v>
      </c>
      <c r="N3704" s="4" t="s">
        <v>3747</v>
      </c>
      <c r="O3704" s="17">
        <f>INDEX('список ID из СУЭ с должностями'!$A:$F,MATCH(E3704,'список ID из СУЭ с должностями'!$B:$B,0),5)</f>
        <v>0</v>
      </c>
    </row>
    <row r="3705" spans="1:15" ht="60">
      <c r="A3705" s="3" t="s">
        <v>10</v>
      </c>
      <c r="B3705" s="3" t="s">
        <v>11</v>
      </c>
      <c r="C3705" s="4">
        <v>2026</v>
      </c>
      <c r="D3705" s="5" t="s">
        <v>12</v>
      </c>
      <c r="E3705" s="4">
        <v>508</v>
      </c>
      <c r="F3705" s="4" t="s">
        <v>67</v>
      </c>
      <c r="G3705" s="4" t="s">
        <v>1540</v>
      </c>
      <c r="H3705" s="4" t="s">
        <v>21</v>
      </c>
      <c r="I3705" s="4" t="s">
        <v>2833</v>
      </c>
      <c r="J3705" s="4" t="s">
        <v>2834</v>
      </c>
      <c r="K3705" s="4" t="s">
        <v>188</v>
      </c>
      <c r="L3705" s="4" t="s">
        <v>3742</v>
      </c>
      <c r="M3705" s="4" t="s">
        <v>3746</v>
      </c>
      <c r="N3705" s="4" t="s">
        <v>3747</v>
      </c>
      <c r="O3705" s="17">
        <f>INDEX('список ID из СУЭ с должностями'!$A:$F,MATCH(E3705,'список ID из СУЭ с должностями'!$B:$B,0),5)</f>
        <v>0</v>
      </c>
    </row>
    <row r="3706" spans="1:15" ht="75">
      <c r="A3706" s="3" t="s">
        <v>10</v>
      </c>
      <c r="B3706" s="3" t="s">
        <v>11</v>
      </c>
      <c r="C3706" s="4">
        <v>2026</v>
      </c>
      <c r="D3706" s="5" t="s">
        <v>12</v>
      </c>
      <c r="E3706" s="4">
        <v>509</v>
      </c>
      <c r="F3706" s="4" t="s">
        <v>116</v>
      </c>
      <c r="G3706" s="4" t="s">
        <v>1381</v>
      </c>
      <c r="H3706" s="4" t="s">
        <v>15</v>
      </c>
      <c r="I3706" s="4" t="s">
        <v>3547</v>
      </c>
      <c r="J3706" s="4" t="s">
        <v>2077</v>
      </c>
      <c r="K3706" s="4" t="s">
        <v>1386</v>
      </c>
      <c r="L3706" s="4" t="s">
        <v>3742</v>
      </c>
      <c r="M3706" s="4" t="s">
        <v>3746</v>
      </c>
      <c r="N3706" s="4" t="s">
        <v>3766</v>
      </c>
      <c r="O3706" s="17">
        <f>INDEX('список ID из СУЭ с должностями'!$A:$F,MATCH(E3706,'список ID из СУЭ с должностями'!$B:$B,0),5)</f>
        <v>0</v>
      </c>
    </row>
    <row r="3707" spans="1:15" ht="75">
      <c r="A3707" s="3" t="s">
        <v>10</v>
      </c>
      <c r="B3707" s="3" t="s">
        <v>11</v>
      </c>
      <c r="C3707" s="4">
        <v>2026</v>
      </c>
      <c r="D3707" s="5" t="s">
        <v>12</v>
      </c>
      <c r="E3707" s="4">
        <v>509</v>
      </c>
      <c r="F3707" s="4" t="s">
        <v>116</v>
      </c>
      <c r="G3707" s="4" t="s">
        <v>1381</v>
      </c>
      <c r="H3707" s="4" t="s">
        <v>15</v>
      </c>
      <c r="I3707" s="4" t="s">
        <v>3548</v>
      </c>
      <c r="J3707" s="4" t="s">
        <v>1388</v>
      </c>
      <c r="K3707" s="4" t="s">
        <v>1389</v>
      </c>
      <c r="L3707" s="4" t="s">
        <v>3743</v>
      </c>
      <c r="M3707" s="4" t="s">
        <v>3746</v>
      </c>
      <c r="N3707" s="4" t="s">
        <v>3766</v>
      </c>
      <c r="O3707" s="17">
        <f>INDEX('список ID из СУЭ с должностями'!$A:$F,MATCH(E3707,'список ID из СУЭ с должностями'!$B:$B,0),5)</f>
        <v>0</v>
      </c>
    </row>
    <row r="3708" spans="1:15" ht="285">
      <c r="A3708" s="3" t="s">
        <v>10</v>
      </c>
      <c r="B3708" s="3" t="s">
        <v>11</v>
      </c>
      <c r="C3708" s="4">
        <v>2026</v>
      </c>
      <c r="D3708" s="5" t="s">
        <v>12</v>
      </c>
      <c r="E3708" s="4">
        <v>509</v>
      </c>
      <c r="F3708" s="4" t="s">
        <v>116</v>
      </c>
      <c r="G3708" s="4" t="s">
        <v>1381</v>
      </c>
      <c r="H3708" s="4" t="s">
        <v>15</v>
      </c>
      <c r="I3708" s="4" t="s">
        <v>1390</v>
      </c>
      <c r="J3708" s="4" t="s">
        <v>1391</v>
      </c>
      <c r="K3708" s="4" t="s">
        <v>1386</v>
      </c>
      <c r="L3708" s="4" t="s">
        <v>3743</v>
      </c>
      <c r="M3708" s="4" t="s">
        <v>3746</v>
      </c>
      <c r="N3708" s="4" t="s">
        <v>3766</v>
      </c>
      <c r="O3708" s="17">
        <f>INDEX('список ID из СУЭ с должностями'!$A:$F,MATCH(E3708,'список ID из СУЭ с должностями'!$B:$B,0),5)</f>
        <v>0</v>
      </c>
    </row>
    <row r="3709" spans="1:15" ht="165">
      <c r="A3709" s="3" t="s">
        <v>10</v>
      </c>
      <c r="B3709" s="3" t="s">
        <v>11</v>
      </c>
      <c r="C3709" s="4">
        <v>2026</v>
      </c>
      <c r="D3709" s="5" t="s">
        <v>12</v>
      </c>
      <c r="E3709" s="4">
        <v>509</v>
      </c>
      <c r="F3709" s="4" t="s">
        <v>116</v>
      </c>
      <c r="G3709" s="4" t="s">
        <v>1381</v>
      </c>
      <c r="H3709" s="4" t="s">
        <v>15</v>
      </c>
      <c r="I3709" s="4" t="s">
        <v>1392</v>
      </c>
      <c r="J3709" s="4" t="s">
        <v>1393</v>
      </c>
      <c r="K3709" s="4" t="s">
        <v>1386</v>
      </c>
      <c r="L3709" s="4" t="s">
        <v>3743</v>
      </c>
      <c r="M3709" s="4" t="s">
        <v>3746</v>
      </c>
      <c r="N3709" s="4" t="s">
        <v>3766</v>
      </c>
      <c r="O3709" s="17">
        <f>INDEX('список ID из СУЭ с должностями'!$A:$F,MATCH(E3709,'список ID из СУЭ с должностями'!$B:$B,0),5)</f>
        <v>0</v>
      </c>
    </row>
    <row r="3710" spans="1:15" ht="180">
      <c r="A3710" s="3" t="s">
        <v>10</v>
      </c>
      <c r="B3710" s="3" t="s">
        <v>11</v>
      </c>
      <c r="C3710" s="4">
        <v>2026</v>
      </c>
      <c r="D3710" s="5" t="s">
        <v>12</v>
      </c>
      <c r="E3710" s="4">
        <v>509</v>
      </c>
      <c r="F3710" s="4" t="s">
        <v>116</v>
      </c>
      <c r="G3710" s="4" t="s">
        <v>1381</v>
      </c>
      <c r="H3710" s="4" t="s">
        <v>15</v>
      </c>
      <c r="I3710" s="4" t="s">
        <v>1394</v>
      </c>
      <c r="J3710" s="4" t="s">
        <v>1395</v>
      </c>
      <c r="K3710" s="4" t="s">
        <v>1386</v>
      </c>
      <c r="L3710" s="4" t="s">
        <v>3743</v>
      </c>
      <c r="M3710" s="4" t="s">
        <v>3746</v>
      </c>
      <c r="N3710" s="4" t="s">
        <v>3766</v>
      </c>
      <c r="O3710" s="17">
        <f>INDEX('список ID из СУЭ с должностями'!$A:$F,MATCH(E3710,'список ID из СУЭ с должностями'!$B:$B,0),5)</f>
        <v>0</v>
      </c>
    </row>
    <row r="3711" spans="1:15" ht="150">
      <c r="A3711" s="3" t="s">
        <v>10</v>
      </c>
      <c r="B3711" s="3" t="s">
        <v>11</v>
      </c>
      <c r="C3711" s="4">
        <v>2026</v>
      </c>
      <c r="D3711" s="5" t="s">
        <v>12</v>
      </c>
      <c r="E3711" s="4">
        <v>510</v>
      </c>
      <c r="F3711" s="4" t="s">
        <v>454</v>
      </c>
      <c r="G3711" s="4" t="s">
        <v>2256</v>
      </c>
      <c r="H3711" s="4" t="s">
        <v>15</v>
      </c>
      <c r="I3711" s="4" t="s">
        <v>456</v>
      </c>
      <c r="J3711" s="4" t="s">
        <v>457</v>
      </c>
      <c r="K3711" s="4" t="s">
        <v>23</v>
      </c>
      <c r="L3711" s="4" t="s">
        <v>3743</v>
      </c>
      <c r="M3711" s="4" t="s">
        <v>3748</v>
      </c>
      <c r="N3711" s="4" t="s">
        <v>3752</v>
      </c>
      <c r="O3711" s="17">
        <f>INDEX('список ID из СУЭ с должностями'!$A:$F,MATCH(E3711,'список ID из СУЭ с должностями'!$B:$B,0),5)</f>
        <v>0</v>
      </c>
    </row>
    <row r="3712" spans="1:15" ht="375">
      <c r="A3712" s="3" t="s">
        <v>10</v>
      </c>
      <c r="B3712" s="3" t="s">
        <v>11</v>
      </c>
      <c r="C3712" s="4">
        <v>2026</v>
      </c>
      <c r="D3712" s="5" t="s">
        <v>12</v>
      </c>
      <c r="E3712" s="4">
        <v>510</v>
      </c>
      <c r="F3712" s="4" t="s">
        <v>454</v>
      </c>
      <c r="G3712" s="4" t="s">
        <v>2256</v>
      </c>
      <c r="H3712" s="4" t="s">
        <v>15</v>
      </c>
      <c r="I3712" s="4" t="s">
        <v>460</v>
      </c>
      <c r="J3712" s="4" t="s">
        <v>461</v>
      </c>
      <c r="K3712" s="4" t="s">
        <v>38</v>
      </c>
      <c r="L3712" s="4" t="s">
        <v>3743</v>
      </c>
      <c r="M3712" s="4" t="s">
        <v>3746</v>
      </c>
      <c r="N3712" s="4" t="s">
        <v>3747</v>
      </c>
      <c r="O3712" s="17">
        <f>INDEX('список ID из СУЭ с должностями'!$A:$F,MATCH(E3712,'список ID из СУЭ с должностями'!$B:$B,0),5)</f>
        <v>0</v>
      </c>
    </row>
    <row r="3713" spans="1:15" ht="150">
      <c r="A3713" s="3" t="s">
        <v>10</v>
      </c>
      <c r="B3713" s="3" t="s">
        <v>11</v>
      </c>
      <c r="C3713" s="4">
        <v>2026</v>
      </c>
      <c r="D3713" s="5" t="s">
        <v>12</v>
      </c>
      <c r="E3713" s="4">
        <v>510</v>
      </c>
      <c r="F3713" s="4" t="s">
        <v>454</v>
      </c>
      <c r="G3713" s="4" t="s">
        <v>2256</v>
      </c>
      <c r="H3713" s="4" t="s">
        <v>15</v>
      </c>
      <c r="I3713" s="4" t="s">
        <v>462</v>
      </c>
      <c r="J3713" s="4" t="s">
        <v>463</v>
      </c>
      <c r="K3713" s="4" t="s">
        <v>35</v>
      </c>
      <c r="L3713" s="4" t="s">
        <v>3742</v>
      </c>
      <c r="M3713" s="4" t="s">
        <v>3746</v>
      </c>
      <c r="N3713" s="4" t="s">
        <v>3747</v>
      </c>
      <c r="O3713" s="17">
        <f>INDEX('список ID из СУЭ с должностями'!$A:$F,MATCH(E3713,'список ID из СУЭ с должностями'!$B:$B,0),5)</f>
        <v>0</v>
      </c>
    </row>
    <row r="3714" spans="1:15" ht="409.5">
      <c r="A3714" s="3" t="s">
        <v>10</v>
      </c>
      <c r="B3714" s="3" t="s">
        <v>11</v>
      </c>
      <c r="C3714" s="4">
        <v>2026</v>
      </c>
      <c r="D3714" s="5" t="s">
        <v>12</v>
      </c>
      <c r="E3714" s="4">
        <v>510</v>
      </c>
      <c r="F3714" s="4" t="s">
        <v>454</v>
      </c>
      <c r="G3714" s="4" t="s">
        <v>2256</v>
      </c>
      <c r="H3714" s="4" t="s">
        <v>15</v>
      </c>
      <c r="I3714" s="4" t="s">
        <v>464</v>
      </c>
      <c r="J3714" s="4" t="s">
        <v>1784</v>
      </c>
      <c r="K3714" s="4" t="s">
        <v>66</v>
      </c>
      <c r="L3714" s="4" t="s">
        <v>3743</v>
      </c>
      <c r="M3714" s="4" t="s">
        <v>3746</v>
      </c>
      <c r="N3714" s="4" t="s">
        <v>3747</v>
      </c>
      <c r="O3714" s="17">
        <f>INDEX('список ID из СУЭ с должностями'!$A:$F,MATCH(E3714,'список ID из СУЭ с должностями'!$B:$B,0),5)</f>
        <v>0</v>
      </c>
    </row>
    <row r="3715" spans="1:15" ht="150">
      <c r="A3715" s="3" t="s">
        <v>10</v>
      </c>
      <c r="B3715" s="3" t="s">
        <v>11</v>
      </c>
      <c r="C3715" s="4">
        <v>2026</v>
      </c>
      <c r="D3715" s="5" t="s">
        <v>12</v>
      </c>
      <c r="E3715" s="4">
        <v>510</v>
      </c>
      <c r="F3715" s="4" t="s">
        <v>454</v>
      </c>
      <c r="G3715" s="4" t="s">
        <v>2256</v>
      </c>
      <c r="H3715" s="4" t="s">
        <v>15</v>
      </c>
      <c r="I3715" s="4" t="s">
        <v>466</v>
      </c>
      <c r="J3715" s="4" t="s">
        <v>467</v>
      </c>
      <c r="K3715" s="4" t="s">
        <v>30</v>
      </c>
      <c r="L3715" s="4" t="s">
        <v>3742</v>
      </c>
      <c r="M3715" s="4" t="s">
        <v>3746</v>
      </c>
      <c r="N3715" s="4" t="s">
        <v>3747</v>
      </c>
      <c r="O3715" s="17">
        <f>INDEX('список ID из СУЭ с должностями'!$A:$F,MATCH(E3715,'список ID из СУЭ с должностями'!$B:$B,0),5)</f>
        <v>0</v>
      </c>
    </row>
    <row r="3716" spans="1:15" ht="210">
      <c r="A3716" s="3" t="s">
        <v>10</v>
      </c>
      <c r="B3716" s="3" t="s">
        <v>11</v>
      </c>
      <c r="C3716" s="4">
        <v>2026</v>
      </c>
      <c r="D3716" s="5" t="s">
        <v>12</v>
      </c>
      <c r="E3716" s="4">
        <v>510</v>
      </c>
      <c r="F3716" s="4" t="s">
        <v>454</v>
      </c>
      <c r="G3716" s="4" t="s">
        <v>2256</v>
      </c>
      <c r="H3716" s="4" t="s">
        <v>15</v>
      </c>
      <c r="I3716" s="4" t="s">
        <v>469</v>
      </c>
      <c r="J3716" s="4" t="s">
        <v>470</v>
      </c>
      <c r="K3716" s="4" t="s">
        <v>30</v>
      </c>
      <c r="L3716" s="4" t="s">
        <v>3743</v>
      </c>
      <c r="M3716" s="4" t="s">
        <v>3746</v>
      </c>
      <c r="N3716" s="4" t="s">
        <v>3747</v>
      </c>
      <c r="O3716" s="17">
        <f>INDEX('список ID из СУЭ с должностями'!$A:$F,MATCH(E3716,'список ID из СУЭ с должностями'!$B:$B,0),5)</f>
        <v>0</v>
      </c>
    </row>
    <row r="3717" spans="1:15" ht="409.5">
      <c r="A3717" s="3" t="s">
        <v>10</v>
      </c>
      <c r="B3717" s="3" t="s">
        <v>11</v>
      </c>
      <c r="C3717" s="4">
        <v>2026</v>
      </c>
      <c r="D3717" s="5" t="s">
        <v>12</v>
      </c>
      <c r="E3717" s="4">
        <v>510</v>
      </c>
      <c r="F3717" s="4" t="s">
        <v>454</v>
      </c>
      <c r="G3717" s="4" t="s">
        <v>2256</v>
      </c>
      <c r="H3717" s="4" t="s">
        <v>15</v>
      </c>
      <c r="I3717" s="4" t="s">
        <v>472</v>
      </c>
      <c r="J3717" s="4" t="s">
        <v>473</v>
      </c>
      <c r="K3717" s="4" t="s">
        <v>25</v>
      </c>
      <c r="L3717" s="4" t="s">
        <v>3743</v>
      </c>
      <c r="M3717" s="4" t="s">
        <v>3746</v>
      </c>
      <c r="N3717" s="4" t="s">
        <v>3747</v>
      </c>
      <c r="O3717" s="17">
        <f>INDEX('список ID из СУЭ с должностями'!$A:$F,MATCH(E3717,'список ID из СУЭ с должностями'!$B:$B,0),5)</f>
        <v>0</v>
      </c>
    </row>
    <row r="3718" spans="1:15" ht="150">
      <c r="A3718" s="3" t="s">
        <v>10</v>
      </c>
      <c r="B3718" s="3" t="s">
        <v>11</v>
      </c>
      <c r="C3718" s="4">
        <v>2026</v>
      </c>
      <c r="D3718" s="5" t="s">
        <v>12</v>
      </c>
      <c r="E3718" s="4">
        <v>510</v>
      </c>
      <c r="F3718" s="4" t="s">
        <v>454</v>
      </c>
      <c r="G3718" s="4" t="s">
        <v>2256</v>
      </c>
      <c r="H3718" s="4" t="s">
        <v>15</v>
      </c>
      <c r="I3718" s="4" t="s">
        <v>471</v>
      </c>
      <c r="J3718" s="4" t="s">
        <v>463</v>
      </c>
      <c r="K3718" s="4" t="s">
        <v>188</v>
      </c>
      <c r="L3718" s="4" t="s">
        <v>3742</v>
      </c>
      <c r="M3718" s="4" t="s">
        <v>3746</v>
      </c>
      <c r="N3718" s="4" t="s">
        <v>3747</v>
      </c>
      <c r="O3718" s="17">
        <f>INDEX('список ID из СУЭ с должностями'!$A:$F,MATCH(E3718,'список ID из СУЭ с должностями'!$B:$B,0),5)</f>
        <v>0</v>
      </c>
    </row>
    <row r="3719" spans="1:15" ht="150">
      <c r="A3719" s="3" t="s">
        <v>10</v>
      </c>
      <c r="B3719" s="3" t="s">
        <v>11</v>
      </c>
      <c r="C3719" s="4">
        <v>2026</v>
      </c>
      <c r="D3719" s="5" t="s">
        <v>12</v>
      </c>
      <c r="E3719" s="4">
        <v>510</v>
      </c>
      <c r="F3719" s="4" t="s">
        <v>454</v>
      </c>
      <c r="G3719" s="4" t="s">
        <v>2256</v>
      </c>
      <c r="H3719" s="4" t="s">
        <v>15</v>
      </c>
      <c r="I3719" s="4" t="s">
        <v>468</v>
      </c>
      <c r="J3719" s="4" t="s">
        <v>79</v>
      </c>
      <c r="K3719" s="4" t="s">
        <v>30</v>
      </c>
      <c r="L3719" s="4" t="s">
        <v>3742</v>
      </c>
      <c r="M3719" s="4" t="s">
        <v>3746</v>
      </c>
      <c r="N3719" s="4" t="s">
        <v>3747</v>
      </c>
      <c r="O3719" s="17">
        <f>INDEX('список ID из СУЭ с должностями'!$A:$F,MATCH(E3719,'список ID из СУЭ с должностями'!$B:$B,0),5)</f>
        <v>0</v>
      </c>
    </row>
    <row r="3720" spans="1:15" ht="409.5">
      <c r="A3720" s="3" t="s">
        <v>10</v>
      </c>
      <c r="B3720" s="3" t="s">
        <v>2</v>
      </c>
      <c r="C3720" s="4">
        <v>2026</v>
      </c>
      <c r="D3720" s="5" t="s">
        <v>12</v>
      </c>
      <c r="E3720" s="4">
        <v>511</v>
      </c>
      <c r="F3720" s="4" t="s">
        <v>989</v>
      </c>
      <c r="G3720" s="4" t="s">
        <v>990</v>
      </c>
      <c r="H3720" s="4" t="s">
        <v>15</v>
      </c>
      <c r="I3720" s="4" t="s">
        <v>55</v>
      </c>
      <c r="J3720" s="4" t="s">
        <v>3549</v>
      </c>
      <c r="K3720" s="4" t="s">
        <v>55</v>
      </c>
      <c r="L3720" s="4" t="s">
        <v>3743</v>
      </c>
      <c r="M3720" s="4" t="s">
        <v>3746</v>
      </c>
      <c r="N3720" s="4" t="s">
        <v>3747</v>
      </c>
      <c r="O3720" s="17">
        <f>INDEX('список ID из СУЭ с должностями'!$A:$F,MATCH(E3720,'список ID из СУЭ с должностями'!$B:$B,0),5)</f>
        <v>0</v>
      </c>
    </row>
    <row r="3721" spans="1:15" ht="409.5">
      <c r="A3721" s="3" t="s">
        <v>10</v>
      </c>
      <c r="B3721" s="3" t="s">
        <v>2</v>
      </c>
      <c r="C3721" s="4">
        <v>2026</v>
      </c>
      <c r="D3721" s="5" t="s">
        <v>12</v>
      </c>
      <c r="E3721" s="4">
        <v>511</v>
      </c>
      <c r="F3721" s="4" t="s">
        <v>989</v>
      </c>
      <c r="G3721" s="4" t="s">
        <v>990</v>
      </c>
      <c r="H3721" s="4" t="s">
        <v>15</v>
      </c>
      <c r="I3721" s="4" t="s">
        <v>52</v>
      </c>
      <c r="J3721" s="4" t="s">
        <v>3550</v>
      </c>
      <c r="K3721" s="4" t="s">
        <v>52</v>
      </c>
      <c r="L3721" s="4" t="s">
        <v>3743</v>
      </c>
      <c r="M3721" s="4" t="s">
        <v>3746</v>
      </c>
      <c r="N3721" s="4" t="s">
        <v>3747</v>
      </c>
      <c r="O3721" s="17">
        <f>INDEX('список ID из СУЭ с должностями'!$A:$F,MATCH(E3721,'список ID из СУЭ с должностями'!$B:$B,0),5)</f>
        <v>0</v>
      </c>
    </row>
    <row r="3722" spans="1:15" ht="135">
      <c r="A3722" s="3" t="s">
        <v>10</v>
      </c>
      <c r="B3722" s="3" t="s">
        <v>2</v>
      </c>
      <c r="C3722" s="4">
        <v>2026</v>
      </c>
      <c r="D3722" s="5" t="s">
        <v>12</v>
      </c>
      <c r="E3722" s="4">
        <v>511</v>
      </c>
      <c r="F3722" s="4" t="s">
        <v>989</v>
      </c>
      <c r="G3722" s="4" t="s">
        <v>990</v>
      </c>
      <c r="H3722" s="4" t="s">
        <v>15</v>
      </c>
      <c r="I3722" s="4" t="s">
        <v>35</v>
      </c>
      <c r="J3722" s="4" t="s">
        <v>3551</v>
      </c>
      <c r="K3722" s="4" t="s">
        <v>35</v>
      </c>
      <c r="L3722" s="4" t="s">
        <v>3743</v>
      </c>
      <c r="M3722" s="4" t="s">
        <v>3746</v>
      </c>
      <c r="N3722" s="4" t="s">
        <v>3747</v>
      </c>
      <c r="O3722" s="17">
        <f>INDEX('список ID из СУЭ с должностями'!$A:$F,MATCH(E3722,'список ID из СУЭ с должностями'!$B:$B,0),5)</f>
        <v>0</v>
      </c>
    </row>
    <row r="3723" spans="1:15" ht="270">
      <c r="A3723" s="3" t="s">
        <v>10</v>
      </c>
      <c r="B3723" s="3" t="s">
        <v>2</v>
      </c>
      <c r="C3723" s="4">
        <v>2026</v>
      </c>
      <c r="D3723" s="5" t="s">
        <v>12</v>
      </c>
      <c r="E3723" s="4">
        <v>511</v>
      </c>
      <c r="F3723" s="4" t="s">
        <v>989</v>
      </c>
      <c r="G3723" s="4" t="s">
        <v>990</v>
      </c>
      <c r="H3723" s="4" t="s">
        <v>21</v>
      </c>
      <c r="I3723" s="4" t="s">
        <v>3552</v>
      </c>
      <c r="J3723" s="4" t="s">
        <v>3553</v>
      </c>
      <c r="K3723" s="4" t="s">
        <v>220</v>
      </c>
      <c r="L3723" s="4" t="s">
        <v>3743</v>
      </c>
      <c r="M3723" s="4" t="s">
        <v>3753</v>
      </c>
      <c r="N3723" s="4" t="s">
        <v>3747</v>
      </c>
      <c r="O3723" s="17">
        <f>INDEX('список ID из СУЭ с должностями'!$A:$F,MATCH(E3723,'список ID из СУЭ с должностями'!$B:$B,0),5)</f>
        <v>0</v>
      </c>
    </row>
    <row r="3724" spans="1:15" ht="165">
      <c r="A3724" s="3" t="s">
        <v>10</v>
      </c>
      <c r="B3724" s="3" t="s">
        <v>2</v>
      </c>
      <c r="C3724" s="4">
        <v>2026</v>
      </c>
      <c r="D3724" s="5" t="s">
        <v>12</v>
      </c>
      <c r="E3724" s="4">
        <v>511</v>
      </c>
      <c r="F3724" s="4" t="s">
        <v>989</v>
      </c>
      <c r="G3724" s="4" t="s">
        <v>990</v>
      </c>
      <c r="H3724" s="4" t="s">
        <v>15</v>
      </c>
      <c r="I3724" s="4" t="s">
        <v>3554</v>
      </c>
      <c r="J3724" s="4" t="s">
        <v>3555</v>
      </c>
      <c r="K3724" s="4" t="s">
        <v>52</v>
      </c>
      <c r="L3724" s="4" t="s">
        <v>3743</v>
      </c>
      <c r="M3724" s="4" t="s">
        <v>3746</v>
      </c>
      <c r="N3724" s="4" t="s">
        <v>3747</v>
      </c>
      <c r="O3724" s="17">
        <f>INDEX('список ID из СУЭ с должностями'!$A:$F,MATCH(E3724,'список ID из СУЭ с должностями'!$B:$B,0),5)</f>
        <v>0</v>
      </c>
    </row>
    <row r="3725" spans="1:15" ht="409.5">
      <c r="A3725" s="3" t="s">
        <v>10</v>
      </c>
      <c r="B3725" s="3" t="s">
        <v>2</v>
      </c>
      <c r="C3725" s="4">
        <v>2026</v>
      </c>
      <c r="D3725" s="5" t="s">
        <v>12</v>
      </c>
      <c r="E3725" s="4">
        <v>511</v>
      </c>
      <c r="F3725" s="4" t="s">
        <v>989</v>
      </c>
      <c r="G3725" s="4" t="s">
        <v>990</v>
      </c>
      <c r="H3725" s="4" t="s">
        <v>41</v>
      </c>
      <c r="I3725" s="4" t="s">
        <v>2304</v>
      </c>
      <c r="J3725" s="4" t="s">
        <v>3556</v>
      </c>
      <c r="K3725" s="4" t="s">
        <v>52</v>
      </c>
      <c r="L3725" s="4" t="s">
        <v>3743</v>
      </c>
      <c r="M3725" s="4" t="s">
        <v>3746</v>
      </c>
      <c r="N3725" s="4" t="s">
        <v>3747</v>
      </c>
      <c r="O3725" s="17">
        <f>INDEX('список ID из СУЭ с должностями'!$A:$F,MATCH(E3725,'список ID из СУЭ с должностями'!$B:$B,0),5)</f>
        <v>0</v>
      </c>
    </row>
    <row r="3726" spans="1:15" ht="60">
      <c r="A3726" s="3" t="s">
        <v>10</v>
      </c>
      <c r="B3726" s="3" t="s">
        <v>11</v>
      </c>
      <c r="C3726" s="4">
        <v>2026</v>
      </c>
      <c r="D3726" s="5" t="s">
        <v>12</v>
      </c>
      <c r="E3726" s="4">
        <v>512</v>
      </c>
      <c r="F3726" s="4" t="s">
        <v>385</v>
      </c>
      <c r="G3726" s="4" t="s">
        <v>1754</v>
      </c>
      <c r="H3726" s="4" t="s">
        <v>21</v>
      </c>
      <c r="I3726" s="4" t="s">
        <v>220</v>
      </c>
      <c r="J3726" s="4" t="s">
        <v>1755</v>
      </c>
      <c r="K3726" s="4" t="s">
        <v>220</v>
      </c>
      <c r="L3726" s="4" t="s">
        <v>3743</v>
      </c>
      <c r="M3726" s="4" t="s">
        <v>3753</v>
      </c>
      <c r="N3726" s="4" t="s">
        <v>3747</v>
      </c>
      <c r="O3726" s="17">
        <f>INDEX('список ID из СУЭ с должностями'!$A:$F,MATCH(E3726,'список ID из СУЭ с должностями'!$B:$B,0),5)</f>
        <v>0</v>
      </c>
    </row>
    <row r="3727" spans="1:15" ht="60">
      <c r="A3727" s="3" t="s">
        <v>10</v>
      </c>
      <c r="B3727" s="3" t="s">
        <v>11</v>
      </c>
      <c r="C3727" s="4">
        <v>2026</v>
      </c>
      <c r="D3727" s="5" t="s">
        <v>12</v>
      </c>
      <c r="E3727" s="4">
        <v>512</v>
      </c>
      <c r="F3727" s="4" t="s">
        <v>385</v>
      </c>
      <c r="G3727" s="4" t="s">
        <v>1754</v>
      </c>
      <c r="H3727" s="4" t="s">
        <v>21</v>
      </c>
      <c r="I3727" s="4" t="s">
        <v>3557</v>
      </c>
      <c r="J3727" s="4" t="s">
        <v>3558</v>
      </c>
      <c r="K3727" s="4" t="s">
        <v>30</v>
      </c>
      <c r="L3727" s="4" t="s">
        <v>3743</v>
      </c>
      <c r="M3727" s="4" t="s">
        <v>3746</v>
      </c>
      <c r="N3727" s="4" t="s">
        <v>3747</v>
      </c>
      <c r="O3727" s="17">
        <f>INDEX('список ID из СУЭ с должностями'!$A:$F,MATCH(E3727,'список ID из СУЭ с должностями'!$B:$B,0),5)</f>
        <v>0</v>
      </c>
    </row>
    <row r="3728" spans="1:15" ht="60">
      <c r="A3728" s="3" t="s">
        <v>10</v>
      </c>
      <c r="B3728" s="3" t="s">
        <v>11</v>
      </c>
      <c r="C3728" s="4">
        <v>2026</v>
      </c>
      <c r="D3728" s="5" t="s">
        <v>12</v>
      </c>
      <c r="E3728" s="4">
        <v>512</v>
      </c>
      <c r="F3728" s="4" t="s">
        <v>385</v>
      </c>
      <c r="G3728" s="4" t="s">
        <v>1754</v>
      </c>
      <c r="H3728" s="4" t="s">
        <v>21</v>
      </c>
      <c r="I3728" s="4" t="s">
        <v>3526</v>
      </c>
      <c r="J3728" s="4" t="s">
        <v>3559</v>
      </c>
      <c r="K3728" s="4" t="s">
        <v>30</v>
      </c>
      <c r="L3728" s="4" t="s">
        <v>3743</v>
      </c>
      <c r="M3728" s="4" t="s">
        <v>3746</v>
      </c>
      <c r="N3728" s="4" t="s">
        <v>3747</v>
      </c>
      <c r="O3728" s="17">
        <f>INDEX('список ID из СУЭ с должностями'!$A:$F,MATCH(E3728,'список ID из СУЭ с должностями'!$B:$B,0),5)</f>
        <v>0</v>
      </c>
    </row>
    <row r="3729" spans="1:15" ht="165">
      <c r="A3729" s="3" t="s">
        <v>10</v>
      </c>
      <c r="B3729" s="3" t="s">
        <v>11</v>
      </c>
      <c r="C3729" s="4">
        <v>2026</v>
      </c>
      <c r="D3729" s="5" t="s">
        <v>12</v>
      </c>
      <c r="E3729" s="4">
        <v>512</v>
      </c>
      <c r="F3729" s="4" t="s">
        <v>385</v>
      </c>
      <c r="G3729" s="4" t="s">
        <v>1754</v>
      </c>
      <c r="H3729" s="4" t="s">
        <v>41</v>
      </c>
      <c r="I3729" s="4" t="s">
        <v>3341</v>
      </c>
      <c r="J3729" s="4" t="s">
        <v>3560</v>
      </c>
      <c r="K3729" s="4" t="s">
        <v>38</v>
      </c>
      <c r="L3729" s="4" t="s">
        <v>3743</v>
      </c>
      <c r="M3729" s="4" t="s">
        <v>3746</v>
      </c>
      <c r="N3729" s="4" t="s">
        <v>3747</v>
      </c>
      <c r="O3729" s="17">
        <f>INDEX('список ID из СУЭ с должностями'!$A:$F,MATCH(E3729,'список ID из СУЭ с должностями'!$B:$B,0),5)</f>
        <v>0</v>
      </c>
    </row>
    <row r="3730" spans="1:15" ht="135">
      <c r="A3730" s="3" t="s">
        <v>10</v>
      </c>
      <c r="B3730" s="3" t="s">
        <v>11</v>
      </c>
      <c r="C3730" s="4">
        <v>2026</v>
      </c>
      <c r="D3730" s="5" t="s">
        <v>12</v>
      </c>
      <c r="E3730" s="4">
        <v>512</v>
      </c>
      <c r="F3730" s="4" t="s">
        <v>385</v>
      </c>
      <c r="G3730" s="4" t="s">
        <v>1754</v>
      </c>
      <c r="H3730" s="4" t="s">
        <v>21</v>
      </c>
      <c r="I3730" s="4" t="s">
        <v>3561</v>
      </c>
      <c r="J3730" s="4" t="s">
        <v>3562</v>
      </c>
      <c r="K3730" s="4" t="s">
        <v>30</v>
      </c>
      <c r="L3730" s="4" t="s">
        <v>3743</v>
      </c>
      <c r="M3730" s="4" t="s">
        <v>3746</v>
      </c>
      <c r="N3730" s="4" t="s">
        <v>3747</v>
      </c>
      <c r="O3730" s="17">
        <f>INDEX('список ID из СУЭ с должностями'!$A:$F,MATCH(E3730,'список ID из СУЭ с должностями'!$B:$B,0),5)</f>
        <v>0</v>
      </c>
    </row>
    <row r="3731" spans="1:15" ht="75">
      <c r="A3731" s="3" t="s">
        <v>10</v>
      </c>
      <c r="B3731" s="3" t="s">
        <v>11</v>
      </c>
      <c r="C3731" s="4">
        <v>2026</v>
      </c>
      <c r="D3731" s="5" t="s">
        <v>12</v>
      </c>
      <c r="E3731" s="4">
        <v>513</v>
      </c>
      <c r="F3731" s="4" t="s">
        <v>2811</v>
      </c>
      <c r="G3731" s="4" t="s">
        <v>436</v>
      </c>
      <c r="H3731" s="4" t="s">
        <v>15</v>
      </c>
      <c r="I3731" s="4" t="s">
        <v>437</v>
      </c>
      <c r="J3731" s="4" t="s">
        <v>930</v>
      </c>
      <c r="K3731" s="4" t="s">
        <v>55</v>
      </c>
      <c r="L3731" s="4" t="s">
        <v>3743</v>
      </c>
      <c r="M3731" s="4" t="s">
        <v>3746</v>
      </c>
      <c r="N3731" s="4" t="s">
        <v>3747</v>
      </c>
      <c r="O3731" s="17">
        <f>INDEX('список ID из СУЭ с должностями'!$A:$F,MATCH(E3731,'список ID из СУЭ с должностями'!$B:$B,0),5)</f>
        <v>0</v>
      </c>
    </row>
    <row r="3732" spans="1:15" ht="75">
      <c r="A3732" s="3" t="s">
        <v>10</v>
      </c>
      <c r="B3732" s="3" t="s">
        <v>11</v>
      </c>
      <c r="C3732" s="4">
        <v>2026</v>
      </c>
      <c r="D3732" s="5" t="s">
        <v>12</v>
      </c>
      <c r="E3732" s="4">
        <v>513</v>
      </c>
      <c r="F3732" s="4" t="s">
        <v>2811</v>
      </c>
      <c r="G3732" s="4" t="s">
        <v>436</v>
      </c>
      <c r="H3732" s="4" t="s">
        <v>15</v>
      </c>
      <c r="I3732" s="4" t="s">
        <v>888</v>
      </c>
      <c r="J3732" s="4" t="s">
        <v>889</v>
      </c>
      <c r="K3732" s="4" t="s">
        <v>35</v>
      </c>
      <c r="L3732" s="4" t="s">
        <v>3743</v>
      </c>
      <c r="M3732" s="4" t="s">
        <v>3746</v>
      </c>
      <c r="N3732" s="4" t="s">
        <v>3747</v>
      </c>
      <c r="O3732" s="17">
        <f>INDEX('список ID из СУЭ с должностями'!$A:$F,MATCH(E3732,'список ID из СУЭ с должностями'!$B:$B,0),5)</f>
        <v>0</v>
      </c>
    </row>
    <row r="3733" spans="1:15" ht="405">
      <c r="A3733" s="3" t="s">
        <v>10</v>
      </c>
      <c r="B3733" s="3" t="s">
        <v>11</v>
      </c>
      <c r="C3733" s="4">
        <v>2026</v>
      </c>
      <c r="D3733" s="5" t="s">
        <v>12</v>
      </c>
      <c r="E3733" s="4">
        <v>513</v>
      </c>
      <c r="F3733" s="4" t="s">
        <v>2811</v>
      </c>
      <c r="G3733" s="4" t="s">
        <v>436</v>
      </c>
      <c r="H3733" s="4" t="s">
        <v>15</v>
      </c>
      <c r="I3733" s="4" t="s">
        <v>439</v>
      </c>
      <c r="J3733" s="4" t="s">
        <v>2812</v>
      </c>
      <c r="K3733" s="4" t="s">
        <v>55</v>
      </c>
      <c r="L3733" s="4" t="s">
        <v>3743</v>
      </c>
      <c r="M3733" s="4" t="s">
        <v>3746</v>
      </c>
      <c r="N3733" s="4" t="s">
        <v>3747</v>
      </c>
      <c r="O3733" s="17">
        <f>INDEX('список ID из СУЭ с должностями'!$A:$F,MATCH(E3733,'список ID из СУЭ с должностями'!$B:$B,0),5)</f>
        <v>0</v>
      </c>
    </row>
    <row r="3734" spans="1:15" ht="150">
      <c r="A3734" s="3" t="s">
        <v>10</v>
      </c>
      <c r="B3734" s="3" t="s">
        <v>11</v>
      </c>
      <c r="C3734" s="4">
        <v>2026</v>
      </c>
      <c r="D3734" s="5" t="s">
        <v>12</v>
      </c>
      <c r="E3734" s="4">
        <v>514</v>
      </c>
      <c r="F3734" s="4" t="s">
        <v>454</v>
      </c>
      <c r="G3734" s="4" t="s">
        <v>2256</v>
      </c>
      <c r="H3734" s="4" t="s">
        <v>15</v>
      </c>
      <c r="I3734" s="4" t="s">
        <v>456</v>
      </c>
      <c r="J3734" s="4" t="s">
        <v>457</v>
      </c>
      <c r="K3734" s="4" t="s">
        <v>23</v>
      </c>
      <c r="L3734" s="4" t="s">
        <v>3743</v>
      </c>
      <c r="M3734" s="4" t="s">
        <v>3748</v>
      </c>
      <c r="N3734" s="4" t="s">
        <v>3752</v>
      </c>
      <c r="O3734" s="17">
        <f>INDEX('список ID из СУЭ с должностями'!$A:$F,MATCH(E3734,'список ID из СУЭ с должностями'!$B:$B,0),5)</f>
        <v>0</v>
      </c>
    </row>
    <row r="3735" spans="1:15" ht="210">
      <c r="A3735" s="3" t="s">
        <v>10</v>
      </c>
      <c r="B3735" s="3" t="s">
        <v>11</v>
      </c>
      <c r="C3735" s="4">
        <v>2026</v>
      </c>
      <c r="D3735" s="5" t="s">
        <v>12</v>
      </c>
      <c r="E3735" s="4">
        <v>514</v>
      </c>
      <c r="F3735" s="4" t="s">
        <v>454</v>
      </c>
      <c r="G3735" s="4" t="s">
        <v>2256</v>
      </c>
      <c r="H3735" s="4" t="s">
        <v>15</v>
      </c>
      <c r="I3735" s="4" t="s">
        <v>469</v>
      </c>
      <c r="J3735" s="4" t="s">
        <v>470</v>
      </c>
      <c r="K3735" s="4" t="s">
        <v>30</v>
      </c>
      <c r="L3735" s="4" t="s">
        <v>3743</v>
      </c>
      <c r="M3735" s="4" t="s">
        <v>3746</v>
      </c>
      <c r="N3735" s="4" t="s">
        <v>3747</v>
      </c>
      <c r="O3735" s="17">
        <f>INDEX('список ID из СУЭ с должностями'!$A:$F,MATCH(E3735,'список ID из СУЭ с должностями'!$B:$B,0),5)</f>
        <v>0</v>
      </c>
    </row>
    <row r="3736" spans="1:15" ht="409.5">
      <c r="A3736" s="3" t="s">
        <v>10</v>
      </c>
      <c r="B3736" s="3" t="s">
        <v>11</v>
      </c>
      <c r="C3736" s="4">
        <v>2026</v>
      </c>
      <c r="D3736" s="5" t="s">
        <v>12</v>
      </c>
      <c r="E3736" s="4">
        <v>514</v>
      </c>
      <c r="F3736" s="4" t="s">
        <v>454</v>
      </c>
      <c r="G3736" s="4" t="s">
        <v>2256</v>
      </c>
      <c r="H3736" s="4" t="s">
        <v>15</v>
      </c>
      <c r="I3736" s="4" t="s">
        <v>472</v>
      </c>
      <c r="J3736" s="4" t="s">
        <v>1783</v>
      </c>
      <c r="K3736" s="4" t="s">
        <v>25</v>
      </c>
      <c r="L3736" s="4" t="s">
        <v>3743</v>
      </c>
      <c r="M3736" s="4" t="s">
        <v>3746</v>
      </c>
      <c r="N3736" s="4" t="s">
        <v>3747</v>
      </c>
      <c r="O3736" s="17">
        <f>INDEX('список ID из СУЭ с должностями'!$A:$F,MATCH(E3736,'список ID из СУЭ с должностями'!$B:$B,0),5)</f>
        <v>0</v>
      </c>
    </row>
    <row r="3737" spans="1:15" ht="375">
      <c r="A3737" s="3" t="s">
        <v>10</v>
      </c>
      <c r="B3737" s="3" t="s">
        <v>11</v>
      </c>
      <c r="C3737" s="4">
        <v>2026</v>
      </c>
      <c r="D3737" s="5" t="s">
        <v>12</v>
      </c>
      <c r="E3737" s="4">
        <v>514</v>
      </c>
      <c r="F3737" s="4" t="s">
        <v>454</v>
      </c>
      <c r="G3737" s="4" t="s">
        <v>2256</v>
      </c>
      <c r="H3737" s="4" t="s">
        <v>15</v>
      </c>
      <c r="I3737" s="4" t="s">
        <v>460</v>
      </c>
      <c r="J3737" s="4" t="s">
        <v>461</v>
      </c>
      <c r="K3737" s="4" t="s">
        <v>38</v>
      </c>
      <c r="L3737" s="4" t="s">
        <v>3743</v>
      </c>
      <c r="M3737" s="4" t="s">
        <v>3746</v>
      </c>
      <c r="N3737" s="4" t="s">
        <v>3747</v>
      </c>
      <c r="O3737" s="17">
        <f>INDEX('список ID из СУЭ с должностями'!$A:$F,MATCH(E3737,'список ID из СУЭ с должностями'!$B:$B,0),5)</f>
        <v>0</v>
      </c>
    </row>
    <row r="3738" spans="1:15" ht="150">
      <c r="A3738" s="3" t="s">
        <v>10</v>
      </c>
      <c r="B3738" s="3" t="s">
        <v>11</v>
      </c>
      <c r="C3738" s="4">
        <v>2026</v>
      </c>
      <c r="D3738" s="5" t="s">
        <v>12</v>
      </c>
      <c r="E3738" s="4">
        <v>514</v>
      </c>
      <c r="F3738" s="4" t="s">
        <v>454</v>
      </c>
      <c r="G3738" s="4" t="s">
        <v>2256</v>
      </c>
      <c r="H3738" s="4" t="s">
        <v>15</v>
      </c>
      <c r="I3738" s="4" t="s">
        <v>462</v>
      </c>
      <c r="J3738" s="4" t="s">
        <v>463</v>
      </c>
      <c r="K3738" s="4" t="s">
        <v>35</v>
      </c>
      <c r="L3738" s="4" t="s">
        <v>3742</v>
      </c>
      <c r="M3738" s="4" t="s">
        <v>3746</v>
      </c>
      <c r="N3738" s="4" t="s">
        <v>3747</v>
      </c>
      <c r="O3738" s="17">
        <f>INDEX('список ID из СУЭ с должностями'!$A:$F,MATCH(E3738,'список ID из СУЭ с должностями'!$B:$B,0),5)</f>
        <v>0</v>
      </c>
    </row>
    <row r="3739" spans="1:15" ht="150">
      <c r="A3739" s="3" t="s">
        <v>10</v>
      </c>
      <c r="B3739" s="3" t="s">
        <v>11</v>
      </c>
      <c r="C3739" s="4">
        <v>2026</v>
      </c>
      <c r="D3739" s="5" t="s">
        <v>12</v>
      </c>
      <c r="E3739" s="4">
        <v>514</v>
      </c>
      <c r="F3739" s="4" t="s">
        <v>454</v>
      </c>
      <c r="G3739" s="4" t="s">
        <v>2256</v>
      </c>
      <c r="H3739" s="4" t="s">
        <v>15</v>
      </c>
      <c r="I3739" s="4" t="s">
        <v>471</v>
      </c>
      <c r="J3739" s="4" t="s">
        <v>463</v>
      </c>
      <c r="K3739" s="4" t="s">
        <v>188</v>
      </c>
      <c r="L3739" s="4" t="s">
        <v>3742</v>
      </c>
      <c r="M3739" s="4" t="s">
        <v>3746</v>
      </c>
      <c r="N3739" s="4" t="s">
        <v>3747</v>
      </c>
      <c r="O3739" s="17">
        <f>INDEX('список ID из СУЭ с должностями'!$A:$F,MATCH(E3739,'список ID из СУЭ с должностями'!$B:$B,0),5)</f>
        <v>0</v>
      </c>
    </row>
    <row r="3740" spans="1:15" ht="409.5">
      <c r="A3740" s="3" t="s">
        <v>10</v>
      </c>
      <c r="B3740" s="3" t="s">
        <v>11</v>
      </c>
      <c r="C3740" s="4">
        <v>2026</v>
      </c>
      <c r="D3740" s="5" t="s">
        <v>12</v>
      </c>
      <c r="E3740" s="4">
        <v>514</v>
      </c>
      <c r="F3740" s="4" t="s">
        <v>454</v>
      </c>
      <c r="G3740" s="4" t="s">
        <v>2256</v>
      </c>
      <c r="H3740" s="4" t="s">
        <v>15</v>
      </c>
      <c r="I3740" s="4" t="s">
        <v>464</v>
      </c>
      <c r="J3740" s="4" t="s">
        <v>1784</v>
      </c>
      <c r="K3740" s="4" t="s">
        <v>66</v>
      </c>
      <c r="L3740" s="4" t="s">
        <v>3743</v>
      </c>
      <c r="M3740" s="4" t="s">
        <v>3746</v>
      </c>
      <c r="N3740" s="4" t="s">
        <v>3747</v>
      </c>
      <c r="O3740" s="17">
        <f>INDEX('список ID из СУЭ с должностями'!$A:$F,MATCH(E3740,'список ID из СУЭ с должностями'!$B:$B,0),5)</f>
        <v>0</v>
      </c>
    </row>
    <row r="3741" spans="1:15" ht="150">
      <c r="A3741" s="3" t="s">
        <v>10</v>
      </c>
      <c r="B3741" s="3" t="s">
        <v>11</v>
      </c>
      <c r="C3741" s="4">
        <v>2026</v>
      </c>
      <c r="D3741" s="5" t="s">
        <v>12</v>
      </c>
      <c r="E3741" s="4">
        <v>514</v>
      </c>
      <c r="F3741" s="4" t="s">
        <v>454</v>
      </c>
      <c r="G3741" s="4" t="s">
        <v>2256</v>
      </c>
      <c r="H3741" s="4" t="s">
        <v>15</v>
      </c>
      <c r="I3741" s="4" t="s">
        <v>466</v>
      </c>
      <c r="J3741" s="4" t="s">
        <v>467</v>
      </c>
      <c r="K3741" s="4" t="s">
        <v>30</v>
      </c>
      <c r="L3741" s="4" t="s">
        <v>3742</v>
      </c>
      <c r="M3741" s="4" t="s">
        <v>3746</v>
      </c>
      <c r="N3741" s="4" t="s">
        <v>3747</v>
      </c>
      <c r="O3741" s="17">
        <f>INDEX('список ID из СУЭ с должностями'!$A:$F,MATCH(E3741,'список ID из СУЭ с должностями'!$B:$B,0),5)</f>
        <v>0</v>
      </c>
    </row>
    <row r="3742" spans="1:15" ht="150">
      <c r="A3742" s="3" t="s">
        <v>10</v>
      </c>
      <c r="B3742" s="3" t="s">
        <v>11</v>
      </c>
      <c r="C3742" s="4">
        <v>2026</v>
      </c>
      <c r="D3742" s="5" t="s">
        <v>12</v>
      </c>
      <c r="E3742" s="4">
        <v>514</v>
      </c>
      <c r="F3742" s="4" t="s">
        <v>454</v>
      </c>
      <c r="G3742" s="4" t="s">
        <v>2256</v>
      </c>
      <c r="H3742" s="4" t="s">
        <v>15</v>
      </c>
      <c r="I3742" s="4" t="s">
        <v>468</v>
      </c>
      <c r="J3742" s="4" t="s">
        <v>79</v>
      </c>
      <c r="K3742" s="4" t="s">
        <v>30</v>
      </c>
      <c r="L3742" s="4" t="s">
        <v>3742</v>
      </c>
      <c r="M3742" s="4" t="s">
        <v>3746</v>
      </c>
      <c r="N3742" s="4" t="s">
        <v>3747</v>
      </c>
      <c r="O3742" s="17">
        <f>INDEX('список ID из СУЭ с должностями'!$A:$F,MATCH(E3742,'список ID из СУЭ с должностями'!$B:$B,0),5)</f>
        <v>0</v>
      </c>
    </row>
    <row r="3743" spans="1:15" ht="60">
      <c r="A3743" s="3" t="s">
        <v>10</v>
      </c>
      <c r="B3743" s="3" t="s">
        <v>11</v>
      </c>
      <c r="C3743" s="4">
        <v>2026</v>
      </c>
      <c r="D3743" s="5" t="s">
        <v>12</v>
      </c>
      <c r="E3743" s="4">
        <v>515</v>
      </c>
      <c r="F3743" s="4" t="s">
        <v>2228</v>
      </c>
      <c r="G3743" s="4" t="s">
        <v>1754</v>
      </c>
      <c r="H3743" s="4" t="s">
        <v>21</v>
      </c>
      <c r="I3743" s="4" t="s">
        <v>220</v>
      </c>
      <c r="J3743" s="4" t="s">
        <v>1755</v>
      </c>
      <c r="K3743" s="4" t="s">
        <v>220</v>
      </c>
      <c r="L3743" s="4" t="s">
        <v>3743</v>
      </c>
      <c r="M3743" s="4" t="s">
        <v>3753</v>
      </c>
      <c r="N3743" s="4" t="s">
        <v>3747</v>
      </c>
      <c r="O3743" s="17">
        <f>INDEX('список ID из СУЭ с должностями'!$A:$F,MATCH(E3743,'список ID из СУЭ с должностями'!$B:$B,0),5)</f>
        <v>0</v>
      </c>
    </row>
    <row r="3744" spans="1:15" ht="165">
      <c r="A3744" s="3" t="s">
        <v>10</v>
      </c>
      <c r="B3744" s="3" t="s">
        <v>11</v>
      </c>
      <c r="C3744" s="4">
        <v>2026</v>
      </c>
      <c r="D3744" s="5" t="s">
        <v>12</v>
      </c>
      <c r="E3744" s="4">
        <v>515</v>
      </c>
      <c r="F3744" s="4" t="s">
        <v>2228</v>
      </c>
      <c r="G3744" s="4" t="s">
        <v>1754</v>
      </c>
      <c r="H3744" s="4" t="s">
        <v>15</v>
      </c>
      <c r="I3744" s="4" t="s">
        <v>3076</v>
      </c>
      <c r="J3744" s="4" t="s">
        <v>3563</v>
      </c>
      <c r="K3744" s="4" t="s">
        <v>23</v>
      </c>
      <c r="L3744" s="4" t="s">
        <v>3743</v>
      </c>
      <c r="M3744" s="4" t="s">
        <v>3748</v>
      </c>
      <c r="N3744" s="4" t="s">
        <v>3749</v>
      </c>
      <c r="O3744" s="17">
        <f>INDEX('список ID из СУЭ с должностями'!$A:$F,MATCH(E3744,'список ID из СУЭ с должностями'!$B:$B,0),5)</f>
        <v>0</v>
      </c>
    </row>
    <row r="3745" spans="1:15" ht="60">
      <c r="A3745" s="3" t="s">
        <v>10</v>
      </c>
      <c r="B3745" s="3" t="s">
        <v>11</v>
      </c>
      <c r="C3745" s="4">
        <v>2026</v>
      </c>
      <c r="D3745" s="5" t="s">
        <v>12</v>
      </c>
      <c r="E3745" s="4">
        <v>515</v>
      </c>
      <c r="F3745" s="4" t="s">
        <v>2228</v>
      </c>
      <c r="G3745" s="4" t="s">
        <v>1754</v>
      </c>
      <c r="H3745" s="4" t="s">
        <v>21</v>
      </c>
      <c r="I3745" s="4" t="s">
        <v>3564</v>
      </c>
      <c r="J3745" s="4" t="s">
        <v>3565</v>
      </c>
      <c r="K3745" s="4" t="s">
        <v>23</v>
      </c>
      <c r="L3745" s="4" t="s">
        <v>3743</v>
      </c>
      <c r="M3745" s="4" t="s">
        <v>3748</v>
      </c>
      <c r="N3745" s="4" t="s">
        <v>3752</v>
      </c>
      <c r="O3745" s="17">
        <f>INDEX('список ID из СУЭ с должностями'!$A:$F,MATCH(E3745,'список ID из СУЭ с должностями'!$B:$B,0),5)</f>
        <v>0</v>
      </c>
    </row>
    <row r="3746" spans="1:15" ht="120">
      <c r="A3746" s="3" t="s">
        <v>10</v>
      </c>
      <c r="B3746" s="3" t="s">
        <v>11</v>
      </c>
      <c r="C3746" s="4">
        <v>2026</v>
      </c>
      <c r="D3746" s="5" t="s">
        <v>12</v>
      </c>
      <c r="E3746" s="4">
        <v>515</v>
      </c>
      <c r="F3746" s="4" t="s">
        <v>2228</v>
      </c>
      <c r="G3746" s="4" t="s">
        <v>1754</v>
      </c>
      <c r="H3746" s="4" t="s">
        <v>21</v>
      </c>
      <c r="I3746" s="4" t="s">
        <v>3566</v>
      </c>
      <c r="J3746" s="4" t="s">
        <v>3567</v>
      </c>
      <c r="K3746" s="4" t="s">
        <v>52</v>
      </c>
      <c r="L3746" s="4" t="s">
        <v>3743</v>
      </c>
      <c r="M3746" s="4" t="s">
        <v>3746</v>
      </c>
      <c r="N3746" s="4" t="s">
        <v>3747</v>
      </c>
      <c r="O3746" s="17">
        <f>INDEX('список ID из СУЭ с должностями'!$A:$F,MATCH(E3746,'список ID из СУЭ с должностями'!$B:$B,0),5)</f>
        <v>0</v>
      </c>
    </row>
    <row r="3747" spans="1:15" ht="135">
      <c r="A3747" s="3" t="s">
        <v>10</v>
      </c>
      <c r="B3747" s="3" t="s">
        <v>11</v>
      </c>
      <c r="C3747" s="4">
        <v>2026</v>
      </c>
      <c r="D3747" s="5" t="s">
        <v>12</v>
      </c>
      <c r="E3747" s="4">
        <v>515</v>
      </c>
      <c r="F3747" s="4" t="s">
        <v>2228</v>
      </c>
      <c r="G3747" s="4" t="s">
        <v>1754</v>
      </c>
      <c r="H3747" s="4" t="s">
        <v>21</v>
      </c>
      <c r="I3747" s="4" t="s">
        <v>3526</v>
      </c>
      <c r="J3747" s="4" t="s">
        <v>3568</v>
      </c>
      <c r="K3747" s="4" t="s">
        <v>30</v>
      </c>
      <c r="L3747" s="4" t="s">
        <v>3743</v>
      </c>
      <c r="M3747" s="4" t="s">
        <v>3746</v>
      </c>
      <c r="N3747" s="4" t="s">
        <v>3747</v>
      </c>
      <c r="O3747" s="17">
        <f>INDEX('список ID из СУЭ с должностями'!$A:$F,MATCH(E3747,'список ID из СУЭ с должностями'!$B:$B,0),5)</f>
        <v>0</v>
      </c>
    </row>
    <row r="3748" spans="1:15" ht="75">
      <c r="A3748" s="3" t="s">
        <v>10</v>
      </c>
      <c r="B3748" s="3" t="s">
        <v>11</v>
      </c>
      <c r="C3748" s="4">
        <v>2026</v>
      </c>
      <c r="D3748" s="5" t="s">
        <v>12</v>
      </c>
      <c r="E3748" s="4">
        <v>516</v>
      </c>
      <c r="F3748" s="4" t="s">
        <v>67</v>
      </c>
      <c r="G3748" s="4" t="s">
        <v>3528</v>
      </c>
      <c r="H3748" s="4" t="s">
        <v>21</v>
      </c>
      <c r="I3748" s="4" t="s">
        <v>3569</v>
      </c>
      <c r="J3748" s="4" t="s">
        <v>3570</v>
      </c>
      <c r="K3748" s="4" t="s">
        <v>23</v>
      </c>
      <c r="L3748" s="4" t="s">
        <v>3743</v>
      </c>
      <c r="M3748" s="4" t="s">
        <v>3748</v>
      </c>
      <c r="N3748" s="4" t="s">
        <v>3752</v>
      </c>
      <c r="O3748" s="17">
        <f>INDEX('список ID из СУЭ с должностями'!$A:$F,MATCH(E3748,'список ID из СУЭ с должностями'!$B:$B,0),5)</f>
        <v>0</v>
      </c>
    </row>
    <row r="3749" spans="1:15" ht="90">
      <c r="A3749" s="3" t="s">
        <v>10</v>
      </c>
      <c r="B3749" s="3" t="s">
        <v>11</v>
      </c>
      <c r="C3749" s="4">
        <v>2026</v>
      </c>
      <c r="D3749" s="5" t="s">
        <v>12</v>
      </c>
      <c r="E3749" s="4">
        <v>516</v>
      </c>
      <c r="F3749" s="4" t="s">
        <v>67</v>
      </c>
      <c r="G3749" s="4" t="s">
        <v>3528</v>
      </c>
      <c r="H3749" s="4" t="s">
        <v>41</v>
      </c>
      <c r="I3749" s="4" t="s">
        <v>3571</v>
      </c>
      <c r="J3749" s="4" t="s">
        <v>3572</v>
      </c>
      <c r="K3749" s="4" t="s">
        <v>23</v>
      </c>
      <c r="L3749" s="4" t="s">
        <v>3743</v>
      </c>
      <c r="M3749" s="4" t="s">
        <v>3748</v>
      </c>
      <c r="N3749" s="4" t="s">
        <v>3752</v>
      </c>
      <c r="O3749" s="17">
        <f>INDEX('список ID из СУЭ с должностями'!$A:$F,MATCH(E3749,'список ID из СУЭ с должностями'!$B:$B,0),5)</f>
        <v>0</v>
      </c>
    </row>
    <row r="3750" spans="1:15" ht="195">
      <c r="A3750" s="3" t="s">
        <v>10</v>
      </c>
      <c r="B3750" s="3" t="s">
        <v>11</v>
      </c>
      <c r="C3750" s="4">
        <v>2026</v>
      </c>
      <c r="D3750" s="5" t="s">
        <v>12</v>
      </c>
      <c r="E3750" s="4">
        <v>516</v>
      </c>
      <c r="F3750" s="4" t="s">
        <v>67</v>
      </c>
      <c r="G3750" s="4" t="s">
        <v>3528</v>
      </c>
      <c r="H3750" s="4" t="s">
        <v>21</v>
      </c>
      <c r="I3750" s="4" t="s">
        <v>2252</v>
      </c>
      <c r="J3750" s="4" t="s">
        <v>2253</v>
      </c>
      <c r="K3750" s="4" t="s">
        <v>2232</v>
      </c>
      <c r="L3750" s="4" t="s">
        <v>3743</v>
      </c>
      <c r="M3750" s="4" t="s">
        <v>3746</v>
      </c>
      <c r="N3750" s="4" t="s">
        <v>3775</v>
      </c>
      <c r="O3750" s="17">
        <f>INDEX('список ID из СУЭ с должностями'!$A:$F,MATCH(E3750,'список ID из СУЭ с должностями'!$B:$B,0),5)</f>
        <v>0</v>
      </c>
    </row>
    <row r="3751" spans="1:15" ht="60">
      <c r="A3751" s="3" t="s">
        <v>10</v>
      </c>
      <c r="B3751" s="3" t="s">
        <v>11</v>
      </c>
      <c r="C3751" s="4">
        <v>2026</v>
      </c>
      <c r="D3751" s="5" t="s">
        <v>12</v>
      </c>
      <c r="E3751" s="4">
        <v>516</v>
      </c>
      <c r="F3751" s="4" t="s">
        <v>67</v>
      </c>
      <c r="G3751" s="4" t="s">
        <v>3528</v>
      </c>
      <c r="H3751" s="4" t="s">
        <v>21</v>
      </c>
      <c r="I3751" s="4" t="s">
        <v>3533</v>
      </c>
      <c r="J3751" s="4" t="s">
        <v>3533</v>
      </c>
      <c r="K3751" s="4" t="s">
        <v>2232</v>
      </c>
      <c r="L3751" s="4" t="s">
        <v>3743</v>
      </c>
      <c r="M3751" s="4" t="s">
        <v>3746</v>
      </c>
      <c r="N3751" s="4" t="s">
        <v>3775</v>
      </c>
      <c r="O3751" s="17">
        <f>INDEX('список ID из СУЭ с должностями'!$A:$F,MATCH(E3751,'список ID из СУЭ с должностями'!$B:$B,0),5)</f>
        <v>0</v>
      </c>
    </row>
    <row r="3752" spans="1:15" ht="120">
      <c r="A3752" s="3" t="s">
        <v>10</v>
      </c>
      <c r="B3752" s="3" t="s">
        <v>11</v>
      </c>
      <c r="C3752" s="4">
        <v>2026</v>
      </c>
      <c r="D3752" s="5" t="s">
        <v>12</v>
      </c>
      <c r="E3752" s="4">
        <v>516</v>
      </c>
      <c r="F3752" s="4" t="s">
        <v>67</v>
      </c>
      <c r="G3752" s="4" t="s">
        <v>3528</v>
      </c>
      <c r="H3752" s="4" t="s">
        <v>21</v>
      </c>
      <c r="I3752" s="4" t="s">
        <v>3541</v>
      </c>
      <c r="J3752" s="4" t="s">
        <v>3573</v>
      </c>
      <c r="K3752" s="4" t="s">
        <v>38</v>
      </c>
      <c r="L3752" s="4" t="s">
        <v>3743</v>
      </c>
      <c r="M3752" s="4" t="s">
        <v>3746</v>
      </c>
      <c r="N3752" s="4" t="s">
        <v>3747</v>
      </c>
      <c r="O3752" s="17">
        <f>INDEX('список ID из СУЭ с должностями'!$A:$F,MATCH(E3752,'список ID из СУЭ с должностями'!$B:$B,0),5)</f>
        <v>0</v>
      </c>
    </row>
    <row r="3753" spans="1:15" ht="90">
      <c r="A3753" s="3" t="s">
        <v>10</v>
      </c>
      <c r="B3753" s="3" t="s">
        <v>11</v>
      </c>
      <c r="C3753" s="4">
        <v>2026</v>
      </c>
      <c r="D3753" s="5" t="s">
        <v>12</v>
      </c>
      <c r="E3753" s="4">
        <v>516</v>
      </c>
      <c r="F3753" s="4" t="s">
        <v>67</v>
      </c>
      <c r="G3753" s="4" t="s">
        <v>3528</v>
      </c>
      <c r="H3753" s="4" t="s">
        <v>21</v>
      </c>
      <c r="I3753" s="4" t="s">
        <v>2250</v>
      </c>
      <c r="J3753" s="4" t="s">
        <v>3574</v>
      </c>
      <c r="K3753" s="4" t="s">
        <v>38</v>
      </c>
      <c r="L3753" s="4" t="s">
        <v>3743</v>
      </c>
      <c r="M3753" s="4" t="s">
        <v>3746</v>
      </c>
      <c r="N3753" s="4" t="s">
        <v>3747</v>
      </c>
      <c r="O3753" s="17">
        <f>INDEX('список ID из СУЭ с должностями'!$A:$F,MATCH(E3753,'список ID из СУЭ с должностями'!$B:$B,0),5)</f>
        <v>0</v>
      </c>
    </row>
    <row r="3754" spans="1:15" ht="60">
      <c r="A3754" s="3" t="s">
        <v>10</v>
      </c>
      <c r="B3754" s="3" t="s">
        <v>11</v>
      </c>
      <c r="C3754" s="4">
        <v>2026</v>
      </c>
      <c r="D3754" s="5" t="s">
        <v>12</v>
      </c>
      <c r="E3754" s="4">
        <v>516</v>
      </c>
      <c r="F3754" s="4" t="s">
        <v>67</v>
      </c>
      <c r="G3754" s="4" t="s">
        <v>3528</v>
      </c>
      <c r="H3754" s="4" t="s">
        <v>15</v>
      </c>
      <c r="I3754" s="4" t="s">
        <v>3575</v>
      </c>
      <c r="J3754" s="4" t="s">
        <v>3576</v>
      </c>
      <c r="K3754" s="4" t="s">
        <v>23</v>
      </c>
      <c r="L3754" s="4" t="s">
        <v>3743</v>
      </c>
      <c r="M3754" s="4" t="s">
        <v>3748</v>
      </c>
      <c r="N3754" s="4" t="s">
        <v>3752</v>
      </c>
      <c r="O3754" s="17">
        <f>INDEX('список ID из СУЭ с должностями'!$A:$F,MATCH(E3754,'список ID из СУЭ с должностями'!$B:$B,0),5)</f>
        <v>0</v>
      </c>
    </row>
    <row r="3755" spans="1:15" ht="60">
      <c r="A3755" s="3" t="s">
        <v>10</v>
      </c>
      <c r="B3755" s="3" t="s">
        <v>11</v>
      </c>
      <c r="C3755" s="4">
        <v>2026</v>
      </c>
      <c r="D3755" s="5" t="s">
        <v>12</v>
      </c>
      <c r="E3755" s="4">
        <v>516</v>
      </c>
      <c r="F3755" s="4" t="s">
        <v>67</v>
      </c>
      <c r="G3755" s="4" t="s">
        <v>3528</v>
      </c>
      <c r="H3755" s="4" t="s">
        <v>21</v>
      </c>
      <c r="I3755" s="4" t="s">
        <v>2551</v>
      </c>
      <c r="J3755" s="4" t="s">
        <v>2552</v>
      </c>
      <c r="K3755" s="4" t="s">
        <v>220</v>
      </c>
      <c r="L3755" s="4" t="s">
        <v>3743</v>
      </c>
      <c r="M3755" s="4" t="s">
        <v>3753</v>
      </c>
      <c r="N3755" s="4" t="s">
        <v>3747</v>
      </c>
      <c r="O3755" s="17">
        <f>INDEX('список ID из СУЭ с должностями'!$A:$F,MATCH(E3755,'список ID из СУЭ с должностями'!$B:$B,0),5)</f>
        <v>0</v>
      </c>
    </row>
    <row r="3756" spans="1:15" ht="45">
      <c r="A3756" s="3" t="s">
        <v>10</v>
      </c>
      <c r="B3756" s="3" t="s">
        <v>11</v>
      </c>
      <c r="C3756" s="4">
        <v>2026</v>
      </c>
      <c r="D3756" s="5" t="s">
        <v>12</v>
      </c>
      <c r="E3756" s="4">
        <v>517</v>
      </c>
      <c r="F3756" s="4" t="s">
        <v>385</v>
      </c>
      <c r="G3756" s="4" t="s">
        <v>869</v>
      </c>
      <c r="H3756" s="4" t="s">
        <v>15</v>
      </c>
      <c r="I3756" s="4" t="s">
        <v>870</v>
      </c>
      <c r="J3756" s="4" t="s">
        <v>2454</v>
      </c>
      <c r="K3756" s="4" t="s">
        <v>35</v>
      </c>
      <c r="L3756" s="4" t="s">
        <v>3742</v>
      </c>
      <c r="M3756" s="4" t="s">
        <v>3746</v>
      </c>
      <c r="N3756" s="4" t="s">
        <v>3747</v>
      </c>
      <c r="O3756" s="17">
        <f>INDEX('список ID из СУЭ с должностями'!$A:$F,MATCH(E3756,'список ID из СУЭ с должностями'!$B:$B,0),5)</f>
        <v>0</v>
      </c>
    </row>
    <row r="3757" spans="1:15" ht="75">
      <c r="A3757" s="3" t="s">
        <v>10</v>
      </c>
      <c r="B3757" s="3" t="s">
        <v>11</v>
      </c>
      <c r="C3757" s="4">
        <v>2026</v>
      </c>
      <c r="D3757" s="5" t="s">
        <v>12</v>
      </c>
      <c r="E3757" s="4">
        <v>517</v>
      </c>
      <c r="F3757" s="4" t="s">
        <v>385</v>
      </c>
      <c r="G3757" s="4" t="s">
        <v>869</v>
      </c>
      <c r="H3757" s="4" t="s">
        <v>21</v>
      </c>
      <c r="I3757" s="4" t="s">
        <v>2763</v>
      </c>
      <c r="J3757" s="4" t="s">
        <v>2775</v>
      </c>
      <c r="K3757" s="4" t="s">
        <v>25</v>
      </c>
      <c r="L3757" s="4" t="s">
        <v>3743</v>
      </c>
      <c r="M3757" s="4" t="s">
        <v>3746</v>
      </c>
      <c r="N3757" s="4" t="s">
        <v>3747</v>
      </c>
      <c r="O3757" s="17">
        <f>INDEX('список ID из СУЭ с должностями'!$A:$F,MATCH(E3757,'список ID из СУЭ с должностями'!$B:$B,0),5)</f>
        <v>0</v>
      </c>
    </row>
    <row r="3758" spans="1:15" ht="165">
      <c r="A3758" s="3" t="s">
        <v>10</v>
      </c>
      <c r="B3758" s="3" t="s">
        <v>11</v>
      </c>
      <c r="C3758" s="4">
        <v>2026</v>
      </c>
      <c r="D3758" s="5" t="s">
        <v>12</v>
      </c>
      <c r="E3758" s="4">
        <v>517</v>
      </c>
      <c r="F3758" s="4" t="s">
        <v>385</v>
      </c>
      <c r="G3758" s="4" t="s">
        <v>869</v>
      </c>
      <c r="H3758" s="4" t="s">
        <v>15</v>
      </c>
      <c r="I3758" s="4" t="s">
        <v>874</v>
      </c>
      <c r="J3758" s="4" t="s">
        <v>875</v>
      </c>
      <c r="K3758" s="4" t="s">
        <v>30</v>
      </c>
      <c r="L3758" s="4" t="s">
        <v>3743</v>
      </c>
      <c r="M3758" s="4" t="s">
        <v>3746</v>
      </c>
      <c r="N3758" s="4" t="s">
        <v>3747</v>
      </c>
      <c r="O3758" s="17">
        <f>INDEX('список ID из СУЭ с должностями'!$A:$F,MATCH(E3758,'список ID из СУЭ с должностями'!$B:$B,0),5)</f>
        <v>0</v>
      </c>
    </row>
    <row r="3759" spans="1:15" ht="90">
      <c r="A3759" s="3" t="s">
        <v>10</v>
      </c>
      <c r="B3759" s="3" t="s">
        <v>11</v>
      </c>
      <c r="C3759" s="4">
        <v>2026</v>
      </c>
      <c r="D3759" s="5" t="s">
        <v>12</v>
      </c>
      <c r="E3759" s="4">
        <v>517</v>
      </c>
      <c r="F3759" s="4" t="s">
        <v>385</v>
      </c>
      <c r="G3759" s="4" t="s">
        <v>869</v>
      </c>
      <c r="H3759" s="4" t="s">
        <v>15</v>
      </c>
      <c r="I3759" s="4" t="s">
        <v>2449</v>
      </c>
      <c r="J3759" s="4" t="s">
        <v>2450</v>
      </c>
      <c r="K3759" s="4" t="s">
        <v>30</v>
      </c>
      <c r="L3759" s="4" t="s">
        <v>3743</v>
      </c>
      <c r="M3759" s="4" t="s">
        <v>3746</v>
      </c>
      <c r="N3759" s="4" t="s">
        <v>3747</v>
      </c>
      <c r="O3759" s="17">
        <f>INDEX('список ID из СУЭ с должностями'!$A:$F,MATCH(E3759,'список ID из СУЭ с должностями'!$B:$B,0),5)</f>
        <v>0</v>
      </c>
    </row>
    <row r="3760" spans="1:15" ht="45">
      <c r="A3760" s="3" t="s">
        <v>10</v>
      </c>
      <c r="B3760" s="3" t="s">
        <v>11</v>
      </c>
      <c r="C3760" s="4">
        <v>2026</v>
      </c>
      <c r="D3760" s="5" t="s">
        <v>12</v>
      </c>
      <c r="E3760" s="4">
        <v>517</v>
      </c>
      <c r="F3760" s="4" t="s">
        <v>385</v>
      </c>
      <c r="G3760" s="4" t="s">
        <v>869</v>
      </c>
      <c r="H3760" s="4" t="s">
        <v>21</v>
      </c>
      <c r="I3760" s="4" t="s">
        <v>880</v>
      </c>
      <c r="J3760" s="4" t="s">
        <v>881</v>
      </c>
      <c r="K3760" s="4" t="s">
        <v>52</v>
      </c>
      <c r="L3760" s="4" t="s">
        <v>3742</v>
      </c>
      <c r="M3760" s="4" t="s">
        <v>3746</v>
      </c>
      <c r="N3760" s="4" t="s">
        <v>3747</v>
      </c>
      <c r="O3760" s="17">
        <f>INDEX('список ID из СУЭ с должностями'!$A:$F,MATCH(E3760,'список ID из СУЭ с должностями'!$B:$B,0),5)</f>
        <v>0</v>
      </c>
    </row>
    <row r="3761" spans="1:15" ht="45">
      <c r="A3761" s="3" t="s">
        <v>10</v>
      </c>
      <c r="B3761" s="3" t="s">
        <v>11</v>
      </c>
      <c r="C3761" s="4">
        <v>2026</v>
      </c>
      <c r="D3761" s="5" t="s">
        <v>12</v>
      </c>
      <c r="E3761" s="4">
        <v>517</v>
      </c>
      <c r="F3761" s="4" t="s">
        <v>385</v>
      </c>
      <c r="G3761" s="4" t="s">
        <v>869</v>
      </c>
      <c r="H3761" s="4" t="s">
        <v>21</v>
      </c>
      <c r="I3761" s="4" t="s">
        <v>882</v>
      </c>
      <c r="J3761" s="4" t="s">
        <v>883</v>
      </c>
      <c r="K3761" s="4" t="s">
        <v>52</v>
      </c>
      <c r="L3761" s="4" t="s">
        <v>3742</v>
      </c>
      <c r="M3761" s="4" t="s">
        <v>3746</v>
      </c>
      <c r="N3761" s="4" t="s">
        <v>3747</v>
      </c>
      <c r="O3761" s="17">
        <f>INDEX('список ID из СУЭ с должностями'!$A:$F,MATCH(E3761,'список ID из СУЭ с должностями'!$B:$B,0),5)</f>
        <v>0</v>
      </c>
    </row>
    <row r="3762" spans="1:15" ht="315">
      <c r="A3762" s="3" t="s">
        <v>10</v>
      </c>
      <c r="B3762" s="3" t="s">
        <v>11</v>
      </c>
      <c r="C3762" s="4">
        <v>2026</v>
      </c>
      <c r="D3762" s="5" t="s">
        <v>12</v>
      </c>
      <c r="E3762" s="4">
        <v>518</v>
      </c>
      <c r="F3762" s="4" t="s">
        <v>280</v>
      </c>
      <c r="G3762" s="4" t="s">
        <v>349</v>
      </c>
      <c r="H3762" s="4" t="s">
        <v>15</v>
      </c>
      <c r="I3762" s="4" t="s">
        <v>352</v>
      </c>
      <c r="J3762" s="4" t="s">
        <v>823</v>
      </c>
      <c r="K3762" s="4" t="s">
        <v>25</v>
      </c>
      <c r="L3762" s="4" t="s">
        <v>3743</v>
      </c>
      <c r="M3762" s="4" t="s">
        <v>3746</v>
      </c>
      <c r="N3762" s="4" t="s">
        <v>3747</v>
      </c>
      <c r="O3762" s="17">
        <f>INDEX('список ID из СУЭ с должностями'!$A:$F,MATCH(E3762,'список ID из СУЭ с должностями'!$B:$B,0),5)</f>
        <v>0</v>
      </c>
    </row>
    <row r="3763" spans="1:15" ht="409.5">
      <c r="A3763" s="3" t="s">
        <v>10</v>
      </c>
      <c r="B3763" s="3" t="s">
        <v>11</v>
      </c>
      <c r="C3763" s="4">
        <v>2026</v>
      </c>
      <c r="D3763" s="5" t="s">
        <v>12</v>
      </c>
      <c r="E3763" s="4">
        <v>518</v>
      </c>
      <c r="F3763" s="4" t="s">
        <v>280</v>
      </c>
      <c r="G3763" s="4" t="s">
        <v>349</v>
      </c>
      <c r="H3763" s="4" t="s">
        <v>15</v>
      </c>
      <c r="I3763" s="4" t="s">
        <v>354</v>
      </c>
      <c r="J3763" s="4" t="s">
        <v>1059</v>
      </c>
      <c r="K3763" s="4" t="s">
        <v>25</v>
      </c>
      <c r="L3763" s="4" t="s">
        <v>3743</v>
      </c>
      <c r="M3763" s="4" t="s">
        <v>3746</v>
      </c>
      <c r="N3763" s="4" t="s">
        <v>3747</v>
      </c>
      <c r="O3763" s="17">
        <f>INDEX('список ID из СУЭ с должностями'!$A:$F,MATCH(E3763,'список ID из СУЭ с должностями'!$B:$B,0),5)</f>
        <v>0</v>
      </c>
    </row>
    <row r="3764" spans="1:15" ht="315">
      <c r="A3764" s="3" t="s">
        <v>10</v>
      </c>
      <c r="B3764" s="3" t="s">
        <v>11</v>
      </c>
      <c r="C3764" s="4">
        <v>2026</v>
      </c>
      <c r="D3764" s="5" t="s">
        <v>12</v>
      </c>
      <c r="E3764" s="4">
        <v>518</v>
      </c>
      <c r="F3764" s="4" t="s">
        <v>280</v>
      </c>
      <c r="G3764" s="4" t="s">
        <v>349</v>
      </c>
      <c r="H3764" s="4" t="s">
        <v>15</v>
      </c>
      <c r="I3764" s="4" t="s">
        <v>28</v>
      </c>
      <c r="J3764" s="4" t="s">
        <v>1140</v>
      </c>
      <c r="K3764" s="4" t="s">
        <v>38</v>
      </c>
      <c r="L3764" s="4" t="s">
        <v>3743</v>
      </c>
      <c r="M3764" s="4" t="s">
        <v>3746</v>
      </c>
      <c r="N3764" s="4" t="s">
        <v>3747</v>
      </c>
      <c r="O3764" s="17">
        <f>INDEX('список ID из СУЭ с должностями'!$A:$F,MATCH(E3764,'список ID из СУЭ с должностями'!$B:$B,0),5)</f>
        <v>0</v>
      </c>
    </row>
    <row r="3765" spans="1:15" ht="105">
      <c r="A3765" s="3" t="s">
        <v>10</v>
      </c>
      <c r="B3765" s="3" t="s">
        <v>11</v>
      </c>
      <c r="C3765" s="4">
        <v>2026</v>
      </c>
      <c r="D3765" s="5" t="s">
        <v>12</v>
      </c>
      <c r="E3765" s="4">
        <v>518</v>
      </c>
      <c r="F3765" s="4" t="s">
        <v>280</v>
      </c>
      <c r="G3765" s="4" t="s">
        <v>349</v>
      </c>
      <c r="H3765" s="4" t="s">
        <v>15</v>
      </c>
      <c r="I3765" s="4" t="s">
        <v>356</v>
      </c>
      <c r="J3765" s="4" t="s">
        <v>357</v>
      </c>
      <c r="K3765" s="4" t="s">
        <v>25</v>
      </c>
      <c r="L3765" s="4" t="s">
        <v>3743</v>
      </c>
      <c r="M3765" s="4" t="s">
        <v>3746</v>
      </c>
      <c r="N3765" s="4" t="s">
        <v>3747</v>
      </c>
      <c r="O3765" s="17">
        <f>INDEX('список ID из СУЭ с должностями'!$A:$F,MATCH(E3765,'список ID из СУЭ с должностями'!$B:$B,0),5)</f>
        <v>0</v>
      </c>
    </row>
    <row r="3766" spans="1:15" ht="135">
      <c r="A3766" s="3" t="s">
        <v>10</v>
      </c>
      <c r="B3766" s="3" t="s">
        <v>11</v>
      </c>
      <c r="C3766" s="4">
        <v>2026</v>
      </c>
      <c r="D3766" s="5" t="s">
        <v>12</v>
      </c>
      <c r="E3766" s="4">
        <v>518</v>
      </c>
      <c r="F3766" s="4" t="s">
        <v>280</v>
      </c>
      <c r="G3766" s="4" t="s">
        <v>349</v>
      </c>
      <c r="H3766" s="4" t="s">
        <v>15</v>
      </c>
      <c r="I3766" s="4" t="s">
        <v>318</v>
      </c>
      <c r="J3766" s="4" t="s">
        <v>1142</v>
      </c>
      <c r="K3766" s="4" t="s">
        <v>25</v>
      </c>
      <c r="L3766" s="4" t="s">
        <v>3743</v>
      </c>
      <c r="M3766" s="4" t="s">
        <v>3746</v>
      </c>
      <c r="N3766" s="4" t="s">
        <v>3747</v>
      </c>
      <c r="O3766" s="17">
        <f>INDEX('список ID из СУЭ с должностями'!$A:$F,MATCH(E3766,'список ID из СУЭ с должностями'!$B:$B,0),5)</f>
        <v>0</v>
      </c>
    </row>
    <row r="3767" spans="1:15" ht="105">
      <c r="A3767" s="3" t="s">
        <v>10</v>
      </c>
      <c r="B3767" s="3" t="s">
        <v>11</v>
      </c>
      <c r="C3767" s="4">
        <v>2026</v>
      </c>
      <c r="D3767" s="5" t="s">
        <v>12</v>
      </c>
      <c r="E3767" s="4">
        <v>518</v>
      </c>
      <c r="F3767" s="4" t="s">
        <v>280</v>
      </c>
      <c r="G3767" s="4" t="s">
        <v>349</v>
      </c>
      <c r="H3767" s="4" t="s">
        <v>15</v>
      </c>
      <c r="I3767" s="4" t="s">
        <v>358</v>
      </c>
      <c r="J3767" s="4" t="s">
        <v>1143</v>
      </c>
      <c r="K3767" s="4" t="s">
        <v>66</v>
      </c>
      <c r="L3767" s="4" t="s">
        <v>3743</v>
      </c>
      <c r="M3767" s="4" t="s">
        <v>3746</v>
      </c>
      <c r="N3767" s="4" t="s">
        <v>3747</v>
      </c>
      <c r="O3767" s="17">
        <f>INDEX('список ID из СУЭ с должностями'!$A:$F,MATCH(E3767,'список ID из СУЭ с должностями'!$B:$B,0),5)</f>
        <v>0</v>
      </c>
    </row>
    <row r="3768" spans="1:15" ht="330">
      <c r="A3768" s="3" t="s">
        <v>10</v>
      </c>
      <c r="B3768" s="3" t="s">
        <v>11</v>
      </c>
      <c r="C3768" s="4">
        <v>2026</v>
      </c>
      <c r="D3768" s="5" t="s">
        <v>12</v>
      </c>
      <c r="E3768" s="4">
        <v>518</v>
      </c>
      <c r="F3768" s="4" t="s">
        <v>280</v>
      </c>
      <c r="G3768" s="4" t="s">
        <v>349</v>
      </c>
      <c r="H3768" s="4" t="s">
        <v>15</v>
      </c>
      <c r="I3768" s="4" t="s">
        <v>323</v>
      </c>
      <c r="J3768" s="4" t="s">
        <v>1141</v>
      </c>
      <c r="K3768" s="4" t="s">
        <v>151</v>
      </c>
      <c r="L3768" s="4" t="s">
        <v>3743</v>
      </c>
      <c r="M3768" s="4" t="s">
        <v>3746</v>
      </c>
      <c r="N3768" s="4" t="s">
        <v>3747</v>
      </c>
      <c r="O3768" s="17">
        <f>INDEX('список ID из СУЭ с должностями'!$A:$F,MATCH(E3768,'список ID из СУЭ с должностями'!$B:$B,0),5)</f>
        <v>0</v>
      </c>
    </row>
    <row r="3769" spans="1:15" ht="330">
      <c r="A3769" s="3" t="s">
        <v>10</v>
      </c>
      <c r="B3769" s="3" t="s">
        <v>11</v>
      </c>
      <c r="C3769" s="4">
        <v>2026</v>
      </c>
      <c r="D3769" s="5" t="s">
        <v>12</v>
      </c>
      <c r="E3769" s="4">
        <v>518</v>
      </c>
      <c r="F3769" s="4" t="s">
        <v>280</v>
      </c>
      <c r="G3769" s="4" t="s">
        <v>349</v>
      </c>
      <c r="H3769" s="4" t="s">
        <v>15</v>
      </c>
      <c r="I3769" s="4" t="s">
        <v>325</v>
      </c>
      <c r="J3769" s="4" t="s">
        <v>1060</v>
      </c>
      <c r="K3769" s="4" t="s">
        <v>35</v>
      </c>
      <c r="L3769" s="4" t="s">
        <v>3743</v>
      </c>
      <c r="M3769" s="4" t="s">
        <v>3746</v>
      </c>
      <c r="N3769" s="4" t="s">
        <v>3747</v>
      </c>
      <c r="O3769" s="17">
        <f>INDEX('список ID из СУЭ с должностями'!$A:$F,MATCH(E3769,'список ID из СУЭ с должностями'!$B:$B,0),5)</f>
        <v>0</v>
      </c>
    </row>
    <row r="3770" spans="1:15" ht="180">
      <c r="A3770" s="3" t="s">
        <v>10</v>
      </c>
      <c r="B3770" s="3" t="s">
        <v>11</v>
      </c>
      <c r="C3770" s="4">
        <v>2026</v>
      </c>
      <c r="D3770" s="5" t="s">
        <v>12</v>
      </c>
      <c r="E3770" s="4">
        <v>518</v>
      </c>
      <c r="F3770" s="4" t="s">
        <v>280</v>
      </c>
      <c r="G3770" s="4" t="s">
        <v>349</v>
      </c>
      <c r="H3770" s="4" t="s">
        <v>15</v>
      </c>
      <c r="I3770" s="4" t="s">
        <v>2591</v>
      </c>
      <c r="J3770" s="4" t="s">
        <v>3577</v>
      </c>
      <c r="K3770" s="4" t="s">
        <v>66</v>
      </c>
      <c r="L3770" s="4" t="s">
        <v>3743</v>
      </c>
      <c r="M3770" s="4" t="s">
        <v>3746</v>
      </c>
      <c r="N3770" s="4" t="s">
        <v>3747</v>
      </c>
      <c r="O3770" s="17">
        <f>INDEX('список ID из СУЭ с должностями'!$A:$F,MATCH(E3770,'список ID из СУЭ с должностями'!$B:$B,0),5)</f>
        <v>0</v>
      </c>
    </row>
    <row r="3771" spans="1:15" ht="75">
      <c r="A3771" s="3" t="s">
        <v>10</v>
      </c>
      <c r="B3771" s="3" t="s">
        <v>11</v>
      </c>
      <c r="C3771" s="4">
        <v>2026</v>
      </c>
      <c r="D3771" s="5" t="s">
        <v>12</v>
      </c>
      <c r="E3771" s="4">
        <v>519</v>
      </c>
      <c r="F3771" s="4" t="s">
        <v>2719</v>
      </c>
      <c r="G3771" s="4" t="s">
        <v>558</v>
      </c>
      <c r="H3771" s="4" t="s">
        <v>15</v>
      </c>
      <c r="I3771" s="4" t="s">
        <v>35</v>
      </c>
      <c r="J3771" s="4">
        <v>0</v>
      </c>
      <c r="K3771" s="4" t="s">
        <v>35</v>
      </c>
      <c r="L3771" s="4" t="s">
        <v>3743</v>
      </c>
      <c r="M3771" s="4" t="s">
        <v>3746</v>
      </c>
      <c r="N3771" s="4" t="s">
        <v>3747</v>
      </c>
      <c r="O3771" s="17">
        <f>INDEX('список ID из СУЭ с должностями'!$A:$F,MATCH(E3771,'список ID из СУЭ с должностями'!$B:$B,0),5)</f>
        <v>0</v>
      </c>
    </row>
    <row r="3772" spans="1:15" ht="75">
      <c r="A3772" s="3" t="s">
        <v>10</v>
      </c>
      <c r="B3772" s="3" t="s">
        <v>11</v>
      </c>
      <c r="C3772" s="4">
        <v>2026</v>
      </c>
      <c r="D3772" s="5" t="s">
        <v>12</v>
      </c>
      <c r="E3772" s="4">
        <v>519</v>
      </c>
      <c r="F3772" s="4" t="s">
        <v>2719</v>
      </c>
      <c r="G3772" s="4" t="s">
        <v>558</v>
      </c>
      <c r="H3772" s="4" t="s">
        <v>15</v>
      </c>
      <c r="I3772" s="4" t="s">
        <v>188</v>
      </c>
      <c r="J3772" s="4">
        <v>0</v>
      </c>
      <c r="K3772" s="4" t="s">
        <v>188</v>
      </c>
      <c r="L3772" s="4" t="s">
        <v>3743</v>
      </c>
      <c r="M3772" s="4" t="s">
        <v>3746</v>
      </c>
      <c r="N3772" s="4" t="s">
        <v>3747</v>
      </c>
      <c r="O3772" s="17">
        <f>INDEX('список ID из СУЭ с должностями'!$A:$F,MATCH(E3772,'список ID из СУЭ с должностями'!$B:$B,0),5)</f>
        <v>0</v>
      </c>
    </row>
    <row r="3773" spans="1:15" ht="75">
      <c r="A3773" s="3" t="s">
        <v>10</v>
      </c>
      <c r="B3773" s="3" t="s">
        <v>11</v>
      </c>
      <c r="C3773" s="4">
        <v>2026</v>
      </c>
      <c r="D3773" s="5" t="s">
        <v>12</v>
      </c>
      <c r="E3773" s="4">
        <v>519</v>
      </c>
      <c r="F3773" s="4" t="s">
        <v>2719</v>
      </c>
      <c r="G3773" s="4" t="s">
        <v>558</v>
      </c>
      <c r="H3773" s="4" t="s">
        <v>21</v>
      </c>
      <c r="I3773" s="4" t="s">
        <v>559</v>
      </c>
      <c r="J3773" s="4" t="s">
        <v>560</v>
      </c>
      <c r="K3773" s="4" t="s">
        <v>25</v>
      </c>
      <c r="L3773" s="4" t="s">
        <v>3743</v>
      </c>
      <c r="M3773" s="4" t="s">
        <v>3746</v>
      </c>
      <c r="N3773" s="4" t="s">
        <v>3747</v>
      </c>
      <c r="O3773" s="17">
        <f>INDEX('список ID из СУЭ с должностями'!$A:$F,MATCH(E3773,'список ID из СУЭ с должностями'!$B:$B,0),5)</f>
        <v>0</v>
      </c>
    </row>
    <row r="3774" spans="1:15" ht="75">
      <c r="A3774" s="3" t="s">
        <v>10</v>
      </c>
      <c r="B3774" s="3" t="s">
        <v>11</v>
      </c>
      <c r="C3774" s="4">
        <v>2026</v>
      </c>
      <c r="D3774" s="5" t="s">
        <v>12</v>
      </c>
      <c r="E3774" s="4">
        <v>519</v>
      </c>
      <c r="F3774" s="4" t="s">
        <v>2719</v>
      </c>
      <c r="G3774" s="4" t="s">
        <v>558</v>
      </c>
      <c r="H3774" s="4" t="s">
        <v>41</v>
      </c>
      <c r="I3774" s="4" t="s">
        <v>3578</v>
      </c>
      <c r="J3774" s="4" t="s">
        <v>3579</v>
      </c>
      <c r="K3774" s="4" t="s">
        <v>20</v>
      </c>
      <c r="L3774" s="4" t="s">
        <v>3742</v>
      </c>
      <c r="M3774" s="4" t="s">
        <v>3746</v>
      </c>
      <c r="N3774" s="4" t="s">
        <v>3747</v>
      </c>
      <c r="O3774" s="17">
        <f>INDEX('список ID из СУЭ с должностями'!$A:$F,MATCH(E3774,'список ID из СУЭ с должностями'!$B:$B,0),5)</f>
        <v>0</v>
      </c>
    </row>
    <row r="3775" spans="1:15" ht="75">
      <c r="A3775" s="3" t="s">
        <v>10</v>
      </c>
      <c r="B3775" s="3" t="s">
        <v>11</v>
      </c>
      <c r="C3775" s="4">
        <v>2026</v>
      </c>
      <c r="D3775" s="5" t="s">
        <v>12</v>
      </c>
      <c r="E3775" s="4">
        <v>519</v>
      </c>
      <c r="F3775" s="4" t="s">
        <v>2719</v>
      </c>
      <c r="G3775" s="4" t="s">
        <v>558</v>
      </c>
      <c r="H3775" s="4" t="s">
        <v>21</v>
      </c>
      <c r="I3775" s="4" t="s">
        <v>3580</v>
      </c>
      <c r="J3775" s="4" t="s">
        <v>3581</v>
      </c>
      <c r="K3775" s="4" t="s">
        <v>25</v>
      </c>
      <c r="L3775" s="4" t="s">
        <v>3742</v>
      </c>
      <c r="M3775" s="4" t="s">
        <v>3746</v>
      </c>
      <c r="N3775" s="4" t="s">
        <v>3747</v>
      </c>
      <c r="O3775" s="17">
        <f>INDEX('список ID из СУЭ с должностями'!$A:$F,MATCH(E3775,'список ID из СУЭ с должностями'!$B:$B,0),5)</f>
        <v>0</v>
      </c>
    </row>
    <row r="3776" spans="1:15" ht="75">
      <c r="A3776" s="3" t="s">
        <v>10</v>
      </c>
      <c r="B3776" s="3" t="s">
        <v>11</v>
      </c>
      <c r="C3776" s="4">
        <v>2026</v>
      </c>
      <c r="D3776" s="5" t="s">
        <v>12</v>
      </c>
      <c r="E3776" s="4">
        <v>519</v>
      </c>
      <c r="F3776" s="4" t="s">
        <v>2719</v>
      </c>
      <c r="G3776" s="4" t="s">
        <v>558</v>
      </c>
      <c r="H3776" s="4" t="s">
        <v>15</v>
      </c>
      <c r="I3776" s="4" t="s">
        <v>298</v>
      </c>
      <c r="J3776" s="4" t="s">
        <v>3072</v>
      </c>
      <c r="K3776" s="4" t="s">
        <v>66</v>
      </c>
      <c r="L3776" s="4" t="s">
        <v>3743</v>
      </c>
      <c r="M3776" s="4" t="s">
        <v>3746</v>
      </c>
      <c r="N3776" s="4" t="s">
        <v>3747</v>
      </c>
      <c r="O3776" s="17">
        <f>INDEX('список ID из СУЭ с должностями'!$A:$F,MATCH(E3776,'список ID из СУЭ с должностями'!$B:$B,0),5)</f>
        <v>0</v>
      </c>
    </row>
    <row r="3777" spans="1:15" ht="75">
      <c r="A3777" s="3" t="s">
        <v>10</v>
      </c>
      <c r="B3777" s="3" t="s">
        <v>11</v>
      </c>
      <c r="C3777" s="4">
        <v>2026</v>
      </c>
      <c r="D3777" s="5" t="s">
        <v>12</v>
      </c>
      <c r="E3777" s="4">
        <v>520</v>
      </c>
      <c r="F3777" s="4" t="s">
        <v>2719</v>
      </c>
      <c r="G3777" s="4" t="s">
        <v>558</v>
      </c>
      <c r="H3777" s="4" t="s">
        <v>15</v>
      </c>
      <c r="I3777" s="4" t="s">
        <v>35</v>
      </c>
      <c r="J3777" s="4">
        <v>0</v>
      </c>
      <c r="K3777" s="4" t="s">
        <v>35</v>
      </c>
      <c r="L3777" s="4" t="s">
        <v>3743</v>
      </c>
      <c r="M3777" s="4" t="s">
        <v>3746</v>
      </c>
      <c r="N3777" s="4" t="s">
        <v>3747</v>
      </c>
      <c r="O3777" s="17">
        <f>INDEX('список ID из СУЭ с должностями'!$A:$F,MATCH(E3777,'список ID из СУЭ с должностями'!$B:$B,0),5)</f>
        <v>0</v>
      </c>
    </row>
    <row r="3778" spans="1:15" ht="75">
      <c r="A3778" s="3" t="s">
        <v>10</v>
      </c>
      <c r="B3778" s="3" t="s">
        <v>11</v>
      </c>
      <c r="C3778" s="4">
        <v>2026</v>
      </c>
      <c r="D3778" s="5" t="s">
        <v>12</v>
      </c>
      <c r="E3778" s="4">
        <v>520</v>
      </c>
      <c r="F3778" s="4" t="s">
        <v>2719</v>
      </c>
      <c r="G3778" s="4" t="s">
        <v>558</v>
      </c>
      <c r="H3778" s="4" t="s">
        <v>41</v>
      </c>
      <c r="I3778" s="4" t="s">
        <v>3582</v>
      </c>
      <c r="J3778" s="4" t="s">
        <v>3583</v>
      </c>
      <c r="K3778" s="4" t="s">
        <v>20</v>
      </c>
      <c r="L3778" s="4" t="s">
        <v>3743</v>
      </c>
      <c r="M3778" s="4" t="s">
        <v>3746</v>
      </c>
      <c r="N3778" s="4" t="s">
        <v>3747</v>
      </c>
      <c r="O3778" s="17">
        <f>INDEX('список ID из СУЭ с должностями'!$A:$F,MATCH(E3778,'список ID из СУЭ с должностями'!$B:$B,0),5)</f>
        <v>0</v>
      </c>
    </row>
    <row r="3779" spans="1:15" ht="75">
      <c r="A3779" s="3" t="s">
        <v>10</v>
      </c>
      <c r="B3779" s="3" t="s">
        <v>11</v>
      </c>
      <c r="C3779" s="4">
        <v>2026</v>
      </c>
      <c r="D3779" s="5" t="s">
        <v>12</v>
      </c>
      <c r="E3779" s="4">
        <v>520</v>
      </c>
      <c r="F3779" s="4" t="s">
        <v>2719</v>
      </c>
      <c r="G3779" s="4" t="s">
        <v>558</v>
      </c>
      <c r="H3779" s="4" t="s">
        <v>41</v>
      </c>
      <c r="I3779" s="4" t="s">
        <v>3584</v>
      </c>
      <c r="J3779" s="4" t="s">
        <v>3585</v>
      </c>
      <c r="K3779" s="4" t="s">
        <v>35</v>
      </c>
      <c r="L3779" s="4" t="s">
        <v>3743</v>
      </c>
      <c r="M3779" s="4" t="s">
        <v>3746</v>
      </c>
      <c r="N3779" s="4" t="s">
        <v>3747</v>
      </c>
      <c r="O3779" s="17">
        <f>INDEX('список ID из СУЭ с должностями'!$A:$F,MATCH(E3779,'список ID из СУЭ с должностями'!$B:$B,0),5)</f>
        <v>0</v>
      </c>
    </row>
    <row r="3780" spans="1:15" ht="75">
      <c r="A3780" s="3" t="s">
        <v>10</v>
      </c>
      <c r="B3780" s="3" t="s">
        <v>11</v>
      </c>
      <c r="C3780" s="4">
        <v>2026</v>
      </c>
      <c r="D3780" s="5" t="s">
        <v>12</v>
      </c>
      <c r="E3780" s="4">
        <v>520</v>
      </c>
      <c r="F3780" s="4" t="s">
        <v>2719</v>
      </c>
      <c r="G3780" s="4" t="s">
        <v>558</v>
      </c>
      <c r="H3780" s="4" t="s">
        <v>21</v>
      </c>
      <c r="I3780" s="4" t="s">
        <v>3586</v>
      </c>
      <c r="J3780" s="4" t="s">
        <v>3587</v>
      </c>
      <c r="K3780" s="4" t="s">
        <v>20</v>
      </c>
      <c r="L3780" s="4" t="s">
        <v>3743</v>
      </c>
      <c r="M3780" s="4" t="s">
        <v>3746</v>
      </c>
      <c r="N3780" s="4" t="s">
        <v>3747</v>
      </c>
      <c r="O3780" s="17">
        <f>INDEX('список ID из СУЭ с должностями'!$A:$F,MATCH(E3780,'список ID из СУЭ с должностями'!$B:$B,0),5)</f>
        <v>0</v>
      </c>
    </row>
    <row r="3781" spans="1:15" ht="75">
      <c r="A3781" s="3" t="s">
        <v>10</v>
      </c>
      <c r="B3781" s="3" t="s">
        <v>11</v>
      </c>
      <c r="C3781" s="4">
        <v>2026</v>
      </c>
      <c r="D3781" s="5" t="s">
        <v>12</v>
      </c>
      <c r="E3781" s="4">
        <v>520</v>
      </c>
      <c r="F3781" s="4" t="s">
        <v>2719</v>
      </c>
      <c r="G3781" s="4" t="s">
        <v>558</v>
      </c>
      <c r="H3781" s="4" t="s">
        <v>15</v>
      </c>
      <c r="I3781" s="4" t="s">
        <v>188</v>
      </c>
      <c r="J3781" s="4">
        <v>0</v>
      </c>
      <c r="K3781" s="4" t="s">
        <v>188</v>
      </c>
      <c r="L3781" s="4" t="s">
        <v>3743</v>
      </c>
      <c r="M3781" s="4" t="s">
        <v>3746</v>
      </c>
      <c r="N3781" s="4" t="s">
        <v>3747</v>
      </c>
      <c r="O3781" s="17">
        <f>INDEX('список ID из СУЭ с должностями'!$A:$F,MATCH(E3781,'список ID из СУЭ с должностями'!$B:$B,0),5)</f>
        <v>0</v>
      </c>
    </row>
    <row r="3782" spans="1:15" ht="75">
      <c r="A3782" s="3" t="s">
        <v>10</v>
      </c>
      <c r="B3782" s="3" t="s">
        <v>11</v>
      </c>
      <c r="C3782" s="4">
        <v>2026</v>
      </c>
      <c r="D3782" s="5" t="s">
        <v>12</v>
      </c>
      <c r="E3782" s="4">
        <v>520</v>
      </c>
      <c r="F3782" s="4" t="s">
        <v>2719</v>
      </c>
      <c r="G3782" s="4" t="s">
        <v>558</v>
      </c>
      <c r="H3782" s="4" t="s">
        <v>21</v>
      </c>
      <c r="I3782" s="4" t="s">
        <v>559</v>
      </c>
      <c r="J3782" s="4" t="s">
        <v>560</v>
      </c>
      <c r="K3782" s="4" t="s">
        <v>25</v>
      </c>
      <c r="L3782" s="4" t="s">
        <v>3743</v>
      </c>
      <c r="M3782" s="4" t="s">
        <v>3746</v>
      </c>
      <c r="N3782" s="4" t="s">
        <v>3747</v>
      </c>
      <c r="O3782" s="17">
        <f>INDEX('список ID из СУЭ с должностями'!$A:$F,MATCH(E3782,'список ID из СУЭ с должностями'!$B:$B,0),5)</f>
        <v>0</v>
      </c>
    </row>
    <row r="3783" spans="1:15" ht="60">
      <c r="A3783" s="3" t="s">
        <v>10</v>
      </c>
      <c r="B3783" s="3" t="s">
        <v>11</v>
      </c>
      <c r="C3783" s="4">
        <v>2026</v>
      </c>
      <c r="D3783" s="5" t="s">
        <v>12</v>
      </c>
      <c r="E3783" s="4">
        <v>521</v>
      </c>
      <c r="F3783" s="4" t="s">
        <v>514</v>
      </c>
      <c r="G3783" s="4" t="s">
        <v>511</v>
      </c>
      <c r="H3783" s="4" t="s">
        <v>15</v>
      </c>
      <c r="I3783" s="4" t="s">
        <v>3588</v>
      </c>
      <c r="J3783" s="4" t="s">
        <v>3588</v>
      </c>
      <c r="K3783" s="4" t="s">
        <v>188</v>
      </c>
      <c r="L3783" s="4" t="s">
        <v>3743</v>
      </c>
      <c r="M3783" s="4" t="s">
        <v>3746</v>
      </c>
      <c r="N3783" s="4" t="s">
        <v>3747</v>
      </c>
      <c r="O3783" s="17">
        <f>INDEX('список ID из СУЭ с должностями'!$A:$F,MATCH(E3783,'список ID из СУЭ с должностями'!$B:$B,0),5)</f>
        <v>0</v>
      </c>
    </row>
    <row r="3784" spans="1:15" ht="75">
      <c r="A3784" s="3" t="s">
        <v>10</v>
      </c>
      <c r="B3784" s="3" t="s">
        <v>11</v>
      </c>
      <c r="C3784" s="4">
        <v>2026</v>
      </c>
      <c r="D3784" s="5" t="s">
        <v>12</v>
      </c>
      <c r="E3784" s="4">
        <v>521</v>
      </c>
      <c r="F3784" s="4" t="s">
        <v>514</v>
      </c>
      <c r="G3784" s="4" t="s">
        <v>511</v>
      </c>
      <c r="H3784" s="4" t="s">
        <v>21</v>
      </c>
      <c r="I3784" s="4" t="s">
        <v>2701</v>
      </c>
      <c r="J3784" s="4" t="s">
        <v>2716</v>
      </c>
      <c r="K3784" s="4" t="s">
        <v>30</v>
      </c>
      <c r="L3784" s="4" t="s">
        <v>3743</v>
      </c>
      <c r="M3784" s="4" t="s">
        <v>3746</v>
      </c>
      <c r="N3784" s="4" t="s">
        <v>3747</v>
      </c>
      <c r="O3784" s="17">
        <f>INDEX('список ID из СУЭ с должностями'!$A:$F,MATCH(E3784,'список ID из СУЭ с должностями'!$B:$B,0),5)</f>
        <v>0</v>
      </c>
    </row>
    <row r="3785" spans="1:15" ht="60">
      <c r="A3785" s="3" t="s">
        <v>10</v>
      </c>
      <c r="B3785" s="3" t="s">
        <v>11</v>
      </c>
      <c r="C3785" s="4">
        <v>2026</v>
      </c>
      <c r="D3785" s="5" t="s">
        <v>12</v>
      </c>
      <c r="E3785" s="4">
        <v>521</v>
      </c>
      <c r="F3785" s="4" t="s">
        <v>514</v>
      </c>
      <c r="G3785" s="4" t="s">
        <v>511</v>
      </c>
      <c r="H3785" s="4" t="s">
        <v>21</v>
      </c>
      <c r="I3785" s="4" t="s">
        <v>2699</v>
      </c>
      <c r="J3785" s="4" t="s">
        <v>2700</v>
      </c>
      <c r="K3785" s="4" t="s">
        <v>524</v>
      </c>
      <c r="L3785" s="4" t="s">
        <v>3742</v>
      </c>
      <c r="M3785" s="4" t="s">
        <v>3746</v>
      </c>
      <c r="N3785" s="4" t="s">
        <v>3757</v>
      </c>
      <c r="O3785" s="17">
        <f>INDEX('список ID из СУЭ с должностями'!$A:$F,MATCH(E3785,'список ID из СУЭ с должностями'!$B:$B,0),5)</f>
        <v>0</v>
      </c>
    </row>
    <row r="3786" spans="1:15" ht="60">
      <c r="A3786" s="3" t="s">
        <v>10</v>
      </c>
      <c r="B3786" s="3" t="s">
        <v>11</v>
      </c>
      <c r="C3786" s="4">
        <v>2026</v>
      </c>
      <c r="D3786" s="5" t="s">
        <v>12</v>
      </c>
      <c r="E3786" s="4">
        <v>521</v>
      </c>
      <c r="F3786" s="4" t="s">
        <v>514</v>
      </c>
      <c r="G3786" s="4" t="s">
        <v>511</v>
      </c>
      <c r="H3786" s="4" t="s">
        <v>21</v>
      </c>
      <c r="I3786" s="4" t="s">
        <v>2703</v>
      </c>
      <c r="J3786" s="4" t="s">
        <v>2704</v>
      </c>
      <c r="K3786" s="4" t="s">
        <v>1318</v>
      </c>
      <c r="L3786" s="4" t="s">
        <v>3743</v>
      </c>
      <c r="M3786" s="4" t="s">
        <v>3753</v>
      </c>
      <c r="N3786" s="4" t="s">
        <v>3757</v>
      </c>
      <c r="O3786" s="17">
        <f>INDEX('список ID из СУЭ с должностями'!$A:$F,MATCH(E3786,'список ID из СУЭ с должностями'!$B:$B,0),5)</f>
        <v>0</v>
      </c>
    </row>
    <row r="3787" spans="1:15" ht="285">
      <c r="A3787" s="3" t="s">
        <v>10</v>
      </c>
      <c r="B3787" s="3" t="s">
        <v>11</v>
      </c>
      <c r="C3787" s="4">
        <v>2026</v>
      </c>
      <c r="D3787" s="5" t="s">
        <v>12</v>
      </c>
      <c r="E3787" s="4">
        <v>521</v>
      </c>
      <c r="F3787" s="4" t="s">
        <v>514</v>
      </c>
      <c r="G3787" s="4" t="s">
        <v>511</v>
      </c>
      <c r="H3787" s="4" t="s">
        <v>15</v>
      </c>
      <c r="I3787" s="4" t="s">
        <v>2705</v>
      </c>
      <c r="J3787" s="4" t="s">
        <v>3589</v>
      </c>
      <c r="K3787" s="4" t="s">
        <v>2679</v>
      </c>
      <c r="L3787" s="4" t="s">
        <v>3743</v>
      </c>
      <c r="M3787" s="4" t="s">
        <v>3746</v>
      </c>
      <c r="N3787" s="4" t="s">
        <v>3757</v>
      </c>
      <c r="O3787" s="17">
        <f>INDEX('список ID из СУЭ с должностями'!$A:$F,MATCH(E3787,'список ID из СУЭ с должностями'!$B:$B,0),5)</f>
        <v>0</v>
      </c>
    </row>
    <row r="3788" spans="1:15" ht="60">
      <c r="A3788" s="3" t="s">
        <v>10</v>
      </c>
      <c r="B3788" s="3" t="s">
        <v>11</v>
      </c>
      <c r="C3788" s="4">
        <v>2026</v>
      </c>
      <c r="D3788" s="5" t="s">
        <v>12</v>
      </c>
      <c r="E3788" s="4">
        <v>521</v>
      </c>
      <c r="F3788" s="4" t="s">
        <v>514</v>
      </c>
      <c r="G3788" s="4" t="s">
        <v>511</v>
      </c>
      <c r="H3788" s="4" t="s">
        <v>41</v>
      </c>
      <c r="I3788" s="4" t="s">
        <v>2707</v>
      </c>
      <c r="J3788" s="4" t="s">
        <v>3590</v>
      </c>
      <c r="K3788" s="4" t="s">
        <v>524</v>
      </c>
      <c r="L3788" s="4" t="s">
        <v>3742</v>
      </c>
      <c r="M3788" s="4" t="s">
        <v>3746</v>
      </c>
      <c r="N3788" s="4" t="s">
        <v>3757</v>
      </c>
      <c r="O3788" s="17">
        <f>INDEX('список ID из СУЭ с должностями'!$A:$F,MATCH(E3788,'список ID из СУЭ с должностями'!$B:$B,0),5)</f>
        <v>0</v>
      </c>
    </row>
    <row r="3789" spans="1:15" ht="135">
      <c r="A3789" s="3" t="s">
        <v>10</v>
      </c>
      <c r="B3789" s="3" t="s">
        <v>11</v>
      </c>
      <c r="C3789" s="4">
        <v>2026</v>
      </c>
      <c r="D3789" s="5" t="s">
        <v>12</v>
      </c>
      <c r="E3789" s="4">
        <v>521</v>
      </c>
      <c r="F3789" s="4" t="s">
        <v>514</v>
      </c>
      <c r="G3789" s="4" t="s">
        <v>511</v>
      </c>
      <c r="H3789" s="4" t="s">
        <v>15</v>
      </c>
      <c r="I3789" s="4" t="s">
        <v>744</v>
      </c>
      <c r="J3789" s="4" t="s">
        <v>1311</v>
      </c>
      <c r="K3789" s="4" t="s">
        <v>25</v>
      </c>
      <c r="L3789" s="4" t="s">
        <v>3743</v>
      </c>
      <c r="M3789" s="4" t="s">
        <v>3746</v>
      </c>
      <c r="N3789" s="4" t="s">
        <v>3747</v>
      </c>
      <c r="O3789" s="17">
        <f>INDEX('список ID из СУЭ с должностями'!$A:$F,MATCH(E3789,'список ID из СУЭ с должностями'!$B:$B,0),5)</f>
        <v>0</v>
      </c>
    </row>
    <row r="3790" spans="1:15" ht="195">
      <c r="A3790" s="3" t="s">
        <v>10</v>
      </c>
      <c r="B3790" s="3" t="s">
        <v>11</v>
      </c>
      <c r="C3790" s="4">
        <v>2026</v>
      </c>
      <c r="D3790" s="5" t="s">
        <v>12</v>
      </c>
      <c r="E3790" s="4">
        <v>521</v>
      </c>
      <c r="F3790" s="4" t="s">
        <v>514</v>
      </c>
      <c r="G3790" s="4" t="s">
        <v>511</v>
      </c>
      <c r="H3790" s="4" t="s">
        <v>15</v>
      </c>
      <c r="I3790" s="4" t="s">
        <v>1312</v>
      </c>
      <c r="J3790" s="4" t="s">
        <v>1313</v>
      </c>
      <c r="K3790" s="4" t="s">
        <v>35</v>
      </c>
      <c r="L3790" s="4" t="s">
        <v>3743</v>
      </c>
      <c r="M3790" s="4" t="s">
        <v>3746</v>
      </c>
      <c r="N3790" s="4" t="s">
        <v>3747</v>
      </c>
      <c r="O3790" s="17">
        <f>INDEX('список ID из СУЭ с должностями'!$A:$F,MATCH(E3790,'список ID из СУЭ с должностями'!$B:$B,0),5)</f>
        <v>0</v>
      </c>
    </row>
    <row r="3791" spans="1:15" ht="180">
      <c r="A3791" s="3" t="s">
        <v>10</v>
      </c>
      <c r="B3791" s="3" t="s">
        <v>11</v>
      </c>
      <c r="C3791" s="4">
        <v>2026</v>
      </c>
      <c r="D3791" s="5" t="s">
        <v>12</v>
      </c>
      <c r="E3791" s="4">
        <v>522</v>
      </c>
      <c r="F3791" s="4" t="s">
        <v>67</v>
      </c>
      <c r="G3791" s="4" t="s">
        <v>1833</v>
      </c>
      <c r="H3791" s="4" t="s">
        <v>15</v>
      </c>
      <c r="I3791" s="4" t="s">
        <v>1838</v>
      </c>
      <c r="J3791" s="4" t="s">
        <v>3591</v>
      </c>
      <c r="K3791" s="4" t="s">
        <v>23</v>
      </c>
      <c r="L3791" s="4" t="s">
        <v>3743</v>
      </c>
      <c r="M3791" s="4" t="s">
        <v>3748</v>
      </c>
      <c r="N3791" s="4" t="s">
        <v>3752</v>
      </c>
      <c r="O3791" s="17">
        <f>INDEX('список ID из СУЭ с должностями'!$A:$F,MATCH(E3791,'список ID из СУЭ с должностями'!$B:$B,0),5)</f>
        <v>0</v>
      </c>
    </row>
    <row r="3792" spans="1:15" ht="105">
      <c r="A3792" s="3" t="s">
        <v>10</v>
      </c>
      <c r="B3792" s="3" t="s">
        <v>11</v>
      </c>
      <c r="C3792" s="4">
        <v>2026</v>
      </c>
      <c r="D3792" s="5" t="s">
        <v>12</v>
      </c>
      <c r="E3792" s="4">
        <v>522</v>
      </c>
      <c r="F3792" s="4" t="s">
        <v>67</v>
      </c>
      <c r="G3792" s="4" t="s">
        <v>1833</v>
      </c>
      <c r="H3792" s="4" t="s">
        <v>15</v>
      </c>
      <c r="I3792" s="4" t="s">
        <v>3592</v>
      </c>
      <c r="J3792" s="4" t="s">
        <v>3593</v>
      </c>
      <c r="K3792" s="4" t="s">
        <v>23</v>
      </c>
      <c r="L3792" s="4" t="s">
        <v>3743</v>
      </c>
      <c r="M3792" s="4" t="s">
        <v>3748</v>
      </c>
      <c r="N3792" s="4" t="s">
        <v>3752</v>
      </c>
      <c r="O3792" s="17">
        <f>INDEX('список ID из СУЭ с должностями'!$A:$F,MATCH(E3792,'список ID из СУЭ с должностями'!$B:$B,0),5)</f>
        <v>0</v>
      </c>
    </row>
    <row r="3793" spans="1:15" ht="135">
      <c r="A3793" s="3" t="s">
        <v>10</v>
      </c>
      <c r="B3793" s="3" t="s">
        <v>11</v>
      </c>
      <c r="C3793" s="4">
        <v>2026</v>
      </c>
      <c r="D3793" s="5" t="s">
        <v>12</v>
      </c>
      <c r="E3793" s="4">
        <v>522</v>
      </c>
      <c r="F3793" s="4" t="s">
        <v>67</v>
      </c>
      <c r="G3793" s="4" t="s">
        <v>1833</v>
      </c>
      <c r="H3793" s="4" t="s">
        <v>41</v>
      </c>
      <c r="I3793" s="4" t="s">
        <v>3594</v>
      </c>
      <c r="J3793" s="4" t="s">
        <v>3595</v>
      </c>
      <c r="K3793" s="4" t="s">
        <v>23</v>
      </c>
      <c r="L3793" s="4" t="s">
        <v>3743</v>
      </c>
      <c r="M3793" s="4" t="s">
        <v>3748</v>
      </c>
      <c r="N3793" s="4" t="s">
        <v>3752</v>
      </c>
      <c r="O3793" s="17">
        <f>INDEX('список ID из СУЭ с должностями'!$A:$F,MATCH(E3793,'список ID из СУЭ с должностями'!$B:$B,0),5)</f>
        <v>0</v>
      </c>
    </row>
    <row r="3794" spans="1:15" ht="225">
      <c r="A3794" s="3" t="s">
        <v>10</v>
      </c>
      <c r="B3794" s="3" t="s">
        <v>11</v>
      </c>
      <c r="C3794" s="4">
        <v>2026</v>
      </c>
      <c r="D3794" s="5" t="s">
        <v>12</v>
      </c>
      <c r="E3794" s="4">
        <v>522</v>
      </c>
      <c r="F3794" s="4" t="s">
        <v>67</v>
      </c>
      <c r="G3794" s="4" t="s">
        <v>1833</v>
      </c>
      <c r="H3794" s="4" t="s">
        <v>15</v>
      </c>
      <c r="I3794" s="4" t="s">
        <v>1842</v>
      </c>
      <c r="J3794" s="4" t="s">
        <v>3596</v>
      </c>
      <c r="K3794" s="4" t="s">
        <v>23</v>
      </c>
      <c r="L3794" s="4" t="s">
        <v>3743</v>
      </c>
      <c r="M3794" s="4" t="s">
        <v>3748</v>
      </c>
      <c r="N3794" s="4" t="s">
        <v>3752</v>
      </c>
      <c r="O3794" s="17">
        <f>INDEX('список ID из СУЭ с должностями'!$A:$F,MATCH(E3794,'список ID из СУЭ с должностями'!$B:$B,0),5)</f>
        <v>0</v>
      </c>
    </row>
    <row r="3795" spans="1:15" ht="225">
      <c r="A3795" s="3" t="s">
        <v>10</v>
      </c>
      <c r="B3795" s="3" t="s">
        <v>11</v>
      </c>
      <c r="C3795" s="4">
        <v>2026</v>
      </c>
      <c r="D3795" s="5" t="s">
        <v>12</v>
      </c>
      <c r="E3795" s="4">
        <v>522</v>
      </c>
      <c r="F3795" s="4" t="s">
        <v>67</v>
      </c>
      <c r="G3795" s="4" t="s">
        <v>1833</v>
      </c>
      <c r="H3795" s="4" t="s">
        <v>15</v>
      </c>
      <c r="I3795" s="4" t="s">
        <v>1834</v>
      </c>
      <c r="J3795" s="4" t="s">
        <v>3597</v>
      </c>
      <c r="K3795" s="4" t="s">
        <v>23</v>
      </c>
      <c r="L3795" s="4" t="s">
        <v>3743</v>
      </c>
      <c r="M3795" s="4" t="s">
        <v>3748</v>
      </c>
      <c r="N3795" s="4" t="s">
        <v>3752</v>
      </c>
      <c r="O3795" s="17">
        <f>INDEX('список ID из СУЭ с должностями'!$A:$F,MATCH(E3795,'список ID из СУЭ с должностями'!$B:$B,0),5)</f>
        <v>0</v>
      </c>
    </row>
    <row r="3796" spans="1:15" ht="240">
      <c r="A3796" s="3" t="s">
        <v>10</v>
      </c>
      <c r="B3796" s="3" t="s">
        <v>11</v>
      </c>
      <c r="C3796" s="4">
        <v>2026</v>
      </c>
      <c r="D3796" s="5" t="s">
        <v>12</v>
      </c>
      <c r="E3796" s="4">
        <v>522</v>
      </c>
      <c r="F3796" s="4" t="s">
        <v>67</v>
      </c>
      <c r="G3796" s="4" t="s">
        <v>1833</v>
      </c>
      <c r="H3796" s="4" t="s">
        <v>41</v>
      </c>
      <c r="I3796" s="4" t="s">
        <v>1840</v>
      </c>
      <c r="J3796" s="4" t="s">
        <v>3598</v>
      </c>
      <c r="K3796" s="4" t="s">
        <v>23</v>
      </c>
      <c r="L3796" s="4" t="s">
        <v>3743</v>
      </c>
      <c r="M3796" s="4" t="s">
        <v>3748</v>
      </c>
      <c r="N3796" s="4" t="s">
        <v>3752</v>
      </c>
      <c r="O3796" s="17">
        <f>INDEX('список ID из СУЭ с должностями'!$A:$F,MATCH(E3796,'список ID из СУЭ с должностями'!$B:$B,0),5)</f>
        <v>0</v>
      </c>
    </row>
    <row r="3797" spans="1:15" ht="409.5">
      <c r="A3797" s="3" t="s">
        <v>10</v>
      </c>
      <c r="B3797" s="3" t="s">
        <v>11</v>
      </c>
      <c r="C3797" s="4">
        <v>2026</v>
      </c>
      <c r="D3797" s="5" t="s">
        <v>12</v>
      </c>
      <c r="E3797" s="4">
        <v>522</v>
      </c>
      <c r="F3797" s="4" t="s">
        <v>67</v>
      </c>
      <c r="G3797" s="4" t="s">
        <v>1833</v>
      </c>
      <c r="H3797" s="4" t="s">
        <v>41</v>
      </c>
      <c r="I3797" s="4" t="s">
        <v>3599</v>
      </c>
      <c r="J3797" s="4" t="s">
        <v>3600</v>
      </c>
      <c r="K3797" s="4" t="s">
        <v>23</v>
      </c>
      <c r="L3797" s="4" t="s">
        <v>3743</v>
      </c>
      <c r="M3797" s="4" t="s">
        <v>3748</v>
      </c>
      <c r="N3797" s="4" t="s">
        <v>3752</v>
      </c>
      <c r="O3797" s="17">
        <f>INDEX('список ID из СУЭ с должностями'!$A:$F,MATCH(E3797,'список ID из СУЭ с должностями'!$B:$B,0),5)</f>
        <v>0</v>
      </c>
    </row>
    <row r="3798" spans="1:15" ht="60">
      <c r="A3798" s="3" t="s">
        <v>10</v>
      </c>
      <c r="B3798" s="3" t="s">
        <v>11</v>
      </c>
      <c r="C3798" s="4">
        <v>2026</v>
      </c>
      <c r="D3798" s="5" t="s">
        <v>12</v>
      </c>
      <c r="E3798" s="4">
        <v>523</v>
      </c>
      <c r="F3798" s="4" t="s">
        <v>280</v>
      </c>
      <c r="G3798" s="4" t="s">
        <v>951</v>
      </c>
      <c r="H3798" s="4" t="s">
        <v>41</v>
      </c>
      <c r="I3798" s="4" t="s">
        <v>3601</v>
      </c>
      <c r="J3798" s="4" t="s">
        <v>3602</v>
      </c>
      <c r="K3798" s="4" t="s">
        <v>23</v>
      </c>
      <c r="L3798" s="4" t="s">
        <v>3743</v>
      </c>
      <c r="M3798" s="4" t="s">
        <v>3748</v>
      </c>
      <c r="N3798" s="4" t="s">
        <v>3752</v>
      </c>
      <c r="O3798" s="17">
        <f>INDEX('список ID из СУЭ с должностями'!$A:$F,MATCH(E3798,'список ID из СУЭ с должностями'!$B:$B,0),5)</f>
        <v>0</v>
      </c>
    </row>
    <row r="3799" spans="1:15" ht="60">
      <c r="A3799" s="3" t="s">
        <v>10</v>
      </c>
      <c r="B3799" s="3" t="s">
        <v>11</v>
      </c>
      <c r="C3799" s="4">
        <v>2026</v>
      </c>
      <c r="D3799" s="5" t="s">
        <v>12</v>
      </c>
      <c r="E3799" s="4">
        <v>523</v>
      </c>
      <c r="F3799" s="4" t="s">
        <v>280</v>
      </c>
      <c r="G3799" s="4" t="s">
        <v>951</v>
      </c>
      <c r="H3799" s="4" t="s">
        <v>15</v>
      </c>
      <c r="I3799" s="4" t="s">
        <v>956</v>
      </c>
      <c r="J3799" s="4" t="s">
        <v>957</v>
      </c>
      <c r="K3799" s="4" t="s">
        <v>35</v>
      </c>
      <c r="L3799" s="4" t="s">
        <v>3742</v>
      </c>
      <c r="M3799" s="4" t="s">
        <v>3746</v>
      </c>
      <c r="N3799" s="4" t="s">
        <v>3747</v>
      </c>
      <c r="O3799" s="17">
        <f>INDEX('список ID из СУЭ с должностями'!$A:$F,MATCH(E3799,'список ID из СУЭ с должностями'!$B:$B,0),5)</f>
        <v>0</v>
      </c>
    </row>
    <row r="3800" spans="1:15" ht="135">
      <c r="A3800" s="3" t="s">
        <v>10</v>
      </c>
      <c r="B3800" s="3" t="s">
        <v>11</v>
      </c>
      <c r="C3800" s="4">
        <v>2026</v>
      </c>
      <c r="D3800" s="5" t="s">
        <v>12</v>
      </c>
      <c r="E3800" s="4">
        <v>523</v>
      </c>
      <c r="F3800" s="4" t="s">
        <v>280</v>
      </c>
      <c r="G3800" s="4" t="s">
        <v>951</v>
      </c>
      <c r="H3800" s="4" t="s">
        <v>15</v>
      </c>
      <c r="I3800" s="4" t="s">
        <v>955</v>
      </c>
      <c r="J3800" s="4" t="s">
        <v>953</v>
      </c>
      <c r="K3800" s="4" t="s">
        <v>188</v>
      </c>
      <c r="L3800" s="4" t="s">
        <v>3743</v>
      </c>
      <c r="M3800" s="4" t="s">
        <v>3746</v>
      </c>
      <c r="N3800" s="4" t="s">
        <v>3747</v>
      </c>
      <c r="O3800" s="17">
        <f>INDEX('список ID из СУЭ с должностями'!$A:$F,MATCH(E3800,'список ID из СУЭ с должностями'!$B:$B,0),5)</f>
        <v>0</v>
      </c>
    </row>
    <row r="3801" spans="1:15" ht="60">
      <c r="A3801" s="3" t="s">
        <v>10</v>
      </c>
      <c r="B3801" s="3" t="s">
        <v>11</v>
      </c>
      <c r="C3801" s="4">
        <v>2026</v>
      </c>
      <c r="D3801" s="5" t="s">
        <v>12</v>
      </c>
      <c r="E3801" s="4">
        <v>523</v>
      </c>
      <c r="F3801" s="4" t="s">
        <v>280</v>
      </c>
      <c r="G3801" s="4" t="s">
        <v>951</v>
      </c>
      <c r="H3801" s="4" t="s">
        <v>21</v>
      </c>
      <c r="I3801" s="4" t="s">
        <v>958</v>
      </c>
      <c r="J3801" s="4" t="s">
        <v>3603</v>
      </c>
      <c r="K3801" s="4" t="s">
        <v>25</v>
      </c>
      <c r="L3801" s="4" t="s">
        <v>3743</v>
      </c>
      <c r="M3801" s="4" t="s">
        <v>3746</v>
      </c>
      <c r="N3801" s="4" t="s">
        <v>3747</v>
      </c>
      <c r="O3801" s="17">
        <f>INDEX('список ID из СУЭ с должностями'!$A:$F,MATCH(E3801,'список ID из СУЭ с должностями'!$B:$B,0),5)</f>
        <v>0</v>
      </c>
    </row>
    <row r="3802" spans="1:15" ht="180">
      <c r="A3802" s="3" t="s">
        <v>10</v>
      </c>
      <c r="B3802" s="3" t="s">
        <v>11</v>
      </c>
      <c r="C3802" s="4">
        <v>2026</v>
      </c>
      <c r="D3802" s="5" t="s">
        <v>12</v>
      </c>
      <c r="E3802" s="4">
        <v>523</v>
      </c>
      <c r="F3802" s="4" t="s">
        <v>280</v>
      </c>
      <c r="G3802" s="4" t="s">
        <v>951</v>
      </c>
      <c r="H3802" s="4" t="s">
        <v>15</v>
      </c>
      <c r="I3802" s="4" t="s">
        <v>960</v>
      </c>
      <c r="J3802" s="4" t="s">
        <v>961</v>
      </c>
      <c r="K3802" s="4" t="s">
        <v>188</v>
      </c>
      <c r="L3802" s="4" t="s">
        <v>3743</v>
      </c>
      <c r="M3802" s="4" t="s">
        <v>3746</v>
      </c>
      <c r="N3802" s="4" t="s">
        <v>3747</v>
      </c>
      <c r="O3802" s="17">
        <f>INDEX('список ID из СУЭ с должностями'!$A:$F,MATCH(E3802,'список ID из СУЭ с должностями'!$B:$B,0),5)</f>
        <v>0</v>
      </c>
    </row>
    <row r="3803" spans="1:15" ht="135">
      <c r="A3803" s="3" t="s">
        <v>10</v>
      </c>
      <c r="B3803" s="3" t="s">
        <v>11</v>
      </c>
      <c r="C3803" s="4">
        <v>2026</v>
      </c>
      <c r="D3803" s="5" t="s">
        <v>12</v>
      </c>
      <c r="E3803" s="4">
        <v>524</v>
      </c>
      <c r="F3803" s="4" t="s">
        <v>280</v>
      </c>
      <c r="G3803" s="4" t="s">
        <v>951</v>
      </c>
      <c r="H3803" s="4" t="s">
        <v>15</v>
      </c>
      <c r="I3803" s="4" t="s">
        <v>952</v>
      </c>
      <c r="J3803" s="4" t="s">
        <v>953</v>
      </c>
      <c r="K3803" s="4" t="s">
        <v>954</v>
      </c>
      <c r="L3803" s="4" t="s">
        <v>3743</v>
      </c>
      <c r="M3803" s="4" t="s">
        <v>3750</v>
      </c>
      <c r="N3803" s="4" t="s">
        <v>3761</v>
      </c>
      <c r="O3803" s="17">
        <f>INDEX('список ID из СУЭ с должностями'!$A:$F,MATCH(E3803,'список ID из СУЭ с должностями'!$B:$B,0),5)</f>
        <v>0</v>
      </c>
    </row>
    <row r="3804" spans="1:15" ht="60">
      <c r="A3804" s="3" t="s">
        <v>10</v>
      </c>
      <c r="B3804" s="3" t="s">
        <v>11</v>
      </c>
      <c r="C3804" s="4">
        <v>2026</v>
      </c>
      <c r="D3804" s="5" t="s">
        <v>12</v>
      </c>
      <c r="E3804" s="4">
        <v>524</v>
      </c>
      <c r="F3804" s="4" t="s">
        <v>280</v>
      </c>
      <c r="G3804" s="4" t="s">
        <v>951</v>
      </c>
      <c r="H3804" s="4" t="s">
        <v>15</v>
      </c>
      <c r="I3804" s="4" t="s">
        <v>956</v>
      </c>
      <c r="J3804" s="4" t="s">
        <v>957</v>
      </c>
      <c r="K3804" s="4" t="s">
        <v>35</v>
      </c>
      <c r="L3804" s="4" t="s">
        <v>3742</v>
      </c>
      <c r="M3804" s="4" t="s">
        <v>3746</v>
      </c>
      <c r="N3804" s="4" t="s">
        <v>3747</v>
      </c>
      <c r="O3804" s="17">
        <f>INDEX('список ID из СУЭ с должностями'!$A:$F,MATCH(E3804,'список ID из СУЭ с должностями'!$B:$B,0),5)</f>
        <v>0</v>
      </c>
    </row>
    <row r="3805" spans="1:15" ht="135">
      <c r="A3805" s="3" t="s">
        <v>10</v>
      </c>
      <c r="B3805" s="3" t="s">
        <v>11</v>
      </c>
      <c r="C3805" s="4">
        <v>2026</v>
      </c>
      <c r="D3805" s="5" t="s">
        <v>12</v>
      </c>
      <c r="E3805" s="4">
        <v>524</v>
      </c>
      <c r="F3805" s="4" t="s">
        <v>280</v>
      </c>
      <c r="G3805" s="4" t="s">
        <v>951</v>
      </c>
      <c r="H3805" s="4" t="s">
        <v>15</v>
      </c>
      <c r="I3805" s="4" t="s">
        <v>955</v>
      </c>
      <c r="J3805" s="4" t="s">
        <v>953</v>
      </c>
      <c r="K3805" s="4" t="s">
        <v>954</v>
      </c>
      <c r="L3805" s="4" t="s">
        <v>3743</v>
      </c>
      <c r="M3805" s="4" t="s">
        <v>3750</v>
      </c>
      <c r="N3805" s="4" t="s">
        <v>3761</v>
      </c>
      <c r="O3805" s="17">
        <f>INDEX('список ID из СУЭ с должностями'!$A:$F,MATCH(E3805,'список ID из СУЭ с должностями'!$B:$B,0),5)</f>
        <v>0</v>
      </c>
    </row>
    <row r="3806" spans="1:15" ht="150">
      <c r="A3806" s="3" t="s">
        <v>10</v>
      </c>
      <c r="B3806" s="3" t="s">
        <v>11</v>
      </c>
      <c r="C3806" s="4">
        <v>2026</v>
      </c>
      <c r="D3806" s="5" t="s">
        <v>12</v>
      </c>
      <c r="E3806" s="4">
        <v>524</v>
      </c>
      <c r="F3806" s="4" t="s">
        <v>280</v>
      </c>
      <c r="G3806" s="4" t="s">
        <v>951</v>
      </c>
      <c r="H3806" s="4" t="s">
        <v>15</v>
      </c>
      <c r="I3806" s="4" t="s">
        <v>3160</v>
      </c>
      <c r="J3806" s="4" t="s">
        <v>3161</v>
      </c>
      <c r="K3806" s="4" t="s">
        <v>188</v>
      </c>
      <c r="L3806" s="4" t="s">
        <v>3743</v>
      </c>
      <c r="M3806" s="4" t="s">
        <v>3746</v>
      </c>
      <c r="N3806" s="4" t="s">
        <v>3747</v>
      </c>
      <c r="O3806" s="17">
        <f>INDEX('список ID из СУЭ с должностями'!$A:$F,MATCH(E3806,'список ID из СУЭ с должностями'!$B:$B,0),5)</f>
        <v>0</v>
      </c>
    </row>
    <row r="3807" spans="1:15" ht="60">
      <c r="A3807" s="3" t="s">
        <v>10</v>
      </c>
      <c r="B3807" s="3" t="s">
        <v>11</v>
      </c>
      <c r="C3807" s="4">
        <v>2026</v>
      </c>
      <c r="D3807" s="5" t="s">
        <v>12</v>
      </c>
      <c r="E3807" s="4">
        <v>524</v>
      </c>
      <c r="F3807" s="4" t="s">
        <v>280</v>
      </c>
      <c r="G3807" s="4" t="s">
        <v>951</v>
      </c>
      <c r="H3807" s="4" t="s">
        <v>21</v>
      </c>
      <c r="I3807" s="4" t="s">
        <v>958</v>
      </c>
      <c r="J3807" s="4" t="s">
        <v>972</v>
      </c>
      <c r="K3807" s="4" t="s">
        <v>25</v>
      </c>
      <c r="L3807" s="4" t="s">
        <v>3743</v>
      </c>
      <c r="M3807" s="4" t="s">
        <v>3746</v>
      </c>
      <c r="N3807" s="4" t="s">
        <v>3747</v>
      </c>
      <c r="O3807" s="17">
        <f>INDEX('список ID из СУЭ с должностями'!$A:$F,MATCH(E3807,'список ID из СУЭ с должностями'!$B:$B,0),5)</f>
        <v>0</v>
      </c>
    </row>
    <row r="3808" spans="1:15" ht="180">
      <c r="A3808" s="3" t="s">
        <v>10</v>
      </c>
      <c r="B3808" s="3" t="s">
        <v>11</v>
      </c>
      <c r="C3808" s="4">
        <v>2026</v>
      </c>
      <c r="D3808" s="5" t="s">
        <v>12</v>
      </c>
      <c r="E3808" s="4">
        <v>524</v>
      </c>
      <c r="F3808" s="4" t="s">
        <v>280</v>
      </c>
      <c r="G3808" s="4" t="s">
        <v>951</v>
      </c>
      <c r="H3808" s="4" t="s">
        <v>15</v>
      </c>
      <c r="I3808" s="4" t="s">
        <v>960</v>
      </c>
      <c r="J3808" s="4" t="s">
        <v>961</v>
      </c>
      <c r="K3808" s="4" t="s">
        <v>25</v>
      </c>
      <c r="L3808" s="4" t="s">
        <v>3743</v>
      </c>
      <c r="M3808" s="4" t="s">
        <v>3746</v>
      </c>
      <c r="N3808" s="4" t="s">
        <v>3747</v>
      </c>
      <c r="O3808" s="17">
        <f>INDEX('список ID из СУЭ с должностями'!$A:$F,MATCH(E3808,'список ID из СУЭ с должностями'!$B:$B,0),5)</f>
        <v>0</v>
      </c>
    </row>
    <row r="3809" spans="1:15" ht="409.5">
      <c r="A3809" s="3" t="s">
        <v>10</v>
      </c>
      <c r="B3809" s="3" t="s">
        <v>11</v>
      </c>
      <c r="C3809" s="4">
        <v>2026</v>
      </c>
      <c r="D3809" s="5" t="s">
        <v>12</v>
      </c>
      <c r="E3809" s="4">
        <v>525</v>
      </c>
      <c r="F3809" s="4" t="s">
        <v>458</v>
      </c>
      <c r="G3809" s="4" t="s">
        <v>1269</v>
      </c>
      <c r="H3809" s="4" t="s">
        <v>15</v>
      </c>
      <c r="I3809" s="4" t="s">
        <v>460</v>
      </c>
      <c r="J3809" s="4" t="s">
        <v>1170</v>
      </c>
      <c r="K3809" s="4" t="s">
        <v>38</v>
      </c>
      <c r="L3809" s="4" t="s">
        <v>3743</v>
      </c>
      <c r="M3809" s="4" t="s">
        <v>3746</v>
      </c>
      <c r="N3809" s="4" t="s">
        <v>3747</v>
      </c>
      <c r="O3809" s="17">
        <f>INDEX('список ID из СУЭ с должностями'!$A:$F,MATCH(E3809,'список ID из СУЭ с должностями'!$B:$B,0),5)</f>
        <v>0</v>
      </c>
    </row>
    <row r="3810" spans="1:15" ht="150">
      <c r="A3810" s="3" t="s">
        <v>10</v>
      </c>
      <c r="B3810" s="3" t="s">
        <v>11</v>
      </c>
      <c r="C3810" s="4">
        <v>2026</v>
      </c>
      <c r="D3810" s="5" t="s">
        <v>12</v>
      </c>
      <c r="E3810" s="4">
        <v>525</v>
      </c>
      <c r="F3810" s="4" t="s">
        <v>458</v>
      </c>
      <c r="G3810" s="4" t="s">
        <v>1269</v>
      </c>
      <c r="H3810" s="4" t="s">
        <v>15</v>
      </c>
      <c r="I3810" s="4" t="s">
        <v>303</v>
      </c>
      <c r="J3810" s="4" t="s">
        <v>1274</v>
      </c>
      <c r="K3810" s="4" t="s">
        <v>52</v>
      </c>
      <c r="L3810" s="4" t="s">
        <v>3743</v>
      </c>
      <c r="M3810" s="4" t="s">
        <v>3746</v>
      </c>
      <c r="N3810" s="4" t="s">
        <v>3747</v>
      </c>
      <c r="O3810" s="17">
        <f>INDEX('список ID из СУЭ с должностями'!$A:$F,MATCH(E3810,'список ID из СУЭ с должностями'!$B:$B,0),5)</f>
        <v>0</v>
      </c>
    </row>
    <row r="3811" spans="1:15" ht="90">
      <c r="A3811" s="3" t="s">
        <v>10</v>
      </c>
      <c r="B3811" s="3" t="s">
        <v>11</v>
      </c>
      <c r="C3811" s="4">
        <v>2026</v>
      </c>
      <c r="D3811" s="5" t="s">
        <v>12</v>
      </c>
      <c r="E3811" s="4">
        <v>525</v>
      </c>
      <c r="F3811" s="4" t="s">
        <v>458</v>
      </c>
      <c r="G3811" s="4" t="s">
        <v>1269</v>
      </c>
      <c r="H3811" s="4" t="s">
        <v>15</v>
      </c>
      <c r="I3811" s="4" t="s">
        <v>464</v>
      </c>
      <c r="J3811" s="4" t="s">
        <v>930</v>
      </c>
      <c r="K3811" s="4" t="s">
        <v>25</v>
      </c>
      <c r="L3811" s="4" t="s">
        <v>3743</v>
      </c>
      <c r="M3811" s="4" t="s">
        <v>3746</v>
      </c>
      <c r="N3811" s="4" t="s">
        <v>3747</v>
      </c>
      <c r="O3811" s="17">
        <f>INDEX('список ID из СУЭ с должностями'!$A:$F,MATCH(E3811,'список ID из СУЭ с должностями'!$B:$B,0),5)</f>
        <v>0</v>
      </c>
    </row>
    <row r="3812" spans="1:15" ht="210">
      <c r="A3812" s="3" t="s">
        <v>10</v>
      </c>
      <c r="B3812" s="3" t="s">
        <v>11</v>
      </c>
      <c r="C3812" s="4">
        <v>2026</v>
      </c>
      <c r="D3812" s="5" t="s">
        <v>12</v>
      </c>
      <c r="E3812" s="4">
        <v>525</v>
      </c>
      <c r="F3812" s="4" t="s">
        <v>458</v>
      </c>
      <c r="G3812" s="4" t="s">
        <v>1269</v>
      </c>
      <c r="H3812" s="4" t="s">
        <v>15</v>
      </c>
      <c r="I3812" s="4" t="s">
        <v>469</v>
      </c>
      <c r="J3812" s="4" t="s">
        <v>3604</v>
      </c>
      <c r="K3812" s="4" t="s">
        <v>30</v>
      </c>
      <c r="L3812" s="4" t="s">
        <v>3743</v>
      </c>
      <c r="M3812" s="4" t="s">
        <v>3746</v>
      </c>
      <c r="N3812" s="4" t="s">
        <v>3747</v>
      </c>
      <c r="O3812" s="17">
        <f>INDEX('список ID из СУЭ с должностями'!$A:$F,MATCH(E3812,'список ID из СУЭ с должностями'!$B:$B,0),5)</f>
        <v>0</v>
      </c>
    </row>
    <row r="3813" spans="1:15" ht="409.5">
      <c r="A3813" s="3" t="s">
        <v>10</v>
      </c>
      <c r="B3813" s="3" t="s">
        <v>11</v>
      </c>
      <c r="C3813" s="4">
        <v>2026</v>
      </c>
      <c r="D3813" s="5" t="s">
        <v>12</v>
      </c>
      <c r="E3813" s="4">
        <v>525</v>
      </c>
      <c r="F3813" s="4" t="s">
        <v>458</v>
      </c>
      <c r="G3813" s="4" t="s">
        <v>1269</v>
      </c>
      <c r="H3813" s="4" t="s">
        <v>15</v>
      </c>
      <c r="I3813" s="4" t="s">
        <v>1168</v>
      </c>
      <c r="J3813" s="4" t="s">
        <v>3605</v>
      </c>
      <c r="K3813" s="4" t="s">
        <v>25</v>
      </c>
      <c r="L3813" s="4" t="s">
        <v>3743</v>
      </c>
      <c r="M3813" s="4" t="s">
        <v>3746</v>
      </c>
      <c r="N3813" s="4" t="s">
        <v>3747</v>
      </c>
      <c r="O3813" s="17">
        <f>INDEX('список ID из СУЭ с должностями'!$A:$F,MATCH(E3813,'список ID из СУЭ с должностями'!$B:$B,0),5)</f>
        <v>0</v>
      </c>
    </row>
    <row r="3814" spans="1:15" ht="285">
      <c r="A3814" s="3" t="s">
        <v>10</v>
      </c>
      <c r="B3814" s="3" t="s">
        <v>11</v>
      </c>
      <c r="C3814" s="4">
        <v>2026</v>
      </c>
      <c r="D3814" s="5" t="s">
        <v>12</v>
      </c>
      <c r="E3814" s="4">
        <v>525</v>
      </c>
      <c r="F3814" s="4" t="s">
        <v>458</v>
      </c>
      <c r="G3814" s="4" t="s">
        <v>1269</v>
      </c>
      <c r="H3814" s="4" t="s">
        <v>15</v>
      </c>
      <c r="I3814" s="4" t="s">
        <v>462</v>
      </c>
      <c r="J3814" s="4" t="s">
        <v>3606</v>
      </c>
      <c r="K3814" s="4" t="s">
        <v>35</v>
      </c>
      <c r="L3814" s="4" t="s">
        <v>3743</v>
      </c>
      <c r="M3814" s="4" t="s">
        <v>3746</v>
      </c>
      <c r="N3814" s="4" t="s">
        <v>3747</v>
      </c>
      <c r="O3814" s="17">
        <f>INDEX('список ID из СУЭ с должностями'!$A:$F,MATCH(E3814,'список ID из СУЭ с должностями'!$B:$B,0),5)</f>
        <v>0</v>
      </c>
    </row>
    <row r="3815" spans="1:15" ht="240">
      <c r="A3815" s="3" t="s">
        <v>10</v>
      </c>
      <c r="B3815" s="3" t="s">
        <v>11</v>
      </c>
      <c r="C3815" s="4">
        <v>2026</v>
      </c>
      <c r="D3815" s="5" t="s">
        <v>12</v>
      </c>
      <c r="E3815" s="4">
        <v>526</v>
      </c>
      <c r="F3815" s="4" t="s">
        <v>3350</v>
      </c>
      <c r="G3815" s="4" t="s">
        <v>3347</v>
      </c>
      <c r="H3815" s="4" t="s">
        <v>15</v>
      </c>
      <c r="I3815" s="4" t="s">
        <v>3361</v>
      </c>
      <c r="J3815" s="4" t="s">
        <v>3607</v>
      </c>
      <c r="K3815" s="4" t="s">
        <v>3351</v>
      </c>
      <c r="L3815" s="4" t="s">
        <v>3743</v>
      </c>
      <c r="M3815" s="4" t="s">
        <v>3746</v>
      </c>
      <c r="N3815" s="4" t="s">
        <v>3785</v>
      </c>
      <c r="O3815" s="17">
        <f>INDEX('список ID из СУЭ с должностями'!$A:$F,MATCH(E3815,'список ID из СУЭ с должностями'!$B:$B,0),5)</f>
        <v>0</v>
      </c>
    </row>
    <row r="3816" spans="1:15" ht="120">
      <c r="A3816" s="3" t="s">
        <v>10</v>
      </c>
      <c r="B3816" s="3" t="s">
        <v>11</v>
      </c>
      <c r="C3816" s="4">
        <v>2026</v>
      </c>
      <c r="D3816" s="5" t="s">
        <v>12</v>
      </c>
      <c r="E3816" s="4">
        <v>526</v>
      </c>
      <c r="F3816" s="4" t="s">
        <v>3350</v>
      </c>
      <c r="G3816" s="4" t="s">
        <v>3347</v>
      </c>
      <c r="H3816" s="4" t="s">
        <v>41</v>
      </c>
      <c r="I3816" s="4" t="s">
        <v>3355</v>
      </c>
      <c r="J3816" s="4" t="s">
        <v>3356</v>
      </c>
      <c r="K3816" s="4" t="s">
        <v>3355</v>
      </c>
      <c r="L3816" s="4" t="s">
        <v>3743</v>
      </c>
      <c r="M3816" s="4" t="s">
        <v>3750</v>
      </c>
      <c r="N3816" s="4" t="s">
        <v>3787</v>
      </c>
      <c r="O3816" s="17">
        <f>INDEX('список ID из СУЭ с должностями'!$A:$F,MATCH(E3816,'список ID из СУЭ с должностями'!$B:$B,0),5)</f>
        <v>0</v>
      </c>
    </row>
    <row r="3817" spans="1:15" ht="60">
      <c r="A3817" s="3" t="s">
        <v>10</v>
      </c>
      <c r="B3817" s="3" t="s">
        <v>11</v>
      </c>
      <c r="C3817" s="4">
        <v>2026</v>
      </c>
      <c r="D3817" s="5" t="s">
        <v>12</v>
      </c>
      <c r="E3817" s="4">
        <v>526</v>
      </c>
      <c r="F3817" s="4" t="s">
        <v>3350</v>
      </c>
      <c r="G3817" s="4" t="s">
        <v>3347</v>
      </c>
      <c r="H3817" s="4" t="s">
        <v>41</v>
      </c>
      <c r="I3817" s="4" t="s">
        <v>3608</v>
      </c>
      <c r="J3817" s="4" t="s">
        <v>3609</v>
      </c>
      <c r="K3817" s="4" t="s">
        <v>310</v>
      </c>
      <c r="L3817" s="4" t="s">
        <v>3743</v>
      </c>
      <c r="M3817" s="4" t="s">
        <v>3746</v>
      </c>
      <c r="N3817" s="4" t="s">
        <v>3785</v>
      </c>
      <c r="O3817" s="17">
        <f>INDEX('список ID из СУЭ с должностями'!$A:$F,MATCH(E3817,'список ID из СУЭ с должностями'!$B:$B,0),5)</f>
        <v>0</v>
      </c>
    </row>
    <row r="3818" spans="1:15" ht="409.5">
      <c r="A3818" s="3" t="s">
        <v>10</v>
      </c>
      <c r="B3818" s="3" t="s">
        <v>11</v>
      </c>
      <c r="C3818" s="4">
        <v>2026</v>
      </c>
      <c r="D3818" s="5" t="s">
        <v>12</v>
      </c>
      <c r="E3818" s="4">
        <v>526</v>
      </c>
      <c r="F3818" s="4" t="s">
        <v>3350</v>
      </c>
      <c r="G3818" s="4" t="s">
        <v>3347</v>
      </c>
      <c r="H3818" s="4" t="s">
        <v>15</v>
      </c>
      <c r="I3818" s="4" t="s">
        <v>3358</v>
      </c>
      <c r="J3818" s="4" t="s">
        <v>3610</v>
      </c>
      <c r="K3818" s="4" t="s">
        <v>3360</v>
      </c>
      <c r="L3818" s="4" t="s">
        <v>3743</v>
      </c>
      <c r="M3818" s="4" t="s">
        <v>3746</v>
      </c>
      <c r="N3818" s="4" t="s">
        <v>3785</v>
      </c>
      <c r="O3818" s="17">
        <f>INDEX('список ID из СУЭ с должностями'!$A:$F,MATCH(E3818,'список ID из СУЭ с должностями'!$B:$B,0),5)</f>
        <v>0</v>
      </c>
    </row>
    <row r="3819" spans="1:15" ht="409.5">
      <c r="A3819" s="3" t="s">
        <v>10</v>
      </c>
      <c r="B3819" s="3" t="s">
        <v>11</v>
      </c>
      <c r="C3819" s="4">
        <v>2026</v>
      </c>
      <c r="D3819" s="5" t="s">
        <v>12</v>
      </c>
      <c r="E3819" s="4">
        <v>526</v>
      </c>
      <c r="F3819" s="4" t="s">
        <v>3350</v>
      </c>
      <c r="G3819" s="4" t="s">
        <v>3347</v>
      </c>
      <c r="H3819" s="4" t="s">
        <v>15</v>
      </c>
      <c r="I3819" s="4" t="s">
        <v>3351</v>
      </c>
      <c r="J3819" s="4" t="s">
        <v>3611</v>
      </c>
      <c r="K3819" s="4" t="s">
        <v>3351</v>
      </c>
      <c r="L3819" s="4" t="s">
        <v>3743</v>
      </c>
      <c r="M3819" s="4" t="s">
        <v>3746</v>
      </c>
      <c r="N3819" s="4" t="s">
        <v>3785</v>
      </c>
      <c r="O3819" s="17">
        <f>INDEX('список ID из СУЭ с должностями'!$A:$F,MATCH(E3819,'список ID из СУЭ с должностями'!$B:$B,0),5)</f>
        <v>0</v>
      </c>
    </row>
    <row r="3820" spans="1:15" ht="409.5">
      <c r="A3820" s="3" t="s">
        <v>10</v>
      </c>
      <c r="B3820" s="3" t="s">
        <v>11</v>
      </c>
      <c r="C3820" s="4">
        <v>2026</v>
      </c>
      <c r="D3820" s="5" t="s">
        <v>12</v>
      </c>
      <c r="E3820" s="4">
        <v>526</v>
      </c>
      <c r="F3820" s="4" t="s">
        <v>3350</v>
      </c>
      <c r="G3820" s="4" t="s">
        <v>3347</v>
      </c>
      <c r="H3820" s="4" t="s">
        <v>15</v>
      </c>
      <c r="I3820" s="4" t="s">
        <v>3354</v>
      </c>
      <c r="J3820" s="4" t="s">
        <v>3612</v>
      </c>
      <c r="K3820" s="4" t="s">
        <v>3354</v>
      </c>
      <c r="L3820" s="4" t="s">
        <v>3743</v>
      </c>
      <c r="M3820" s="4" t="s">
        <v>3746</v>
      </c>
      <c r="N3820" s="4" t="s">
        <v>3785</v>
      </c>
      <c r="O3820" s="17">
        <f>INDEX('список ID из СУЭ с должностями'!$A:$F,MATCH(E3820,'список ID из СУЭ с должностями'!$B:$B,0),5)</f>
        <v>0</v>
      </c>
    </row>
    <row r="3821" spans="1:15" ht="45">
      <c r="A3821" s="3" t="s">
        <v>10</v>
      </c>
      <c r="B3821" s="3" t="s">
        <v>11</v>
      </c>
      <c r="C3821" s="4">
        <v>2026</v>
      </c>
      <c r="D3821" s="5" t="s">
        <v>12</v>
      </c>
      <c r="E3821" s="4">
        <v>527</v>
      </c>
      <c r="F3821" s="4" t="s">
        <v>385</v>
      </c>
      <c r="G3821" s="4" t="s">
        <v>404</v>
      </c>
      <c r="H3821" s="4" t="s">
        <v>41</v>
      </c>
      <c r="I3821" s="4" t="s">
        <v>3613</v>
      </c>
      <c r="J3821" s="4" t="s">
        <v>3614</v>
      </c>
      <c r="K3821" s="4" t="s">
        <v>52</v>
      </c>
      <c r="L3821" s="4" t="s">
        <v>3742</v>
      </c>
      <c r="M3821" s="4" t="s">
        <v>3746</v>
      </c>
      <c r="N3821" s="4" t="s">
        <v>3747</v>
      </c>
      <c r="O3821" s="17">
        <f>INDEX('список ID из СУЭ с должностями'!$A:$F,MATCH(E3821,'список ID из СУЭ с должностями'!$B:$B,0),5)</f>
        <v>0</v>
      </c>
    </row>
    <row r="3822" spans="1:15" ht="45">
      <c r="A3822" s="3" t="s">
        <v>10</v>
      </c>
      <c r="B3822" s="3" t="s">
        <v>11</v>
      </c>
      <c r="C3822" s="4">
        <v>2026</v>
      </c>
      <c r="D3822" s="5" t="s">
        <v>12</v>
      </c>
      <c r="E3822" s="4">
        <v>527</v>
      </c>
      <c r="F3822" s="4" t="s">
        <v>385</v>
      </c>
      <c r="G3822" s="4" t="s">
        <v>404</v>
      </c>
      <c r="H3822" s="4" t="s">
        <v>15</v>
      </c>
      <c r="I3822" s="4" t="s">
        <v>3615</v>
      </c>
      <c r="J3822" s="4" t="s">
        <v>3616</v>
      </c>
      <c r="K3822" s="4" t="s">
        <v>23</v>
      </c>
      <c r="L3822" s="4" t="s">
        <v>3743</v>
      </c>
      <c r="M3822" s="4" t="s">
        <v>3748</v>
      </c>
      <c r="N3822" s="4" t="s">
        <v>3752</v>
      </c>
      <c r="O3822" s="17">
        <f>INDEX('список ID из СУЭ с должностями'!$A:$F,MATCH(E3822,'список ID из СУЭ с должностями'!$B:$B,0),5)</f>
        <v>0</v>
      </c>
    </row>
    <row r="3823" spans="1:15" ht="45">
      <c r="A3823" s="3" t="s">
        <v>10</v>
      </c>
      <c r="B3823" s="3" t="s">
        <v>11</v>
      </c>
      <c r="C3823" s="4">
        <v>2026</v>
      </c>
      <c r="D3823" s="5" t="s">
        <v>12</v>
      </c>
      <c r="E3823" s="4">
        <v>527</v>
      </c>
      <c r="F3823" s="4" t="s">
        <v>385</v>
      </c>
      <c r="G3823" s="4" t="s">
        <v>404</v>
      </c>
      <c r="H3823" s="4" t="s">
        <v>41</v>
      </c>
      <c r="I3823" s="4" t="s">
        <v>3617</v>
      </c>
      <c r="J3823" s="4" t="s">
        <v>3618</v>
      </c>
      <c r="K3823" s="4" t="s">
        <v>52</v>
      </c>
      <c r="L3823" s="4" t="s">
        <v>3742</v>
      </c>
      <c r="M3823" s="4" t="s">
        <v>3746</v>
      </c>
      <c r="N3823" s="4" t="s">
        <v>3747</v>
      </c>
      <c r="O3823" s="17">
        <f>INDEX('список ID из СУЭ с должностями'!$A:$F,MATCH(E3823,'список ID из СУЭ с должностями'!$B:$B,0),5)</f>
        <v>0</v>
      </c>
    </row>
    <row r="3824" spans="1:15" ht="45">
      <c r="A3824" s="3" t="s">
        <v>10</v>
      </c>
      <c r="B3824" s="3" t="s">
        <v>11</v>
      </c>
      <c r="C3824" s="4">
        <v>2026</v>
      </c>
      <c r="D3824" s="5" t="s">
        <v>12</v>
      </c>
      <c r="E3824" s="4">
        <v>527</v>
      </c>
      <c r="F3824" s="4" t="s">
        <v>385</v>
      </c>
      <c r="G3824" s="4" t="s">
        <v>404</v>
      </c>
      <c r="H3824" s="4" t="s">
        <v>41</v>
      </c>
      <c r="I3824" s="4" t="s">
        <v>3619</v>
      </c>
      <c r="J3824" s="4" t="s">
        <v>3620</v>
      </c>
      <c r="K3824" s="4" t="s">
        <v>52</v>
      </c>
      <c r="L3824" s="4" t="s">
        <v>3742</v>
      </c>
      <c r="M3824" s="4" t="s">
        <v>3746</v>
      </c>
      <c r="N3824" s="4" t="s">
        <v>3747</v>
      </c>
      <c r="O3824" s="17">
        <f>INDEX('список ID из СУЭ с должностями'!$A:$F,MATCH(E3824,'список ID из СУЭ с должностями'!$B:$B,0),5)</f>
        <v>0</v>
      </c>
    </row>
    <row r="3825" spans="1:15" ht="60">
      <c r="A3825" s="3" t="s">
        <v>10</v>
      </c>
      <c r="B3825" s="3" t="s">
        <v>11</v>
      </c>
      <c r="C3825" s="4">
        <v>2026</v>
      </c>
      <c r="D3825" s="5" t="s">
        <v>12</v>
      </c>
      <c r="E3825" s="4">
        <v>528</v>
      </c>
      <c r="F3825" s="4" t="s">
        <v>153</v>
      </c>
      <c r="G3825" s="4" t="s">
        <v>435</v>
      </c>
      <c r="H3825" s="4" t="s">
        <v>15</v>
      </c>
      <c r="I3825" s="4" t="s">
        <v>175</v>
      </c>
      <c r="J3825" s="4" t="s">
        <v>3621</v>
      </c>
      <c r="K3825" s="4" t="s">
        <v>38</v>
      </c>
      <c r="L3825" s="4" t="s">
        <v>3743</v>
      </c>
      <c r="M3825" s="4" t="s">
        <v>3746</v>
      </c>
      <c r="N3825" s="4" t="s">
        <v>3747</v>
      </c>
      <c r="O3825" s="17">
        <f>INDEX('список ID из СУЭ с должностями'!$A:$F,MATCH(E3825,'список ID из СУЭ с должностями'!$B:$B,0),5)</f>
        <v>0</v>
      </c>
    </row>
    <row r="3826" spans="1:15" ht="90">
      <c r="A3826" s="3" t="s">
        <v>10</v>
      </c>
      <c r="B3826" s="3" t="s">
        <v>11</v>
      </c>
      <c r="C3826" s="4">
        <v>2026</v>
      </c>
      <c r="D3826" s="5" t="s">
        <v>12</v>
      </c>
      <c r="E3826" s="4">
        <v>528</v>
      </c>
      <c r="F3826" s="4" t="s">
        <v>153</v>
      </c>
      <c r="G3826" s="4" t="s">
        <v>435</v>
      </c>
      <c r="H3826" s="4" t="s">
        <v>21</v>
      </c>
      <c r="I3826" s="4" t="s">
        <v>155</v>
      </c>
      <c r="J3826" s="4" t="s">
        <v>156</v>
      </c>
      <c r="K3826" s="4" t="s">
        <v>30</v>
      </c>
      <c r="L3826" s="4" t="s">
        <v>3743</v>
      </c>
      <c r="M3826" s="4" t="s">
        <v>3746</v>
      </c>
      <c r="N3826" s="4" t="s">
        <v>3747</v>
      </c>
      <c r="O3826" s="17">
        <f>INDEX('список ID из СУЭ с должностями'!$A:$F,MATCH(E3826,'список ID из СУЭ с должностями'!$B:$B,0),5)</f>
        <v>0</v>
      </c>
    </row>
    <row r="3827" spans="1:15" ht="75">
      <c r="A3827" s="3" t="s">
        <v>10</v>
      </c>
      <c r="B3827" s="3" t="s">
        <v>11</v>
      </c>
      <c r="C3827" s="4">
        <v>2026</v>
      </c>
      <c r="D3827" s="5" t="s">
        <v>12</v>
      </c>
      <c r="E3827" s="4">
        <v>528</v>
      </c>
      <c r="F3827" s="4" t="s">
        <v>153</v>
      </c>
      <c r="G3827" s="4" t="s">
        <v>435</v>
      </c>
      <c r="H3827" s="4" t="s">
        <v>15</v>
      </c>
      <c r="I3827" s="4" t="s">
        <v>159</v>
      </c>
      <c r="J3827" s="4" t="s">
        <v>663</v>
      </c>
      <c r="K3827" s="4" t="s">
        <v>20</v>
      </c>
      <c r="L3827" s="4" t="s">
        <v>3743</v>
      </c>
      <c r="M3827" s="4" t="s">
        <v>3746</v>
      </c>
      <c r="N3827" s="4" t="s">
        <v>3747</v>
      </c>
      <c r="O3827" s="17">
        <f>INDEX('список ID из СУЭ с должностями'!$A:$F,MATCH(E3827,'список ID из СУЭ с должностями'!$B:$B,0),5)</f>
        <v>0</v>
      </c>
    </row>
    <row r="3828" spans="1:15" ht="60">
      <c r="A3828" s="3" t="s">
        <v>10</v>
      </c>
      <c r="B3828" s="3" t="s">
        <v>11</v>
      </c>
      <c r="C3828" s="4">
        <v>2026</v>
      </c>
      <c r="D3828" s="5" t="s">
        <v>12</v>
      </c>
      <c r="E3828" s="4">
        <v>528</v>
      </c>
      <c r="F3828" s="4" t="s">
        <v>153</v>
      </c>
      <c r="G3828" s="4" t="s">
        <v>435</v>
      </c>
      <c r="H3828" s="4" t="s">
        <v>15</v>
      </c>
      <c r="I3828" s="4" t="s">
        <v>161</v>
      </c>
      <c r="J3828" s="4" t="s">
        <v>3622</v>
      </c>
      <c r="K3828" s="4" t="s">
        <v>151</v>
      </c>
      <c r="L3828" s="4" t="s">
        <v>3743</v>
      </c>
      <c r="M3828" s="4" t="s">
        <v>3746</v>
      </c>
      <c r="N3828" s="4" t="s">
        <v>3747</v>
      </c>
      <c r="O3828" s="17">
        <f>INDEX('список ID из СУЭ с должностями'!$A:$F,MATCH(E3828,'список ID из СУЭ с должностями'!$B:$B,0),5)</f>
        <v>0</v>
      </c>
    </row>
    <row r="3829" spans="1:15" ht="60">
      <c r="A3829" s="3" t="s">
        <v>10</v>
      </c>
      <c r="B3829" s="3" t="s">
        <v>11</v>
      </c>
      <c r="C3829" s="4">
        <v>2026</v>
      </c>
      <c r="D3829" s="5" t="s">
        <v>12</v>
      </c>
      <c r="E3829" s="4">
        <v>528</v>
      </c>
      <c r="F3829" s="4" t="s">
        <v>153</v>
      </c>
      <c r="G3829" s="4" t="s">
        <v>435</v>
      </c>
      <c r="H3829" s="4" t="s">
        <v>41</v>
      </c>
      <c r="I3829" s="4" t="s">
        <v>165</v>
      </c>
      <c r="J3829" s="4" t="s">
        <v>166</v>
      </c>
      <c r="K3829" s="4" t="s">
        <v>151</v>
      </c>
      <c r="L3829" s="4" t="s">
        <v>3743</v>
      </c>
      <c r="M3829" s="4" t="s">
        <v>3746</v>
      </c>
      <c r="N3829" s="4" t="s">
        <v>3747</v>
      </c>
      <c r="O3829" s="17">
        <f>INDEX('список ID из СУЭ с должностями'!$A:$F,MATCH(E3829,'список ID из СУЭ с должностями'!$B:$B,0),5)</f>
        <v>0</v>
      </c>
    </row>
    <row r="3830" spans="1:15" ht="105">
      <c r="A3830" s="3" t="s">
        <v>10</v>
      </c>
      <c r="B3830" s="3" t="s">
        <v>11</v>
      </c>
      <c r="C3830" s="4">
        <v>2026</v>
      </c>
      <c r="D3830" s="5" t="s">
        <v>12</v>
      </c>
      <c r="E3830" s="4">
        <v>528</v>
      </c>
      <c r="F3830" s="4" t="s">
        <v>153</v>
      </c>
      <c r="G3830" s="4" t="s">
        <v>435</v>
      </c>
      <c r="H3830" s="4" t="s">
        <v>15</v>
      </c>
      <c r="I3830" s="4" t="s">
        <v>167</v>
      </c>
      <c r="J3830" s="4" t="s">
        <v>168</v>
      </c>
      <c r="K3830" s="4" t="s">
        <v>20</v>
      </c>
      <c r="L3830" s="4" t="s">
        <v>3743</v>
      </c>
      <c r="M3830" s="4" t="s">
        <v>3746</v>
      </c>
      <c r="N3830" s="4" t="s">
        <v>3747</v>
      </c>
      <c r="O3830" s="17">
        <f>INDEX('список ID из СУЭ с должностями'!$A:$F,MATCH(E3830,'список ID из СУЭ с должностями'!$B:$B,0),5)</f>
        <v>0</v>
      </c>
    </row>
    <row r="3831" spans="1:15" ht="60">
      <c r="A3831" s="3" t="s">
        <v>10</v>
      </c>
      <c r="B3831" s="3" t="s">
        <v>11</v>
      </c>
      <c r="C3831" s="4">
        <v>2026</v>
      </c>
      <c r="D3831" s="5" t="s">
        <v>12</v>
      </c>
      <c r="E3831" s="4">
        <v>528</v>
      </c>
      <c r="F3831" s="4" t="s">
        <v>153</v>
      </c>
      <c r="G3831" s="4" t="s">
        <v>435</v>
      </c>
      <c r="H3831" s="4" t="s">
        <v>15</v>
      </c>
      <c r="I3831" s="4" t="s">
        <v>163</v>
      </c>
      <c r="J3831" s="4" t="s">
        <v>164</v>
      </c>
      <c r="K3831" s="4" t="s">
        <v>38</v>
      </c>
      <c r="L3831" s="4" t="s">
        <v>3742</v>
      </c>
      <c r="M3831" s="4" t="s">
        <v>3746</v>
      </c>
      <c r="N3831" s="4" t="s">
        <v>3747</v>
      </c>
      <c r="O3831" s="17">
        <f>INDEX('список ID из СУЭ с должностями'!$A:$F,MATCH(E3831,'список ID из СУЭ с должностями'!$B:$B,0),5)</f>
        <v>0</v>
      </c>
    </row>
    <row r="3832" spans="1:15" ht="60">
      <c r="A3832" s="3" t="s">
        <v>10</v>
      </c>
      <c r="B3832" s="3" t="s">
        <v>11</v>
      </c>
      <c r="C3832" s="4">
        <v>2026</v>
      </c>
      <c r="D3832" s="5" t="s">
        <v>12</v>
      </c>
      <c r="E3832" s="4">
        <v>528</v>
      </c>
      <c r="F3832" s="4" t="s">
        <v>153</v>
      </c>
      <c r="G3832" s="4" t="s">
        <v>435</v>
      </c>
      <c r="H3832" s="4" t="s">
        <v>15</v>
      </c>
      <c r="I3832" s="4" t="s">
        <v>169</v>
      </c>
      <c r="J3832" s="4" t="s">
        <v>170</v>
      </c>
      <c r="K3832" s="4" t="s">
        <v>55</v>
      </c>
      <c r="L3832" s="4" t="s">
        <v>3743</v>
      </c>
      <c r="M3832" s="4" t="s">
        <v>3746</v>
      </c>
      <c r="N3832" s="4" t="s">
        <v>3747</v>
      </c>
      <c r="O3832" s="17">
        <f>INDEX('список ID из СУЭ с должностями'!$A:$F,MATCH(E3832,'список ID из СУЭ с должностями'!$B:$B,0),5)</f>
        <v>0</v>
      </c>
    </row>
    <row r="3833" spans="1:15" ht="90">
      <c r="A3833" s="3" t="s">
        <v>10</v>
      </c>
      <c r="B3833" s="3" t="s">
        <v>11</v>
      </c>
      <c r="C3833" s="4">
        <v>2026</v>
      </c>
      <c r="D3833" s="5" t="s">
        <v>12</v>
      </c>
      <c r="E3833" s="4">
        <v>528</v>
      </c>
      <c r="F3833" s="4" t="s">
        <v>153</v>
      </c>
      <c r="G3833" s="4" t="s">
        <v>435</v>
      </c>
      <c r="H3833" s="4" t="s">
        <v>21</v>
      </c>
      <c r="I3833" s="4" t="s">
        <v>171</v>
      </c>
      <c r="J3833" s="4" t="s">
        <v>172</v>
      </c>
      <c r="K3833" s="4" t="s">
        <v>35</v>
      </c>
      <c r="L3833" s="4" t="s">
        <v>3743</v>
      </c>
      <c r="M3833" s="4" t="s">
        <v>3746</v>
      </c>
      <c r="N3833" s="4" t="s">
        <v>3747</v>
      </c>
      <c r="O3833" s="17">
        <f>INDEX('список ID из СУЭ с должностями'!$A:$F,MATCH(E3833,'список ID из СУЭ с должностями'!$B:$B,0),5)</f>
        <v>0</v>
      </c>
    </row>
    <row r="3834" spans="1:15" ht="60">
      <c r="A3834" s="3" t="s">
        <v>10</v>
      </c>
      <c r="B3834" s="3" t="s">
        <v>11</v>
      </c>
      <c r="C3834" s="4">
        <v>2026</v>
      </c>
      <c r="D3834" s="5" t="s">
        <v>12</v>
      </c>
      <c r="E3834" s="4">
        <v>528</v>
      </c>
      <c r="F3834" s="4" t="s">
        <v>153</v>
      </c>
      <c r="G3834" s="4" t="s">
        <v>435</v>
      </c>
      <c r="H3834" s="4" t="s">
        <v>15</v>
      </c>
      <c r="I3834" s="4" t="s">
        <v>173</v>
      </c>
      <c r="J3834" s="4" t="s">
        <v>174</v>
      </c>
      <c r="K3834" s="4" t="s">
        <v>151</v>
      </c>
      <c r="L3834" s="4" t="s">
        <v>3743</v>
      </c>
      <c r="M3834" s="4" t="s">
        <v>3746</v>
      </c>
      <c r="N3834" s="4" t="s">
        <v>3747</v>
      </c>
      <c r="O3834" s="17">
        <f>INDEX('список ID из СУЭ с должностями'!$A:$F,MATCH(E3834,'список ID из СУЭ с должностями'!$B:$B,0),5)</f>
        <v>0</v>
      </c>
    </row>
    <row r="3835" spans="1:15" ht="240">
      <c r="A3835" s="3" t="s">
        <v>10</v>
      </c>
      <c r="B3835" s="3" t="s">
        <v>2</v>
      </c>
      <c r="C3835" s="4">
        <v>2026</v>
      </c>
      <c r="D3835" s="5" t="s">
        <v>12</v>
      </c>
      <c r="E3835" s="4">
        <v>529</v>
      </c>
      <c r="F3835" s="4" t="s">
        <v>18</v>
      </c>
      <c r="G3835" s="4" t="s">
        <v>19</v>
      </c>
      <c r="H3835" s="4" t="s">
        <v>15</v>
      </c>
      <c r="I3835" s="4" t="s">
        <v>1014</v>
      </c>
      <c r="J3835" s="4" t="s">
        <v>3434</v>
      </c>
      <c r="K3835" s="4" t="s">
        <v>38</v>
      </c>
      <c r="L3835" s="4" t="s">
        <v>3743</v>
      </c>
      <c r="M3835" s="4" t="s">
        <v>3746</v>
      </c>
      <c r="N3835" s="4" t="s">
        <v>3747</v>
      </c>
      <c r="O3835" s="17">
        <f>INDEX('список ID из СУЭ с должностями'!$A:$F,MATCH(E3835,'список ID из СУЭ с должностями'!$B:$B,0),5)</f>
        <v>0</v>
      </c>
    </row>
    <row r="3836" spans="1:15" ht="105">
      <c r="A3836" s="3" t="s">
        <v>10</v>
      </c>
      <c r="B3836" s="3" t="s">
        <v>2</v>
      </c>
      <c r="C3836" s="4">
        <v>2026</v>
      </c>
      <c r="D3836" s="5" t="s">
        <v>12</v>
      </c>
      <c r="E3836" s="4">
        <v>529</v>
      </c>
      <c r="F3836" s="4" t="s">
        <v>18</v>
      </c>
      <c r="G3836" s="4" t="s">
        <v>19</v>
      </c>
      <c r="H3836" s="4" t="s">
        <v>41</v>
      </c>
      <c r="I3836" s="4" t="s">
        <v>3623</v>
      </c>
      <c r="J3836" s="4" t="s">
        <v>3624</v>
      </c>
      <c r="K3836" s="4" t="s">
        <v>38</v>
      </c>
      <c r="L3836" s="4" t="s">
        <v>3743</v>
      </c>
      <c r="M3836" s="4" t="s">
        <v>3746</v>
      </c>
      <c r="N3836" s="4" t="s">
        <v>3747</v>
      </c>
      <c r="O3836" s="17">
        <f>INDEX('список ID из СУЭ с должностями'!$A:$F,MATCH(E3836,'список ID из СУЭ с должностями'!$B:$B,0),5)</f>
        <v>0</v>
      </c>
    </row>
    <row r="3837" spans="1:15" ht="195">
      <c r="A3837" s="3" t="s">
        <v>10</v>
      </c>
      <c r="B3837" s="3" t="s">
        <v>2</v>
      </c>
      <c r="C3837" s="4">
        <v>2026</v>
      </c>
      <c r="D3837" s="5" t="s">
        <v>12</v>
      </c>
      <c r="E3837" s="4">
        <v>529</v>
      </c>
      <c r="F3837" s="4" t="s">
        <v>18</v>
      </c>
      <c r="G3837" s="4" t="s">
        <v>19</v>
      </c>
      <c r="H3837" s="4" t="s">
        <v>15</v>
      </c>
      <c r="I3837" s="4" t="s">
        <v>66</v>
      </c>
      <c r="J3837" s="4" t="s">
        <v>3625</v>
      </c>
      <c r="K3837" s="4" t="s">
        <v>66</v>
      </c>
      <c r="L3837" s="4" t="s">
        <v>3743</v>
      </c>
      <c r="M3837" s="4" t="s">
        <v>3746</v>
      </c>
      <c r="N3837" s="4" t="s">
        <v>3747</v>
      </c>
      <c r="O3837" s="17">
        <f>INDEX('список ID из СУЭ с должностями'!$A:$F,MATCH(E3837,'список ID из СУЭ с должностями'!$B:$B,0),5)</f>
        <v>0</v>
      </c>
    </row>
    <row r="3838" spans="1:15" ht="150">
      <c r="A3838" s="3" t="s">
        <v>10</v>
      </c>
      <c r="B3838" s="3" t="s">
        <v>2</v>
      </c>
      <c r="C3838" s="4">
        <v>2026</v>
      </c>
      <c r="D3838" s="5" t="s">
        <v>12</v>
      </c>
      <c r="E3838" s="4">
        <v>529</v>
      </c>
      <c r="F3838" s="4" t="s">
        <v>18</v>
      </c>
      <c r="G3838" s="4" t="s">
        <v>19</v>
      </c>
      <c r="H3838" s="4" t="s">
        <v>15</v>
      </c>
      <c r="I3838" s="4" t="s">
        <v>33</v>
      </c>
      <c r="J3838" s="4" t="s">
        <v>3626</v>
      </c>
      <c r="K3838" s="4" t="s">
        <v>35</v>
      </c>
      <c r="L3838" s="4" t="s">
        <v>3743</v>
      </c>
      <c r="M3838" s="4" t="s">
        <v>3746</v>
      </c>
      <c r="N3838" s="4" t="s">
        <v>3747</v>
      </c>
      <c r="O3838" s="17">
        <f>INDEX('список ID из СУЭ с должностями'!$A:$F,MATCH(E3838,'список ID из СУЭ с должностями'!$B:$B,0),5)</f>
        <v>0</v>
      </c>
    </row>
    <row r="3839" spans="1:15" ht="135">
      <c r="A3839" s="3" t="s">
        <v>10</v>
      </c>
      <c r="B3839" s="3" t="s">
        <v>2</v>
      </c>
      <c r="C3839" s="4">
        <v>2026</v>
      </c>
      <c r="D3839" s="5" t="s">
        <v>12</v>
      </c>
      <c r="E3839" s="4">
        <v>529</v>
      </c>
      <c r="F3839" s="4" t="s">
        <v>18</v>
      </c>
      <c r="G3839" s="4" t="s">
        <v>19</v>
      </c>
      <c r="H3839" s="4" t="s">
        <v>15</v>
      </c>
      <c r="I3839" s="4" t="s">
        <v>1017</v>
      </c>
      <c r="J3839" s="4" t="s">
        <v>3627</v>
      </c>
      <c r="K3839" s="4" t="s">
        <v>25</v>
      </c>
      <c r="L3839" s="4" t="s">
        <v>3743</v>
      </c>
      <c r="M3839" s="4" t="s">
        <v>3746</v>
      </c>
      <c r="N3839" s="4" t="s">
        <v>3747</v>
      </c>
      <c r="O3839" s="17">
        <f>INDEX('список ID из СУЭ с должностями'!$A:$F,MATCH(E3839,'список ID из СУЭ с должностями'!$B:$B,0),5)</f>
        <v>0</v>
      </c>
    </row>
    <row r="3840" spans="1:15" ht="60">
      <c r="A3840" s="3" t="s">
        <v>10</v>
      </c>
      <c r="B3840" s="3" t="s">
        <v>11</v>
      </c>
      <c r="C3840" s="4">
        <v>2026</v>
      </c>
      <c r="D3840" s="5" t="s">
        <v>12</v>
      </c>
      <c r="E3840" s="4">
        <v>530</v>
      </c>
      <c r="F3840" s="4" t="s">
        <v>153</v>
      </c>
      <c r="G3840" s="4" t="s">
        <v>435</v>
      </c>
      <c r="H3840" s="4" t="s">
        <v>15</v>
      </c>
      <c r="I3840" s="4" t="s">
        <v>175</v>
      </c>
      <c r="J3840" s="4" t="s">
        <v>207</v>
      </c>
      <c r="K3840" s="4" t="s">
        <v>38</v>
      </c>
      <c r="L3840" s="4" t="s">
        <v>3743</v>
      </c>
      <c r="M3840" s="4" t="s">
        <v>3746</v>
      </c>
      <c r="N3840" s="4" t="s">
        <v>3747</v>
      </c>
      <c r="O3840" s="17">
        <f>INDEX('список ID из СУЭ с должностями'!$A:$F,MATCH(E3840,'список ID из СУЭ с должностями'!$B:$B,0),5)</f>
        <v>0</v>
      </c>
    </row>
    <row r="3841" spans="1:15" ht="90">
      <c r="A3841" s="3" t="s">
        <v>10</v>
      </c>
      <c r="B3841" s="3" t="s">
        <v>11</v>
      </c>
      <c r="C3841" s="4">
        <v>2026</v>
      </c>
      <c r="D3841" s="5" t="s">
        <v>12</v>
      </c>
      <c r="E3841" s="4">
        <v>530</v>
      </c>
      <c r="F3841" s="4" t="s">
        <v>153</v>
      </c>
      <c r="G3841" s="4" t="s">
        <v>435</v>
      </c>
      <c r="H3841" s="4" t="s">
        <v>21</v>
      </c>
      <c r="I3841" s="4" t="s">
        <v>155</v>
      </c>
      <c r="J3841" s="4" t="s">
        <v>156</v>
      </c>
      <c r="K3841" s="4" t="s">
        <v>30</v>
      </c>
      <c r="L3841" s="4" t="s">
        <v>3743</v>
      </c>
      <c r="M3841" s="4" t="s">
        <v>3746</v>
      </c>
      <c r="N3841" s="4" t="s">
        <v>3747</v>
      </c>
      <c r="O3841" s="17">
        <f>INDEX('список ID из СУЭ с должностями'!$A:$F,MATCH(E3841,'список ID из СУЭ с должностями'!$B:$B,0),5)</f>
        <v>0</v>
      </c>
    </row>
    <row r="3842" spans="1:15" ht="90">
      <c r="A3842" s="3" t="s">
        <v>10</v>
      </c>
      <c r="B3842" s="3" t="s">
        <v>11</v>
      </c>
      <c r="C3842" s="4">
        <v>2026</v>
      </c>
      <c r="D3842" s="5" t="s">
        <v>12</v>
      </c>
      <c r="E3842" s="4">
        <v>530</v>
      </c>
      <c r="F3842" s="4" t="s">
        <v>153</v>
      </c>
      <c r="G3842" s="4" t="s">
        <v>435</v>
      </c>
      <c r="H3842" s="4" t="s">
        <v>15</v>
      </c>
      <c r="I3842" s="4" t="s">
        <v>159</v>
      </c>
      <c r="J3842" s="4" t="s">
        <v>213</v>
      </c>
      <c r="K3842" s="4" t="s">
        <v>20</v>
      </c>
      <c r="L3842" s="4" t="s">
        <v>3743</v>
      </c>
      <c r="M3842" s="4" t="s">
        <v>3746</v>
      </c>
      <c r="N3842" s="4" t="s">
        <v>3747</v>
      </c>
      <c r="O3842" s="17">
        <f>INDEX('список ID из СУЭ с должностями'!$A:$F,MATCH(E3842,'список ID из СУЭ с должностями'!$B:$B,0),5)</f>
        <v>0</v>
      </c>
    </row>
    <row r="3843" spans="1:15" ht="60">
      <c r="A3843" s="3" t="s">
        <v>10</v>
      </c>
      <c r="B3843" s="3" t="s">
        <v>11</v>
      </c>
      <c r="C3843" s="4">
        <v>2026</v>
      </c>
      <c r="D3843" s="5" t="s">
        <v>12</v>
      </c>
      <c r="E3843" s="4">
        <v>530</v>
      </c>
      <c r="F3843" s="4" t="s">
        <v>153</v>
      </c>
      <c r="G3843" s="4" t="s">
        <v>435</v>
      </c>
      <c r="H3843" s="4" t="s">
        <v>15</v>
      </c>
      <c r="I3843" s="4" t="s">
        <v>161</v>
      </c>
      <c r="J3843" s="4" t="s">
        <v>162</v>
      </c>
      <c r="K3843" s="4" t="s">
        <v>151</v>
      </c>
      <c r="L3843" s="4" t="s">
        <v>3743</v>
      </c>
      <c r="M3843" s="4" t="s">
        <v>3746</v>
      </c>
      <c r="N3843" s="4" t="s">
        <v>3747</v>
      </c>
      <c r="O3843" s="17">
        <f>INDEX('список ID из СУЭ с должностями'!$A:$F,MATCH(E3843,'список ID из СУЭ с должностями'!$B:$B,0),5)</f>
        <v>0</v>
      </c>
    </row>
    <row r="3844" spans="1:15" ht="60">
      <c r="A3844" s="3" t="s">
        <v>10</v>
      </c>
      <c r="B3844" s="3" t="s">
        <v>11</v>
      </c>
      <c r="C3844" s="4">
        <v>2026</v>
      </c>
      <c r="D3844" s="5" t="s">
        <v>12</v>
      </c>
      <c r="E3844" s="4">
        <v>530</v>
      </c>
      <c r="F3844" s="4" t="s">
        <v>153</v>
      </c>
      <c r="G3844" s="4" t="s">
        <v>435</v>
      </c>
      <c r="H3844" s="4" t="s">
        <v>41</v>
      </c>
      <c r="I3844" s="4" t="s">
        <v>165</v>
      </c>
      <c r="J3844" s="4" t="s">
        <v>166</v>
      </c>
      <c r="K3844" s="4" t="s">
        <v>151</v>
      </c>
      <c r="L3844" s="4" t="s">
        <v>3743</v>
      </c>
      <c r="M3844" s="4" t="s">
        <v>3746</v>
      </c>
      <c r="N3844" s="4" t="s">
        <v>3747</v>
      </c>
      <c r="O3844" s="17">
        <f>INDEX('список ID из СУЭ с должностями'!$A:$F,MATCH(E3844,'список ID из СУЭ с должностями'!$B:$B,0),5)</f>
        <v>0</v>
      </c>
    </row>
    <row r="3845" spans="1:15" ht="90">
      <c r="A3845" s="3" t="s">
        <v>10</v>
      </c>
      <c r="B3845" s="3" t="s">
        <v>11</v>
      </c>
      <c r="C3845" s="4">
        <v>2026</v>
      </c>
      <c r="D3845" s="5" t="s">
        <v>12</v>
      </c>
      <c r="E3845" s="4">
        <v>530</v>
      </c>
      <c r="F3845" s="4" t="s">
        <v>153</v>
      </c>
      <c r="G3845" s="4" t="s">
        <v>435</v>
      </c>
      <c r="H3845" s="4" t="s">
        <v>15</v>
      </c>
      <c r="I3845" s="4" t="s">
        <v>171</v>
      </c>
      <c r="J3845" s="4" t="s">
        <v>172</v>
      </c>
      <c r="K3845" s="4" t="s">
        <v>151</v>
      </c>
      <c r="L3845" s="4" t="s">
        <v>3743</v>
      </c>
      <c r="M3845" s="4" t="s">
        <v>3746</v>
      </c>
      <c r="N3845" s="4" t="s">
        <v>3747</v>
      </c>
      <c r="O3845" s="17">
        <f>INDEX('список ID из СУЭ с должностями'!$A:$F,MATCH(E3845,'список ID из СУЭ с должностями'!$B:$B,0),5)</f>
        <v>0</v>
      </c>
    </row>
    <row r="3846" spans="1:15" ht="135">
      <c r="A3846" s="3" t="s">
        <v>10</v>
      </c>
      <c r="B3846" s="3" t="s">
        <v>11</v>
      </c>
      <c r="C3846" s="4">
        <v>2026</v>
      </c>
      <c r="D3846" s="5" t="s">
        <v>12</v>
      </c>
      <c r="E3846" s="4">
        <v>530</v>
      </c>
      <c r="F3846" s="4" t="s">
        <v>153</v>
      </c>
      <c r="G3846" s="4" t="s">
        <v>435</v>
      </c>
      <c r="H3846" s="4" t="s">
        <v>15</v>
      </c>
      <c r="I3846" s="4" t="s">
        <v>167</v>
      </c>
      <c r="J3846" s="4" t="s">
        <v>214</v>
      </c>
      <c r="K3846" s="4" t="s">
        <v>20</v>
      </c>
      <c r="L3846" s="4" t="s">
        <v>3743</v>
      </c>
      <c r="M3846" s="4" t="s">
        <v>3746</v>
      </c>
      <c r="N3846" s="4" t="s">
        <v>3747</v>
      </c>
      <c r="O3846" s="17">
        <f>INDEX('список ID из СУЭ с должностями'!$A:$F,MATCH(E3846,'список ID из СУЭ с должностями'!$B:$B,0),5)</f>
        <v>0</v>
      </c>
    </row>
    <row r="3847" spans="1:15" ht="60">
      <c r="A3847" s="3" t="s">
        <v>10</v>
      </c>
      <c r="B3847" s="3" t="s">
        <v>11</v>
      </c>
      <c r="C3847" s="4">
        <v>2026</v>
      </c>
      <c r="D3847" s="5" t="s">
        <v>12</v>
      </c>
      <c r="E3847" s="4">
        <v>530</v>
      </c>
      <c r="F3847" s="4" t="s">
        <v>153</v>
      </c>
      <c r="G3847" s="4" t="s">
        <v>435</v>
      </c>
      <c r="H3847" s="4" t="s">
        <v>15</v>
      </c>
      <c r="I3847" s="4" t="s">
        <v>163</v>
      </c>
      <c r="J3847" s="4" t="s">
        <v>206</v>
      </c>
      <c r="K3847" s="4" t="s">
        <v>38</v>
      </c>
      <c r="L3847" s="4" t="s">
        <v>3742</v>
      </c>
      <c r="M3847" s="4" t="s">
        <v>3746</v>
      </c>
      <c r="N3847" s="4" t="s">
        <v>3747</v>
      </c>
      <c r="O3847" s="17">
        <f>INDEX('список ID из СУЭ с должностями'!$A:$F,MATCH(E3847,'список ID из СУЭ с должностями'!$B:$B,0),5)</f>
        <v>0</v>
      </c>
    </row>
    <row r="3848" spans="1:15" ht="60">
      <c r="A3848" s="3" t="s">
        <v>10</v>
      </c>
      <c r="B3848" s="3" t="s">
        <v>11</v>
      </c>
      <c r="C3848" s="4">
        <v>2026</v>
      </c>
      <c r="D3848" s="5" t="s">
        <v>12</v>
      </c>
      <c r="E3848" s="4">
        <v>530</v>
      </c>
      <c r="F3848" s="4" t="s">
        <v>153</v>
      </c>
      <c r="G3848" s="4" t="s">
        <v>435</v>
      </c>
      <c r="H3848" s="4" t="s">
        <v>15</v>
      </c>
      <c r="I3848" s="4" t="s">
        <v>215</v>
      </c>
      <c r="J3848" s="4" t="s">
        <v>211</v>
      </c>
      <c r="K3848" s="4" t="s">
        <v>151</v>
      </c>
      <c r="L3848" s="4" t="s">
        <v>3743</v>
      </c>
      <c r="M3848" s="4" t="s">
        <v>3746</v>
      </c>
      <c r="N3848" s="4" t="s">
        <v>3747</v>
      </c>
      <c r="O3848" s="17">
        <f>INDEX('список ID из СУЭ с должностями'!$A:$F,MATCH(E3848,'список ID из СУЭ с должностями'!$B:$B,0),5)</f>
        <v>0</v>
      </c>
    </row>
    <row r="3849" spans="1:15" ht="60">
      <c r="A3849" s="3" t="s">
        <v>10</v>
      </c>
      <c r="B3849" s="3" t="s">
        <v>11</v>
      </c>
      <c r="C3849" s="4">
        <v>2026</v>
      </c>
      <c r="D3849" s="5" t="s">
        <v>12</v>
      </c>
      <c r="E3849" s="4">
        <v>530</v>
      </c>
      <c r="F3849" s="4" t="s">
        <v>153</v>
      </c>
      <c r="G3849" s="4" t="s">
        <v>435</v>
      </c>
      <c r="H3849" s="4" t="s">
        <v>15</v>
      </c>
      <c r="I3849" s="4" t="s">
        <v>216</v>
      </c>
      <c r="J3849" s="4" t="s">
        <v>170</v>
      </c>
      <c r="K3849" s="4" t="s">
        <v>55</v>
      </c>
      <c r="L3849" s="4" t="s">
        <v>3743</v>
      </c>
      <c r="M3849" s="4" t="s">
        <v>3746</v>
      </c>
      <c r="N3849" s="4" t="s">
        <v>3747</v>
      </c>
      <c r="O3849" s="17">
        <f>INDEX('список ID из СУЭ с должностями'!$A:$F,MATCH(E3849,'список ID из СУЭ с должностями'!$B:$B,0),5)</f>
        <v>0</v>
      </c>
    </row>
    <row r="3850" spans="1:15" ht="45">
      <c r="A3850" s="3" t="s">
        <v>10</v>
      </c>
      <c r="B3850" s="3" t="s">
        <v>2</v>
      </c>
      <c r="C3850" s="4">
        <v>2026</v>
      </c>
      <c r="D3850" s="5" t="s">
        <v>12</v>
      </c>
      <c r="E3850" s="4">
        <v>531</v>
      </c>
      <c r="F3850" s="4" t="s">
        <v>71</v>
      </c>
      <c r="G3850" s="4" t="s">
        <v>68</v>
      </c>
      <c r="H3850" s="4" t="s">
        <v>41</v>
      </c>
      <c r="I3850" s="4" t="s">
        <v>3628</v>
      </c>
      <c r="J3850" s="4" t="s">
        <v>3629</v>
      </c>
      <c r="K3850" s="4" t="s">
        <v>23</v>
      </c>
      <c r="L3850" s="4" t="s">
        <v>3743</v>
      </c>
      <c r="M3850" s="4" t="s">
        <v>3748</v>
      </c>
      <c r="N3850" s="4" t="s">
        <v>3752</v>
      </c>
      <c r="O3850" s="17">
        <f>INDEX('список ID из СУЭ с должностями'!$A:$F,MATCH(E3850,'список ID из СУЭ с должностями'!$B:$B,0),5)</f>
        <v>0</v>
      </c>
    </row>
    <row r="3851" spans="1:15" ht="60">
      <c r="A3851" s="3" t="s">
        <v>10</v>
      </c>
      <c r="B3851" s="3" t="s">
        <v>2</v>
      </c>
      <c r="C3851" s="4">
        <v>2026</v>
      </c>
      <c r="D3851" s="5" t="s">
        <v>12</v>
      </c>
      <c r="E3851" s="4">
        <v>531</v>
      </c>
      <c r="F3851" s="4" t="s">
        <v>71</v>
      </c>
      <c r="G3851" s="4" t="s">
        <v>68</v>
      </c>
      <c r="H3851" s="4" t="s">
        <v>15</v>
      </c>
      <c r="I3851" s="4" t="s">
        <v>3630</v>
      </c>
      <c r="J3851" s="4" t="s">
        <v>3631</v>
      </c>
      <c r="K3851" s="4" t="s">
        <v>30</v>
      </c>
      <c r="L3851" s="4" t="s">
        <v>3743</v>
      </c>
      <c r="M3851" s="4" t="s">
        <v>3746</v>
      </c>
      <c r="N3851" s="4" t="s">
        <v>3747</v>
      </c>
      <c r="O3851" s="17">
        <f>INDEX('список ID из СУЭ с должностями'!$A:$F,MATCH(E3851,'список ID из СУЭ с должностями'!$B:$B,0),5)</f>
        <v>0</v>
      </c>
    </row>
    <row r="3852" spans="1:15" ht="270">
      <c r="A3852" s="3" t="s">
        <v>10</v>
      </c>
      <c r="B3852" s="3" t="s">
        <v>2</v>
      </c>
      <c r="C3852" s="4">
        <v>2026</v>
      </c>
      <c r="D3852" s="5" t="s">
        <v>12</v>
      </c>
      <c r="E3852" s="4">
        <v>531</v>
      </c>
      <c r="F3852" s="4" t="s">
        <v>71</v>
      </c>
      <c r="G3852" s="4" t="s">
        <v>68</v>
      </c>
      <c r="H3852" s="4" t="s">
        <v>41</v>
      </c>
      <c r="I3852" s="4" t="s">
        <v>3632</v>
      </c>
      <c r="J3852" s="4" t="s">
        <v>3633</v>
      </c>
      <c r="K3852" s="4" t="s">
        <v>2232</v>
      </c>
      <c r="L3852" s="4" t="s">
        <v>3743</v>
      </c>
      <c r="M3852" s="4" t="s">
        <v>3746</v>
      </c>
      <c r="N3852" s="4" t="s">
        <v>3775</v>
      </c>
      <c r="O3852" s="17">
        <f>INDEX('список ID из СУЭ с должностями'!$A:$F,MATCH(E3852,'список ID из СУЭ с должностями'!$B:$B,0),5)</f>
        <v>0</v>
      </c>
    </row>
    <row r="3853" spans="1:15" ht="60">
      <c r="A3853" s="3" t="s">
        <v>10</v>
      </c>
      <c r="B3853" s="3" t="s">
        <v>2</v>
      </c>
      <c r="C3853" s="4">
        <v>2026</v>
      </c>
      <c r="D3853" s="5" t="s">
        <v>12</v>
      </c>
      <c r="E3853" s="4">
        <v>531</v>
      </c>
      <c r="F3853" s="4" t="s">
        <v>71</v>
      </c>
      <c r="G3853" s="4" t="s">
        <v>68</v>
      </c>
      <c r="H3853" s="4" t="s">
        <v>15</v>
      </c>
      <c r="I3853" s="4" t="s">
        <v>3634</v>
      </c>
      <c r="J3853" s="4" t="s">
        <v>3635</v>
      </c>
      <c r="K3853" s="4" t="s">
        <v>30</v>
      </c>
      <c r="L3853" s="4" t="s">
        <v>3743</v>
      </c>
      <c r="M3853" s="4" t="s">
        <v>3746</v>
      </c>
      <c r="N3853" s="4" t="s">
        <v>3747</v>
      </c>
      <c r="O3853" s="17">
        <f>INDEX('список ID из СУЭ с должностями'!$A:$F,MATCH(E3853,'список ID из СУЭ с должностями'!$B:$B,0),5)</f>
        <v>0</v>
      </c>
    </row>
    <row r="3854" spans="1:15" ht="165">
      <c r="A3854" s="3" t="s">
        <v>10</v>
      </c>
      <c r="B3854" s="3" t="s">
        <v>2</v>
      </c>
      <c r="C3854" s="4">
        <v>2026</v>
      </c>
      <c r="D3854" s="5" t="s">
        <v>12</v>
      </c>
      <c r="E3854" s="4">
        <v>531</v>
      </c>
      <c r="F3854" s="4" t="s">
        <v>71</v>
      </c>
      <c r="G3854" s="4" t="s">
        <v>68</v>
      </c>
      <c r="H3854" s="4" t="s">
        <v>41</v>
      </c>
      <c r="I3854" s="4" t="s">
        <v>2772</v>
      </c>
      <c r="J3854" s="4" t="s">
        <v>2773</v>
      </c>
      <c r="K3854" s="4" t="s">
        <v>2238</v>
      </c>
      <c r="L3854" s="4" t="s">
        <v>3743</v>
      </c>
      <c r="M3854" s="4" t="s">
        <v>3746</v>
      </c>
      <c r="N3854" s="4" t="s">
        <v>3775</v>
      </c>
      <c r="O3854" s="17">
        <f>INDEX('список ID из СУЭ с должностями'!$A:$F,MATCH(E3854,'список ID из СУЭ с должностями'!$B:$B,0),5)</f>
        <v>0</v>
      </c>
    </row>
    <row r="3855" spans="1:15" ht="135">
      <c r="A3855" s="3" t="s">
        <v>10</v>
      </c>
      <c r="B3855" s="3" t="s">
        <v>11</v>
      </c>
      <c r="C3855" s="4">
        <v>2026</v>
      </c>
      <c r="D3855" s="5" t="s">
        <v>12</v>
      </c>
      <c r="E3855" s="4">
        <v>532</v>
      </c>
      <c r="F3855" s="4" t="s">
        <v>280</v>
      </c>
      <c r="G3855" s="4" t="s">
        <v>3147</v>
      </c>
      <c r="H3855" s="4" t="s">
        <v>15</v>
      </c>
      <c r="I3855" s="4" t="s">
        <v>806</v>
      </c>
      <c r="J3855" s="4" t="s">
        <v>2373</v>
      </c>
      <c r="K3855" s="4" t="s">
        <v>38</v>
      </c>
      <c r="L3855" s="4" t="s">
        <v>3743</v>
      </c>
      <c r="M3855" s="4" t="s">
        <v>3746</v>
      </c>
      <c r="N3855" s="4" t="s">
        <v>3747</v>
      </c>
      <c r="O3855" s="17">
        <f>INDEX('список ID из СУЭ с должностями'!$A:$F,MATCH(E3855,'список ID из СУЭ с должностями'!$B:$B,0),5)</f>
        <v>0</v>
      </c>
    </row>
    <row r="3856" spans="1:15" ht="360">
      <c r="A3856" s="3" t="s">
        <v>10</v>
      </c>
      <c r="B3856" s="3" t="s">
        <v>11</v>
      </c>
      <c r="C3856" s="4">
        <v>2026</v>
      </c>
      <c r="D3856" s="5" t="s">
        <v>12</v>
      </c>
      <c r="E3856" s="4">
        <v>532</v>
      </c>
      <c r="F3856" s="4" t="s">
        <v>280</v>
      </c>
      <c r="G3856" s="4" t="s">
        <v>3147</v>
      </c>
      <c r="H3856" s="4" t="s">
        <v>15</v>
      </c>
      <c r="I3856" s="4" t="s">
        <v>2357</v>
      </c>
      <c r="J3856" s="4" t="s">
        <v>3148</v>
      </c>
      <c r="K3856" s="4" t="s">
        <v>25</v>
      </c>
      <c r="L3856" s="4" t="s">
        <v>3743</v>
      </c>
      <c r="M3856" s="4" t="s">
        <v>3746</v>
      </c>
      <c r="N3856" s="4" t="s">
        <v>3747</v>
      </c>
      <c r="O3856" s="17">
        <f>INDEX('список ID из СУЭ с должностями'!$A:$F,MATCH(E3856,'список ID из СУЭ с должностями'!$B:$B,0),5)</f>
        <v>0</v>
      </c>
    </row>
    <row r="3857" spans="1:15" ht="195">
      <c r="A3857" s="3" t="s">
        <v>10</v>
      </c>
      <c r="B3857" s="3" t="s">
        <v>11</v>
      </c>
      <c r="C3857" s="4">
        <v>2026</v>
      </c>
      <c r="D3857" s="5" t="s">
        <v>12</v>
      </c>
      <c r="E3857" s="4">
        <v>532</v>
      </c>
      <c r="F3857" s="4" t="s">
        <v>280</v>
      </c>
      <c r="G3857" s="4" t="s">
        <v>3147</v>
      </c>
      <c r="H3857" s="4" t="s">
        <v>15</v>
      </c>
      <c r="I3857" s="4" t="s">
        <v>147</v>
      </c>
      <c r="J3857" s="4" t="s">
        <v>3636</v>
      </c>
      <c r="K3857" s="4" t="s">
        <v>35</v>
      </c>
      <c r="L3857" s="4" t="s">
        <v>3743</v>
      </c>
      <c r="M3857" s="4" t="s">
        <v>3746</v>
      </c>
      <c r="N3857" s="4" t="s">
        <v>3747</v>
      </c>
      <c r="O3857" s="17">
        <f>INDEX('список ID из СУЭ с должностями'!$A:$F,MATCH(E3857,'список ID из СУЭ с должностями'!$B:$B,0),5)</f>
        <v>0</v>
      </c>
    </row>
    <row r="3858" spans="1:15" ht="360">
      <c r="A3858" s="3" t="s">
        <v>10</v>
      </c>
      <c r="B3858" s="3" t="s">
        <v>11</v>
      </c>
      <c r="C3858" s="4">
        <v>2026</v>
      </c>
      <c r="D3858" s="5" t="s">
        <v>12</v>
      </c>
      <c r="E3858" s="4">
        <v>532</v>
      </c>
      <c r="F3858" s="4" t="s">
        <v>280</v>
      </c>
      <c r="G3858" s="4" t="s">
        <v>3147</v>
      </c>
      <c r="H3858" s="4" t="s">
        <v>15</v>
      </c>
      <c r="I3858" s="4" t="s">
        <v>303</v>
      </c>
      <c r="J3858" s="4" t="s">
        <v>3637</v>
      </c>
      <c r="K3858" s="4" t="s">
        <v>66</v>
      </c>
      <c r="L3858" s="4" t="s">
        <v>3743</v>
      </c>
      <c r="M3858" s="4" t="s">
        <v>3746</v>
      </c>
      <c r="N3858" s="4" t="s">
        <v>3747</v>
      </c>
      <c r="O3858" s="17">
        <f>INDEX('список ID из СУЭ с должностями'!$A:$F,MATCH(E3858,'список ID из СУЭ с должностями'!$B:$B,0),5)</f>
        <v>0</v>
      </c>
    </row>
    <row r="3859" spans="1:15" ht="255">
      <c r="A3859" s="3" t="s">
        <v>10</v>
      </c>
      <c r="B3859" s="3" t="s">
        <v>11</v>
      </c>
      <c r="C3859" s="4">
        <v>2026</v>
      </c>
      <c r="D3859" s="5" t="s">
        <v>12</v>
      </c>
      <c r="E3859" s="4">
        <v>532</v>
      </c>
      <c r="F3859" s="4" t="s">
        <v>280</v>
      </c>
      <c r="G3859" s="4" t="s">
        <v>3147</v>
      </c>
      <c r="H3859" s="4" t="s">
        <v>15</v>
      </c>
      <c r="I3859" s="4" t="s">
        <v>149</v>
      </c>
      <c r="J3859" s="4" t="s">
        <v>3150</v>
      </c>
      <c r="K3859" s="4" t="s">
        <v>30</v>
      </c>
      <c r="L3859" s="4" t="s">
        <v>3743</v>
      </c>
      <c r="M3859" s="4" t="s">
        <v>3746</v>
      </c>
      <c r="N3859" s="4" t="s">
        <v>3747</v>
      </c>
      <c r="O3859" s="17">
        <f>INDEX('список ID из СУЭ с должностями'!$A:$F,MATCH(E3859,'список ID из СУЭ с должностями'!$B:$B,0),5)</f>
        <v>0</v>
      </c>
    </row>
    <row r="3860" spans="1:15" ht="195">
      <c r="A3860" s="3" t="s">
        <v>10</v>
      </c>
      <c r="B3860" s="3" t="s">
        <v>11</v>
      </c>
      <c r="C3860" s="4">
        <v>2026</v>
      </c>
      <c r="D3860" s="5" t="s">
        <v>12</v>
      </c>
      <c r="E3860" s="4">
        <v>533</v>
      </c>
      <c r="F3860" s="4" t="s">
        <v>3638</v>
      </c>
      <c r="G3860" s="4" t="s">
        <v>1451</v>
      </c>
      <c r="H3860" s="4" t="s">
        <v>15</v>
      </c>
      <c r="I3860" s="4" t="s">
        <v>3639</v>
      </c>
      <c r="J3860" s="4" t="s">
        <v>3640</v>
      </c>
      <c r="K3860" s="4" t="s">
        <v>23</v>
      </c>
      <c r="L3860" s="4" t="s">
        <v>3743</v>
      </c>
      <c r="M3860" s="4" t="s">
        <v>3748</v>
      </c>
      <c r="N3860" s="4" t="s">
        <v>3749</v>
      </c>
      <c r="O3860" s="17">
        <f>INDEX('список ID из СУЭ с должностями'!$A:$F,MATCH(E3860,'список ID из СУЭ с должностями'!$B:$B,0),5)</f>
        <v>0</v>
      </c>
    </row>
    <row r="3861" spans="1:15" ht="210">
      <c r="A3861" s="3" t="s">
        <v>10</v>
      </c>
      <c r="B3861" s="3" t="s">
        <v>11</v>
      </c>
      <c r="C3861" s="4">
        <v>2026</v>
      </c>
      <c r="D3861" s="5" t="s">
        <v>12</v>
      </c>
      <c r="E3861" s="4">
        <v>533</v>
      </c>
      <c r="F3861" s="4" t="s">
        <v>3638</v>
      </c>
      <c r="G3861" s="4" t="s">
        <v>1451</v>
      </c>
      <c r="H3861" s="4" t="s">
        <v>41</v>
      </c>
      <c r="I3861" s="4" t="s">
        <v>855</v>
      </c>
      <c r="J3861" s="4" t="s">
        <v>3641</v>
      </c>
      <c r="K3861" s="4" t="s">
        <v>1467</v>
      </c>
      <c r="L3861" s="4" t="s">
        <v>3743</v>
      </c>
      <c r="M3861" s="4" t="s">
        <v>3746</v>
      </c>
      <c r="N3861" s="4" t="s">
        <v>3767</v>
      </c>
      <c r="O3861" s="17">
        <f>INDEX('список ID из СУЭ с должностями'!$A:$F,MATCH(E3861,'список ID из СУЭ с должностями'!$B:$B,0),5)</f>
        <v>0</v>
      </c>
    </row>
    <row r="3862" spans="1:15" ht="150">
      <c r="A3862" s="3" t="s">
        <v>10</v>
      </c>
      <c r="B3862" s="3" t="s">
        <v>11</v>
      </c>
      <c r="C3862" s="4">
        <v>2026</v>
      </c>
      <c r="D3862" s="5" t="s">
        <v>12</v>
      </c>
      <c r="E3862" s="4">
        <v>533</v>
      </c>
      <c r="F3862" s="4" t="s">
        <v>3638</v>
      </c>
      <c r="G3862" s="4" t="s">
        <v>1451</v>
      </c>
      <c r="H3862" s="4" t="s">
        <v>41</v>
      </c>
      <c r="I3862" s="4" t="s">
        <v>3642</v>
      </c>
      <c r="J3862" s="4" t="s">
        <v>3643</v>
      </c>
      <c r="K3862" s="4" t="s">
        <v>1462</v>
      </c>
      <c r="L3862" s="4" t="s">
        <v>3743</v>
      </c>
      <c r="M3862" s="4" t="s">
        <v>3746</v>
      </c>
      <c r="N3862" s="4" t="s">
        <v>3767</v>
      </c>
      <c r="O3862" s="17">
        <f>INDEX('список ID из СУЭ с должностями'!$A:$F,MATCH(E3862,'список ID из СУЭ с должностями'!$B:$B,0),5)</f>
        <v>0</v>
      </c>
    </row>
    <row r="3863" spans="1:15" ht="120">
      <c r="A3863" s="3" t="s">
        <v>10</v>
      </c>
      <c r="B3863" s="3" t="s">
        <v>11</v>
      </c>
      <c r="C3863" s="4">
        <v>2026</v>
      </c>
      <c r="D3863" s="5" t="s">
        <v>12</v>
      </c>
      <c r="E3863" s="4">
        <v>533</v>
      </c>
      <c r="F3863" s="4" t="s">
        <v>3638</v>
      </c>
      <c r="G3863" s="4" t="s">
        <v>1451</v>
      </c>
      <c r="H3863" s="4" t="s">
        <v>21</v>
      </c>
      <c r="I3863" s="4" t="s">
        <v>3644</v>
      </c>
      <c r="J3863" s="4" t="s">
        <v>3645</v>
      </c>
      <c r="K3863" s="4" t="s">
        <v>3646</v>
      </c>
      <c r="L3863" s="4" t="s">
        <v>3743</v>
      </c>
      <c r="M3863" s="4" t="s">
        <v>3746</v>
      </c>
      <c r="N3863" s="4" t="s">
        <v>3767</v>
      </c>
      <c r="O3863" s="17">
        <f>INDEX('список ID из СУЭ с должностями'!$A:$F,MATCH(E3863,'список ID из СУЭ с должностями'!$B:$B,0),5)</f>
        <v>0</v>
      </c>
    </row>
    <row r="3864" spans="1:15" ht="120">
      <c r="A3864" s="3" t="s">
        <v>10</v>
      </c>
      <c r="B3864" s="3" t="s">
        <v>11</v>
      </c>
      <c r="C3864" s="4">
        <v>2026</v>
      </c>
      <c r="D3864" s="5" t="s">
        <v>12</v>
      </c>
      <c r="E3864" s="4">
        <v>533</v>
      </c>
      <c r="F3864" s="4" t="s">
        <v>3638</v>
      </c>
      <c r="G3864" s="4" t="s">
        <v>1451</v>
      </c>
      <c r="H3864" s="4" t="s">
        <v>21</v>
      </c>
      <c r="I3864" s="4" t="s">
        <v>3647</v>
      </c>
      <c r="J3864" s="4" t="s">
        <v>3648</v>
      </c>
      <c r="K3864" s="4" t="s">
        <v>1470</v>
      </c>
      <c r="L3864" s="4" t="s">
        <v>3743</v>
      </c>
      <c r="M3864" s="4" t="s">
        <v>3746</v>
      </c>
      <c r="N3864" s="4" t="s">
        <v>3767</v>
      </c>
      <c r="O3864" s="17">
        <f>INDEX('список ID из СУЭ с должностями'!$A:$F,MATCH(E3864,'список ID из СУЭ с должностями'!$B:$B,0),5)</f>
        <v>0</v>
      </c>
    </row>
    <row r="3865" spans="1:15" ht="240">
      <c r="A3865" s="3" t="s">
        <v>10</v>
      </c>
      <c r="B3865" s="3" t="s">
        <v>11</v>
      </c>
      <c r="C3865" s="4">
        <v>2026</v>
      </c>
      <c r="D3865" s="5" t="s">
        <v>12</v>
      </c>
      <c r="E3865" s="4">
        <v>533</v>
      </c>
      <c r="F3865" s="4" t="s">
        <v>3638</v>
      </c>
      <c r="G3865" s="4" t="s">
        <v>1451</v>
      </c>
      <c r="H3865" s="4" t="s">
        <v>41</v>
      </c>
      <c r="I3865" s="4" t="s">
        <v>3649</v>
      </c>
      <c r="J3865" s="4" t="s">
        <v>3650</v>
      </c>
      <c r="K3865" s="4" t="s">
        <v>220</v>
      </c>
      <c r="L3865" s="4" t="s">
        <v>3743</v>
      </c>
      <c r="M3865" s="4" t="s">
        <v>3753</v>
      </c>
      <c r="N3865" s="4" t="s">
        <v>3747</v>
      </c>
      <c r="O3865" s="17">
        <f>INDEX('список ID из СУЭ с должностями'!$A:$F,MATCH(E3865,'список ID из СУЭ с должностями'!$B:$B,0),5)</f>
        <v>0</v>
      </c>
    </row>
    <row r="3866" spans="1:15" ht="150">
      <c r="A3866" s="3" t="s">
        <v>10</v>
      </c>
      <c r="B3866" s="3" t="s">
        <v>11</v>
      </c>
      <c r="C3866" s="4">
        <v>2026</v>
      </c>
      <c r="D3866" s="5" t="s">
        <v>12</v>
      </c>
      <c r="E3866" s="4">
        <v>533</v>
      </c>
      <c r="F3866" s="4" t="s">
        <v>3638</v>
      </c>
      <c r="G3866" s="4" t="s">
        <v>1451</v>
      </c>
      <c r="H3866" s="4" t="s">
        <v>41</v>
      </c>
      <c r="I3866" s="4" t="s">
        <v>1460</v>
      </c>
      <c r="J3866" s="4" t="s">
        <v>3651</v>
      </c>
      <c r="K3866" s="4" t="s">
        <v>1462</v>
      </c>
      <c r="L3866" s="4" t="s">
        <v>3743</v>
      </c>
      <c r="M3866" s="4" t="s">
        <v>3746</v>
      </c>
      <c r="N3866" s="4" t="s">
        <v>3767</v>
      </c>
      <c r="O3866" s="17">
        <f>INDEX('список ID из СУЭ с должностями'!$A:$F,MATCH(E3866,'список ID из СУЭ с должностями'!$B:$B,0),5)</f>
        <v>0</v>
      </c>
    </row>
    <row r="3867" spans="1:15" ht="75">
      <c r="A3867" s="3" t="s">
        <v>10</v>
      </c>
      <c r="B3867" s="3" t="s">
        <v>11</v>
      </c>
      <c r="C3867" s="4">
        <v>2026</v>
      </c>
      <c r="D3867" s="5" t="s">
        <v>12</v>
      </c>
      <c r="E3867" s="4">
        <v>533</v>
      </c>
      <c r="F3867" s="4" t="s">
        <v>3638</v>
      </c>
      <c r="G3867" s="4" t="s">
        <v>1451</v>
      </c>
      <c r="H3867" s="4" t="s">
        <v>41</v>
      </c>
      <c r="I3867" s="4" t="s">
        <v>1468</v>
      </c>
      <c r="J3867" s="4" t="s">
        <v>3652</v>
      </c>
      <c r="K3867" s="4" t="s">
        <v>1470</v>
      </c>
      <c r="L3867" s="4" t="s">
        <v>3743</v>
      </c>
      <c r="M3867" s="4" t="s">
        <v>3746</v>
      </c>
      <c r="N3867" s="4" t="s">
        <v>3767</v>
      </c>
      <c r="O3867" s="17">
        <f>INDEX('список ID из СУЭ с должностями'!$A:$F,MATCH(E3867,'список ID из СУЭ с должностями'!$B:$B,0),5)</f>
        <v>0</v>
      </c>
    </row>
    <row r="3868" spans="1:15" ht="105">
      <c r="A3868" s="3" t="s">
        <v>10</v>
      </c>
      <c r="B3868" s="3" t="s">
        <v>11</v>
      </c>
      <c r="C3868" s="4">
        <v>2026</v>
      </c>
      <c r="D3868" s="5" t="s">
        <v>12</v>
      </c>
      <c r="E3868" s="4">
        <v>533</v>
      </c>
      <c r="F3868" s="4" t="s">
        <v>3638</v>
      </c>
      <c r="G3868" s="4" t="s">
        <v>1451</v>
      </c>
      <c r="H3868" s="4" t="s">
        <v>41</v>
      </c>
      <c r="I3868" s="4" t="s">
        <v>3653</v>
      </c>
      <c r="J3868" s="4" t="s">
        <v>3654</v>
      </c>
      <c r="K3868" s="4" t="s">
        <v>25</v>
      </c>
      <c r="L3868" s="4" t="s">
        <v>3743</v>
      </c>
      <c r="M3868" s="4" t="s">
        <v>3746</v>
      </c>
      <c r="N3868" s="4" t="s">
        <v>3747</v>
      </c>
      <c r="O3868" s="17">
        <f>INDEX('список ID из СУЭ с должностями'!$A:$F,MATCH(E3868,'список ID из СУЭ с должностями'!$B:$B,0),5)</f>
        <v>0</v>
      </c>
    </row>
    <row r="3869" spans="1:15" ht="135">
      <c r="A3869" s="3" t="s">
        <v>10</v>
      </c>
      <c r="B3869" s="3" t="s">
        <v>11</v>
      </c>
      <c r="C3869" s="4">
        <v>2026</v>
      </c>
      <c r="D3869" s="5" t="s">
        <v>12</v>
      </c>
      <c r="E3869" s="4">
        <v>534</v>
      </c>
      <c r="F3869" s="4" t="s">
        <v>403</v>
      </c>
      <c r="G3869" s="4" t="s">
        <v>436</v>
      </c>
      <c r="H3869" s="4" t="s">
        <v>15</v>
      </c>
      <c r="I3869" s="4" t="s">
        <v>907</v>
      </c>
      <c r="J3869" s="4" t="s">
        <v>3655</v>
      </c>
      <c r="K3869" s="4" t="s">
        <v>30</v>
      </c>
      <c r="L3869" s="4" t="s">
        <v>3743</v>
      </c>
      <c r="M3869" s="4" t="s">
        <v>3746</v>
      </c>
      <c r="N3869" s="4" t="s">
        <v>3747</v>
      </c>
      <c r="O3869" s="17">
        <f>INDEX('список ID из СУЭ с должностями'!$A:$F,MATCH(E3869,'список ID из СУЭ с должностями'!$B:$B,0),5)</f>
        <v>0</v>
      </c>
    </row>
    <row r="3870" spans="1:15" ht="75">
      <c r="A3870" s="3" t="s">
        <v>10</v>
      </c>
      <c r="B3870" s="3" t="s">
        <v>11</v>
      </c>
      <c r="C3870" s="4">
        <v>2026</v>
      </c>
      <c r="D3870" s="5" t="s">
        <v>12</v>
      </c>
      <c r="E3870" s="4">
        <v>534</v>
      </c>
      <c r="F3870" s="4" t="s">
        <v>403</v>
      </c>
      <c r="G3870" s="4" t="s">
        <v>436</v>
      </c>
      <c r="H3870" s="4" t="s">
        <v>15</v>
      </c>
      <c r="I3870" s="4" t="s">
        <v>1569</v>
      </c>
      <c r="J3870" s="4" t="s">
        <v>1570</v>
      </c>
      <c r="K3870" s="4" t="s">
        <v>66</v>
      </c>
      <c r="L3870" s="4" t="s">
        <v>3742</v>
      </c>
      <c r="M3870" s="4" t="s">
        <v>3746</v>
      </c>
      <c r="N3870" s="4" t="s">
        <v>3747</v>
      </c>
      <c r="O3870" s="17">
        <f>INDEX('список ID из СУЭ с должностями'!$A:$F,MATCH(E3870,'список ID из СУЭ с должностями'!$B:$B,0),5)</f>
        <v>0</v>
      </c>
    </row>
    <row r="3871" spans="1:15" ht="120">
      <c r="A3871" s="3" t="s">
        <v>10</v>
      </c>
      <c r="B3871" s="3" t="s">
        <v>11</v>
      </c>
      <c r="C3871" s="4">
        <v>2026</v>
      </c>
      <c r="D3871" s="5" t="s">
        <v>12</v>
      </c>
      <c r="E3871" s="4">
        <v>534</v>
      </c>
      <c r="F3871" s="4" t="s">
        <v>403</v>
      </c>
      <c r="G3871" s="4" t="s">
        <v>436</v>
      </c>
      <c r="H3871" s="4" t="s">
        <v>15</v>
      </c>
      <c r="I3871" s="4" t="s">
        <v>439</v>
      </c>
      <c r="J3871" s="4" t="s">
        <v>3656</v>
      </c>
      <c r="K3871" s="4" t="s">
        <v>55</v>
      </c>
      <c r="L3871" s="4" t="s">
        <v>3743</v>
      </c>
      <c r="M3871" s="4" t="s">
        <v>3746</v>
      </c>
      <c r="N3871" s="4" t="s">
        <v>3747</v>
      </c>
      <c r="O3871" s="17">
        <f>INDEX('список ID из СУЭ с должностями'!$A:$F,MATCH(E3871,'список ID из СУЭ с должностями'!$B:$B,0),5)</f>
        <v>0</v>
      </c>
    </row>
    <row r="3872" spans="1:15" ht="195">
      <c r="A3872" s="3" t="s">
        <v>10</v>
      </c>
      <c r="B3872" s="3" t="s">
        <v>11</v>
      </c>
      <c r="C3872" s="4">
        <v>2026</v>
      </c>
      <c r="D3872" s="5" t="s">
        <v>12</v>
      </c>
      <c r="E3872" s="4">
        <v>534</v>
      </c>
      <c r="F3872" s="4" t="s">
        <v>403</v>
      </c>
      <c r="G3872" s="4" t="s">
        <v>436</v>
      </c>
      <c r="H3872" s="4" t="s">
        <v>15</v>
      </c>
      <c r="I3872" s="4" t="s">
        <v>408</v>
      </c>
      <c r="J3872" s="4" t="s">
        <v>3657</v>
      </c>
      <c r="K3872" s="4" t="s">
        <v>35</v>
      </c>
      <c r="L3872" s="4" t="s">
        <v>3743</v>
      </c>
      <c r="M3872" s="4" t="s">
        <v>3746</v>
      </c>
      <c r="N3872" s="4" t="s">
        <v>3747</v>
      </c>
      <c r="O3872" s="17">
        <f>INDEX('список ID из СУЭ с должностями'!$A:$F,MATCH(E3872,'список ID из СУЭ с должностями'!$B:$B,0),5)</f>
        <v>0</v>
      </c>
    </row>
    <row r="3873" spans="1:15" ht="60">
      <c r="A3873" s="3" t="s">
        <v>10</v>
      </c>
      <c r="B3873" s="3" t="s">
        <v>11</v>
      </c>
      <c r="C3873" s="4">
        <v>2026</v>
      </c>
      <c r="D3873" s="5" t="s">
        <v>12</v>
      </c>
      <c r="E3873" s="4">
        <v>535</v>
      </c>
      <c r="F3873" s="4" t="s">
        <v>84</v>
      </c>
      <c r="G3873" s="4" t="s">
        <v>68</v>
      </c>
      <c r="H3873" s="4" t="s">
        <v>15</v>
      </c>
      <c r="I3873" s="4" t="s">
        <v>3658</v>
      </c>
      <c r="J3873" s="4" t="s">
        <v>3659</v>
      </c>
      <c r="K3873" s="4" t="s">
        <v>23</v>
      </c>
      <c r="L3873" s="4" t="s">
        <v>3743</v>
      </c>
      <c r="M3873" s="4" t="s">
        <v>3748</v>
      </c>
      <c r="N3873" s="4" t="s">
        <v>3752</v>
      </c>
      <c r="O3873" s="17">
        <f>INDEX('список ID из СУЭ с должностями'!$A:$F,MATCH(E3873,'список ID из СУЭ с должностями'!$B:$B,0),5)</f>
        <v>0</v>
      </c>
    </row>
    <row r="3874" spans="1:15" ht="90">
      <c r="A3874" s="3" t="s">
        <v>10</v>
      </c>
      <c r="B3874" s="3" t="s">
        <v>11</v>
      </c>
      <c r="C3874" s="4">
        <v>2026</v>
      </c>
      <c r="D3874" s="5" t="s">
        <v>12</v>
      </c>
      <c r="E3874" s="4">
        <v>535</v>
      </c>
      <c r="F3874" s="4" t="s">
        <v>84</v>
      </c>
      <c r="G3874" s="4" t="s">
        <v>68</v>
      </c>
      <c r="H3874" s="4" t="s">
        <v>15</v>
      </c>
      <c r="I3874" s="4" t="s">
        <v>3660</v>
      </c>
      <c r="J3874" s="4" t="s">
        <v>3661</v>
      </c>
      <c r="K3874" s="4" t="s">
        <v>23</v>
      </c>
      <c r="L3874" s="4" t="s">
        <v>3743</v>
      </c>
      <c r="M3874" s="4" t="s">
        <v>3748</v>
      </c>
      <c r="N3874" s="4" t="s">
        <v>3752</v>
      </c>
      <c r="O3874" s="17">
        <f>INDEX('список ID из СУЭ с должностями'!$A:$F,MATCH(E3874,'список ID из СУЭ с должностями'!$B:$B,0),5)</f>
        <v>0</v>
      </c>
    </row>
    <row r="3875" spans="1:15" ht="45">
      <c r="A3875" s="3" t="s">
        <v>10</v>
      </c>
      <c r="B3875" s="3" t="s">
        <v>11</v>
      </c>
      <c r="C3875" s="4">
        <v>2026</v>
      </c>
      <c r="D3875" s="5" t="s">
        <v>12</v>
      </c>
      <c r="E3875" s="4">
        <v>535</v>
      </c>
      <c r="F3875" s="4" t="s">
        <v>84</v>
      </c>
      <c r="G3875" s="4" t="s">
        <v>68</v>
      </c>
      <c r="H3875" s="4" t="s">
        <v>15</v>
      </c>
      <c r="I3875" s="4" t="s">
        <v>3662</v>
      </c>
      <c r="J3875" s="4" t="s">
        <v>3663</v>
      </c>
      <c r="K3875" s="4" t="s">
        <v>23</v>
      </c>
      <c r="L3875" s="4" t="s">
        <v>3743</v>
      </c>
      <c r="M3875" s="4" t="s">
        <v>3748</v>
      </c>
      <c r="N3875" s="4" t="s">
        <v>3752</v>
      </c>
      <c r="O3875" s="17">
        <f>INDEX('список ID из СУЭ с должностями'!$A:$F,MATCH(E3875,'список ID из СУЭ с должностями'!$B:$B,0),5)</f>
        <v>0</v>
      </c>
    </row>
    <row r="3876" spans="1:15" ht="45">
      <c r="A3876" s="3" t="s">
        <v>10</v>
      </c>
      <c r="B3876" s="3" t="s">
        <v>11</v>
      </c>
      <c r="C3876" s="4">
        <v>2026</v>
      </c>
      <c r="D3876" s="5" t="s">
        <v>12</v>
      </c>
      <c r="E3876" s="4">
        <v>535</v>
      </c>
      <c r="F3876" s="4" t="s">
        <v>84</v>
      </c>
      <c r="G3876" s="4" t="s">
        <v>68</v>
      </c>
      <c r="H3876" s="4" t="s">
        <v>15</v>
      </c>
      <c r="I3876" s="4" t="s">
        <v>3664</v>
      </c>
      <c r="J3876" s="4" t="s">
        <v>3665</v>
      </c>
      <c r="K3876" s="4" t="s">
        <v>23</v>
      </c>
      <c r="L3876" s="4" t="s">
        <v>3743</v>
      </c>
      <c r="M3876" s="4" t="s">
        <v>3748</v>
      </c>
      <c r="N3876" s="4" t="s">
        <v>3752</v>
      </c>
      <c r="O3876" s="17">
        <f>INDEX('список ID из СУЭ с должностями'!$A:$F,MATCH(E3876,'список ID из СУЭ с должностями'!$B:$B,0),5)</f>
        <v>0</v>
      </c>
    </row>
    <row r="3877" spans="1:15" ht="210">
      <c r="A3877" s="3" t="s">
        <v>10</v>
      </c>
      <c r="B3877" s="3" t="s">
        <v>11</v>
      </c>
      <c r="C3877" s="4">
        <v>2026</v>
      </c>
      <c r="D3877" s="5" t="s">
        <v>12</v>
      </c>
      <c r="E3877" s="4">
        <v>536</v>
      </c>
      <c r="F3877" s="4" t="s">
        <v>3666</v>
      </c>
      <c r="G3877" s="4" t="s">
        <v>3667</v>
      </c>
      <c r="H3877" s="4" t="s">
        <v>15</v>
      </c>
      <c r="I3877" s="4" t="s">
        <v>3668</v>
      </c>
      <c r="J3877" s="4" t="s">
        <v>3669</v>
      </c>
      <c r="K3877" s="4" t="s">
        <v>20</v>
      </c>
      <c r="L3877" s="4" t="s">
        <v>3743</v>
      </c>
      <c r="M3877" s="4" t="s">
        <v>3746</v>
      </c>
      <c r="N3877" s="4" t="s">
        <v>3747</v>
      </c>
      <c r="O3877" s="17">
        <f>INDEX('список ID из СУЭ с должностями'!$A:$F,MATCH(E3877,'список ID из СУЭ с должностями'!$B:$B,0),5)</f>
        <v>0</v>
      </c>
    </row>
    <row r="3878" spans="1:15" ht="75">
      <c r="A3878" s="3" t="s">
        <v>10</v>
      </c>
      <c r="B3878" s="3" t="s">
        <v>11</v>
      </c>
      <c r="C3878" s="4">
        <v>2026</v>
      </c>
      <c r="D3878" s="5" t="s">
        <v>12</v>
      </c>
      <c r="E3878" s="4">
        <v>536</v>
      </c>
      <c r="F3878" s="4" t="s">
        <v>3666</v>
      </c>
      <c r="G3878" s="4" t="s">
        <v>3667</v>
      </c>
      <c r="H3878" s="4" t="s">
        <v>15</v>
      </c>
      <c r="I3878" s="4" t="s">
        <v>3670</v>
      </c>
      <c r="J3878" s="4" t="s">
        <v>3671</v>
      </c>
      <c r="K3878" s="4" t="s">
        <v>20</v>
      </c>
      <c r="L3878" s="4" t="s">
        <v>3742</v>
      </c>
      <c r="M3878" s="4" t="s">
        <v>3746</v>
      </c>
      <c r="N3878" s="4" t="s">
        <v>3747</v>
      </c>
      <c r="O3878" s="17">
        <f>INDEX('список ID из СУЭ с должностями'!$A:$F,MATCH(E3878,'список ID из СУЭ с должностями'!$B:$B,0),5)</f>
        <v>0</v>
      </c>
    </row>
    <row r="3879" spans="1:15" ht="60">
      <c r="A3879" s="3" t="s">
        <v>10</v>
      </c>
      <c r="B3879" s="3" t="s">
        <v>11</v>
      </c>
      <c r="C3879" s="4">
        <v>2026</v>
      </c>
      <c r="D3879" s="5" t="s">
        <v>12</v>
      </c>
      <c r="E3879" s="4">
        <v>536</v>
      </c>
      <c r="F3879" s="4" t="s">
        <v>3666</v>
      </c>
      <c r="G3879" s="4" t="s">
        <v>3667</v>
      </c>
      <c r="H3879" s="4" t="s">
        <v>41</v>
      </c>
      <c r="I3879" s="4" t="s">
        <v>3672</v>
      </c>
      <c r="J3879" s="4" t="s">
        <v>3673</v>
      </c>
      <c r="K3879" s="4" t="s">
        <v>23</v>
      </c>
      <c r="L3879" s="4" t="s">
        <v>3743</v>
      </c>
      <c r="M3879" s="4" t="s">
        <v>3748</v>
      </c>
      <c r="N3879" s="4" t="s">
        <v>3749</v>
      </c>
      <c r="O3879" s="17">
        <f>INDEX('список ID из СУЭ с должностями'!$A:$F,MATCH(E3879,'список ID из СУЭ с должностями'!$B:$B,0),5)</f>
        <v>0</v>
      </c>
    </row>
    <row r="3880" spans="1:15" ht="45">
      <c r="A3880" s="3" t="s">
        <v>10</v>
      </c>
      <c r="B3880" s="3" t="s">
        <v>11</v>
      </c>
      <c r="C3880" s="4">
        <v>2026</v>
      </c>
      <c r="D3880" s="5" t="s">
        <v>12</v>
      </c>
      <c r="E3880" s="4">
        <v>536</v>
      </c>
      <c r="F3880" s="4" t="s">
        <v>3666</v>
      </c>
      <c r="G3880" s="4" t="s">
        <v>3667</v>
      </c>
      <c r="H3880" s="4" t="s">
        <v>21</v>
      </c>
      <c r="I3880" s="4" t="s">
        <v>3674</v>
      </c>
      <c r="J3880" s="4" t="s">
        <v>3675</v>
      </c>
      <c r="K3880" s="4" t="s">
        <v>23</v>
      </c>
      <c r="L3880" s="4" t="s">
        <v>3743</v>
      </c>
      <c r="M3880" s="4" t="s">
        <v>3748</v>
      </c>
      <c r="N3880" s="4" t="s">
        <v>3752</v>
      </c>
      <c r="O3880" s="17">
        <f>INDEX('список ID из СУЭ с должностями'!$A:$F,MATCH(E3880,'список ID из СУЭ с должностями'!$B:$B,0),5)</f>
        <v>0</v>
      </c>
    </row>
    <row r="3881" spans="1:15" ht="75">
      <c r="A3881" s="3" t="s">
        <v>10</v>
      </c>
      <c r="B3881" s="3" t="s">
        <v>11</v>
      </c>
      <c r="C3881" s="4">
        <v>2026</v>
      </c>
      <c r="D3881" s="5" t="s">
        <v>12</v>
      </c>
      <c r="E3881" s="4">
        <v>536</v>
      </c>
      <c r="F3881" s="4" t="s">
        <v>3666</v>
      </c>
      <c r="G3881" s="4" t="s">
        <v>3667</v>
      </c>
      <c r="H3881" s="4" t="s">
        <v>15</v>
      </c>
      <c r="I3881" s="4" t="s">
        <v>3676</v>
      </c>
      <c r="J3881" s="4" t="s">
        <v>3677</v>
      </c>
      <c r="K3881" s="4" t="s">
        <v>23</v>
      </c>
      <c r="L3881" s="4" t="s">
        <v>3743</v>
      </c>
      <c r="M3881" s="4" t="s">
        <v>3748</v>
      </c>
      <c r="N3881" s="4" t="s">
        <v>3749</v>
      </c>
      <c r="O3881" s="17">
        <f>INDEX('список ID из СУЭ с должностями'!$A:$F,MATCH(E3881,'список ID из СУЭ с должностями'!$B:$B,0),5)</f>
        <v>0</v>
      </c>
    </row>
    <row r="3882" spans="1:15" ht="240">
      <c r="A3882" s="3" t="s">
        <v>10</v>
      </c>
      <c r="B3882" s="3" t="s">
        <v>11</v>
      </c>
      <c r="C3882" s="4">
        <v>2026</v>
      </c>
      <c r="D3882" s="5" t="s">
        <v>12</v>
      </c>
      <c r="E3882" s="4">
        <v>536</v>
      </c>
      <c r="F3882" s="4" t="s">
        <v>3666</v>
      </c>
      <c r="G3882" s="4" t="s">
        <v>3667</v>
      </c>
      <c r="H3882" s="4" t="s">
        <v>15</v>
      </c>
      <c r="I3882" s="4" t="s">
        <v>3678</v>
      </c>
      <c r="J3882" s="4" t="s">
        <v>3679</v>
      </c>
      <c r="K3882" s="4" t="s">
        <v>23</v>
      </c>
      <c r="L3882" s="4" t="s">
        <v>3743</v>
      </c>
      <c r="M3882" s="4" t="s">
        <v>3748</v>
      </c>
      <c r="N3882" s="4" t="s">
        <v>3749</v>
      </c>
      <c r="O3882" s="17">
        <f>INDEX('список ID из СУЭ с должностями'!$A:$F,MATCH(E3882,'список ID из СУЭ с должностями'!$B:$B,0),5)</f>
        <v>0</v>
      </c>
    </row>
    <row r="3883" spans="1:15" ht="135">
      <c r="A3883" s="3" t="s">
        <v>10</v>
      </c>
      <c r="B3883" s="3" t="s">
        <v>11</v>
      </c>
      <c r="C3883" s="4">
        <v>2026</v>
      </c>
      <c r="D3883" s="5" t="s">
        <v>12</v>
      </c>
      <c r="E3883" s="4">
        <v>536</v>
      </c>
      <c r="F3883" s="4" t="s">
        <v>3666</v>
      </c>
      <c r="G3883" s="4" t="s">
        <v>3667</v>
      </c>
      <c r="H3883" s="4" t="s">
        <v>15</v>
      </c>
      <c r="I3883" s="4" t="s">
        <v>3680</v>
      </c>
      <c r="J3883" s="4" t="s">
        <v>3681</v>
      </c>
      <c r="K3883" s="4" t="s">
        <v>23</v>
      </c>
      <c r="L3883" s="4" t="s">
        <v>3743</v>
      </c>
      <c r="M3883" s="4" t="s">
        <v>3748</v>
      </c>
      <c r="N3883" s="4" t="s">
        <v>3752</v>
      </c>
      <c r="O3883" s="17">
        <f>INDEX('список ID из СУЭ с должностями'!$A:$F,MATCH(E3883,'список ID из СУЭ с должностями'!$B:$B,0),5)</f>
        <v>0</v>
      </c>
    </row>
    <row r="3884" spans="1:15" ht="75">
      <c r="A3884" s="3" t="s">
        <v>10</v>
      </c>
      <c r="B3884" s="3" t="s">
        <v>2</v>
      </c>
      <c r="C3884" s="4">
        <v>2026</v>
      </c>
      <c r="D3884" s="5" t="s">
        <v>12</v>
      </c>
      <c r="E3884" s="4">
        <v>537</v>
      </c>
      <c r="F3884" s="4" t="s">
        <v>284</v>
      </c>
      <c r="G3884" s="4" t="s">
        <v>285</v>
      </c>
      <c r="H3884" s="4" t="s">
        <v>21</v>
      </c>
      <c r="I3884" s="4" t="s">
        <v>52</v>
      </c>
      <c r="J3884" s="4" t="s">
        <v>3682</v>
      </c>
      <c r="K3884" s="4" t="s">
        <v>30</v>
      </c>
      <c r="L3884" s="4" t="s">
        <v>3743</v>
      </c>
      <c r="M3884" s="4" t="s">
        <v>3746</v>
      </c>
      <c r="N3884" s="4" t="s">
        <v>3747</v>
      </c>
      <c r="O3884" s="17" t="str">
        <f>INDEX('список ID из СУЭ с должностями'!$A:$F,MATCH(E3884,'список ID из СУЭ с должностями'!$B:$B,0),5)</f>
        <v>ДПП/ ДЗ</v>
      </c>
    </row>
    <row r="3885" spans="1:15" ht="180">
      <c r="A3885" s="3" t="s">
        <v>10</v>
      </c>
      <c r="B3885" s="3" t="s">
        <v>2</v>
      </c>
      <c r="C3885" s="4">
        <v>2026</v>
      </c>
      <c r="D3885" s="5" t="s">
        <v>12</v>
      </c>
      <c r="E3885" s="4">
        <v>537</v>
      </c>
      <c r="F3885" s="4" t="s">
        <v>284</v>
      </c>
      <c r="G3885" s="4" t="s">
        <v>285</v>
      </c>
      <c r="H3885" s="4" t="s">
        <v>15</v>
      </c>
      <c r="I3885" s="4" t="s">
        <v>55</v>
      </c>
      <c r="J3885" s="4" t="s">
        <v>3683</v>
      </c>
      <c r="K3885" s="4" t="s">
        <v>55</v>
      </c>
      <c r="L3885" s="4" t="s">
        <v>3743</v>
      </c>
      <c r="M3885" s="4" t="s">
        <v>3746</v>
      </c>
      <c r="N3885" s="4" t="s">
        <v>3747</v>
      </c>
      <c r="O3885" s="17" t="str">
        <f>INDEX('список ID из СУЭ с должностями'!$A:$F,MATCH(E3885,'список ID из СУЭ с должностями'!$B:$B,0),5)</f>
        <v>ДПП/ ДЗ</v>
      </c>
    </row>
    <row r="3886" spans="1:15" ht="240">
      <c r="A3886" s="3" t="s">
        <v>10</v>
      </c>
      <c r="B3886" s="3" t="s">
        <v>2</v>
      </c>
      <c r="C3886" s="4">
        <v>2026</v>
      </c>
      <c r="D3886" s="5" t="s">
        <v>12</v>
      </c>
      <c r="E3886" s="4">
        <v>537</v>
      </c>
      <c r="F3886" s="4" t="s">
        <v>284</v>
      </c>
      <c r="G3886" s="4" t="s">
        <v>285</v>
      </c>
      <c r="H3886" s="4" t="s">
        <v>15</v>
      </c>
      <c r="I3886" s="4" t="s">
        <v>3684</v>
      </c>
      <c r="J3886" s="4" t="s">
        <v>3685</v>
      </c>
      <c r="K3886" s="4" t="s">
        <v>23</v>
      </c>
      <c r="L3886" s="4" t="s">
        <v>3743</v>
      </c>
      <c r="M3886" s="4" t="s">
        <v>3748</v>
      </c>
      <c r="N3886" s="4" t="s">
        <v>3752</v>
      </c>
      <c r="O3886" s="17" t="str">
        <f>INDEX('список ID из СУЭ с должностями'!$A:$F,MATCH(E3886,'список ID из СУЭ с должностями'!$B:$B,0),5)</f>
        <v>ДПП/ ДЗ</v>
      </c>
    </row>
    <row r="3887" spans="1:15" ht="60">
      <c r="A3887" s="3" t="s">
        <v>10</v>
      </c>
      <c r="B3887" s="3" t="s">
        <v>2</v>
      </c>
      <c r="C3887" s="4">
        <v>2026</v>
      </c>
      <c r="D3887" s="5" t="s">
        <v>12</v>
      </c>
      <c r="E3887" s="4">
        <v>537</v>
      </c>
      <c r="F3887" s="4" t="s">
        <v>284</v>
      </c>
      <c r="G3887" s="4" t="s">
        <v>285</v>
      </c>
      <c r="H3887" s="4" t="s">
        <v>15</v>
      </c>
      <c r="I3887" s="4" t="s">
        <v>3686</v>
      </c>
      <c r="J3887" s="4" t="s">
        <v>3687</v>
      </c>
      <c r="K3887" s="4" t="s">
        <v>151</v>
      </c>
      <c r="L3887" s="4" t="s">
        <v>3742</v>
      </c>
      <c r="M3887" s="4" t="s">
        <v>3746</v>
      </c>
      <c r="N3887" s="4" t="s">
        <v>3747</v>
      </c>
      <c r="O3887" s="17" t="str">
        <f>INDEX('список ID из СУЭ с должностями'!$A:$F,MATCH(E3887,'список ID из СУЭ с должностями'!$B:$B,0),5)</f>
        <v>ДПП/ ДЗ</v>
      </c>
    </row>
    <row r="3888" spans="1:15" ht="150">
      <c r="A3888" s="3" t="s">
        <v>10</v>
      </c>
      <c r="B3888" s="3" t="s">
        <v>2</v>
      </c>
      <c r="C3888" s="4">
        <v>2026</v>
      </c>
      <c r="D3888" s="5" t="s">
        <v>12</v>
      </c>
      <c r="E3888" s="4">
        <v>537</v>
      </c>
      <c r="F3888" s="4" t="s">
        <v>284</v>
      </c>
      <c r="G3888" s="4" t="s">
        <v>285</v>
      </c>
      <c r="H3888" s="4" t="s">
        <v>15</v>
      </c>
      <c r="I3888" s="4" t="s">
        <v>3688</v>
      </c>
      <c r="J3888" s="4" t="s">
        <v>3689</v>
      </c>
      <c r="K3888" s="4" t="s">
        <v>25</v>
      </c>
      <c r="L3888" s="4" t="s">
        <v>3743</v>
      </c>
      <c r="M3888" s="4" t="s">
        <v>3746</v>
      </c>
      <c r="N3888" s="4" t="s">
        <v>3747</v>
      </c>
      <c r="O3888" s="17" t="str">
        <f>INDEX('список ID из СУЭ с должностями'!$A:$F,MATCH(E3888,'список ID из СУЭ с должностями'!$B:$B,0),5)</f>
        <v>ДПП/ ДЗ</v>
      </c>
    </row>
    <row r="3889" spans="1:15" ht="375">
      <c r="A3889" s="3" t="s">
        <v>10</v>
      </c>
      <c r="B3889" s="3" t="s">
        <v>2</v>
      </c>
      <c r="C3889" s="4">
        <v>2026</v>
      </c>
      <c r="D3889" s="5" t="s">
        <v>12</v>
      </c>
      <c r="E3889" s="4">
        <v>537</v>
      </c>
      <c r="F3889" s="4" t="s">
        <v>284</v>
      </c>
      <c r="G3889" s="4" t="s">
        <v>285</v>
      </c>
      <c r="H3889" s="4" t="s">
        <v>15</v>
      </c>
      <c r="I3889" s="4" t="s">
        <v>203</v>
      </c>
      <c r="J3889" s="4" t="s">
        <v>3690</v>
      </c>
      <c r="K3889" s="4" t="s">
        <v>35</v>
      </c>
      <c r="L3889" s="4" t="s">
        <v>3743</v>
      </c>
      <c r="M3889" s="4" t="s">
        <v>3746</v>
      </c>
      <c r="N3889" s="4" t="s">
        <v>3747</v>
      </c>
      <c r="O3889" s="17" t="str">
        <f>INDEX('список ID из СУЭ с должностями'!$A:$F,MATCH(E3889,'список ID из СУЭ с должностями'!$B:$B,0),5)</f>
        <v>ДПП/ ДЗ</v>
      </c>
    </row>
    <row r="3890" spans="1:15" ht="165">
      <c r="A3890" s="3" t="s">
        <v>10</v>
      </c>
      <c r="B3890" s="3" t="s">
        <v>2</v>
      </c>
      <c r="C3890" s="4">
        <v>2026</v>
      </c>
      <c r="D3890" s="5" t="s">
        <v>12</v>
      </c>
      <c r="E3890" s="4">
        <v>537</v>
      </c>
      <c r="F3890" s="4" t="s">
        <v>284</v>
      </c>
      <c r="G3890" s="4" t="s">
        <v>285</v>
      </c>
      <c r="H3890" s="4" t="s">
        <v>15</v>
      </c>
      <c r="I3890" s="4" t="s">
        <v>1014</v>
      </c>
      <c r="J3890" s="4" t="s">
        <v>3691</v>
      </c>
      <c r="K3890" s="4" t="s">
        <v>38</v>
      </c>
      <c r="L3890" s="4" t="s">
        <v>3743</v>
      </c>
      <c r="M3890" s="4" t="s">
        <v>3746</v>
      </c>
      <c r="N3890" s="4" t="s">
        <v>3747</v>
      </c>
      <c r="O3890" s="17" t="str">
        <f>INDEX('список ID из СУЭ с должностями'!$A:$F,MATCH(E3890,'список ID из СУЭ с должностями'!$B:$B,0),5)</f>
        <v>ДПП/ ДЗ</v>
      </c>
    </row>
    <row r="3891" spans="1:15" ht="45">
      <c r="A3891" s="3" t="s">
        <v>10</v>
      </c>
      <c r="B3891" s="3" t="s">
        <v>11</v>
      </c>
      <c r="C3891" s="4">
        <v>2026</v>
      </c>
      <c r="D3891" s="5" t="s">
        <v>264</v>
      </c>
      <c r="E3891" s="4">
        <v>538</v>
      </c>
      <c r="F3891" s="4" t="s">
        <v>67</v>
      </c>
      <c r="G3891" s="4" t="s">
        <v>2180</v>
      </c>
      <c r="H3891" s="4"/>
      <c r="I3891" s="4"/>
      <c r="J3891" s="4"/>
      <c r="K3891" s="4"/>
      <c r="L3891" s="4"/>
      <c r="M3891" s="4"/>
      <c r="N3891" s="4"/>
      <c r="O3891" s="17">
        <f>INDEX('список ID из СУЭ с должностями'!$A:$F,MATCH(E3891,'список ID из СУЭ с должностями'!$B:$B,0),5)</f>
        <v>0</v>
      </c>
    </row>
    <row r="3892" spans="1:15" ht="105">
      <c r="A3892" s="3" t="s">
        <v>10</v>
      </c>
      <c r="B3892" s="3" t="s">
        <v>11</v>
      </c>
      <c r="C3892" s="4">
        <v>2026</v>
      </c>
      <c r="D3892" s="5" t="s">
        <v>3692</v>
      </c>
      <c r="E3892" s="4">
        <v>539</v>
      </c>
      <c r="F3892" s="4" t="s">
        <v>316</v>
      </c>
      <c r="G3892" s="4" t="s">
        <v>909</v>
      </c>
      <c r="H3892" s="4" t="s">
        <v>21</v>
      </c>
      <c r="I3892" s="4" t="s">
        <v>52</v>
      </c>
      <c r="J3892" s="4" t="s">
        <v>3693</v>
      </c>
      <c r="K3892" s="4" t="s">
        <v>52</v>
      </c>
      <c r="L3892" s="4" t="s">
        <v>3743</v>
      </c>
      <c r="M3892" s="4" t="s">
        <v>3746</v>
      </c>
      <c r="N3892" s="4" t="s">
        <v>3747</v>
      </c>
      <c r="O3892" s="17">
        <f>INDEX('список ID из СУЭ с должностями'!$A:$F,MATCH(E3892,'список ID из СУЭ с должностями'!$B:$B,0),5)</f>
        <v>0</v>
      </c>
    </row>
    <row r="3893" spans="1:15" ht="75">
      <c r="A3893" s="3" t="s">
        <v>10</v>
      </c>
      <c r="B3893" s="3" t="s">
        <v>11</v>
      </c>
      <c r="C3893" s="4">
        <v>2026</v>
      </c>
      <c r="D3893" s="5" t="s">
        <v>3692</v>
      </c>
      <c r="E3893" s="4">
        <v>539</v>
      </c>
      <c r="F3893" s="4" t="s">
        <v>316</v>
      </c>
      <c r="G3893" s="4" t="s">
        <v>909</v>
      </c>
      <c r="H3893" s="4" t="s">
        <v>15</v>
      </c>
      <c r="I3893" s="4" t="s">
        <v>3694</v>
      </c>
      <c r="J3893" s="4" t="s">
        <v>3695</v>
      </c>
      <c r="K3893" s="4" t="s">
        <v>52</v>
      </c>
      <c r="L3893" s="4" t="s">
        <v>3743</v>
      </c>
      <c r="M3893" s="4" t="s">
        <v>3746</v>
      </c>
      <c r="N3893" s="4" t="s">
        <v>3747</v>
      </c>
      <c r="O3893" s="17">
        <f>INDEX('список ID из СУЭ с должностями'!$A:$F,MATCH(E3893,'список ID из СУЭ с должностями'!$B:$B,0),5)</f>
        <v>0</v>
      </c>
    </row>
    <row r="3894" spans="1:15" ht="75">
      <c r="A3894" s="3" t="s">
        <v>10</v>
      </c>
      <c r="B3894" s="3" t="s">
        <v>11</v>
      </c>
      <c r="C3894" s="4">
        <v>2026</v>
      </c>
      <c r="D3894" s="5" t="s">
        <v>3692</v>
      </c>
      <c r="E3894" s="4">
        <v>539</v>
      </c>
      <c r="F3894" s="4" t="s">
        <v>316</v>
      </c>
      <c r="G3894" s="4" t="s">
        <v>909</v>
      </c>
      <c r="H3894" s="4" t="s">
        <v>15</v>
      </c>
      <c r="I3894" s="4" t="s">
        <v>3696</v>
      </c>
      <c r="J3894" s="4" t="s">
        <v>196</v>
      </c>
      <c r="K3894" s="4" t="s">
        <v>52</v>
      </c>
      <c r="L3894" s="4" t="s">
        <v>3742</v>
      </c>
      <c r="M3894" s="4" t="s">
        <v>3746</v>
      </c>
      <c r="N3894" s="4" t="s">
        <v>3747</v>
      </c>
      <c r="O3894" s="17">
        <f>INDEX('список ID из СУЭ с должностями'!$A:$F,MATCH(E3894,'список ID из СУЭ с должностями'!$B:$B,0),5)</f>
        <v>0</v>
      </c>
    </row>
    <row r="3895" spans="1:15" ht="105">
      <c r="A3895" s="3" t="s">
        <v>10</v>
      </c>
      <c r="B3895" s="3" t="s">
        <v>11</v>
      </c>
      <c r="C3895" s="4">
        <v>2026</v>
      </c>
      <c r="D3895" s="5" t="s">
        <v>3692</v>
      </c>
      <c r="E3895" s="4">
        <v>539</v>
      </c>
      <c r="F3895" s="4" t="s">
        <v>316</v>
      </c>
      <c r="G3895" s="4" t="s">
        <v>909</v>
      </c>
      <c r="H3895" s="4" t="s">
        <v>15</v>
      </c>
      <c r="I3895" s="4" t="s">
        <v>361</v>
      </c>
      <c r="J3895" s="4" t="s">
        <v>3697</v>
      </c>
      <c r="K3895" s="4" t="s">
        <v>35</v>
      </c>
      <c r="L3895" s="4" t="s">
        <v>3743</v>
      </c>
      <c r="M3895" s="4" t="s">
        <v>3746</v>
      </c>
      <c r="N3895" s="4" t="s">
        <v>3747</v>
      </c>
      <c r="O3895" s="17">
        <f>INDEX('список ID из СУЭ с должностями'!$A:$F,MATCH(E3895,'список ID из СУЭ с должностями'!$B:$B,0),5)</f>
        <v>0</v>
      </c>
    </row>
    <row r="3896" spans="1:15" ht="105">
      <c r="A3896" s="3" t="s">
        <v>10</v>
      </c>
      <c r="B3896" s="3" t="s">
        <v>11</v>
      </c>
      <c r="C3896" s="4">
        <v>2026</v>
      </c>
      <c r="D3896" s="5" t="s">
        <v>3692</v>
      </c>
      <c r="E3896" s="4">
        <v>539</v>
      </c>
      <c r="F3896" s="4" t="s">
        <v>316</v>
      </c>
      <c r="G3896" s="4" t="s">
        <v>909</v>
      </c>
      <c r="H3896" s="4" t="s">
        <v>15</v>
      </c>
      <c r="I3896" s="4" t="s">
        <v>100</v>
      </c>
      <c r="J3896" s="4" t="s">
        <v>3698</v>
      </c>
      <c r="K3896" s="4" t="s">
        <v>52</v>
      </c>
      <c r="L3896" s="4" t="s">
        <v>3743</v>
      </c>
      <c r="M3896" s="4" t="s">
        <v>3746</v>
      </c>
      <c r="N3896" s="4" t="s">
        <v>3747</v>
      </c>
      <c r="O3896" s="17">
        <f>INDEX('список ID из СУЭ с должностями'!$A:$F,MATCH(E3896,'список ID из СУЭ с должностями'!$B:$B,0),5)</f>
        <v>0</v>
      </c>
    </row>
    <row r="3897" spans="1:15" ht="210">
      <c r="A3897" s="3" t="s">
        <v>10</v>
      </c>
      <c r="B3897" s="3" t="s">
        <v>11</v>
      </c>
      <c r="C3897" s="4">
        <v>2026</v>
      </c>
      <c r="D3897" s="5" t="s">
        <v>3692</v>
      </c>
      <c r="E3897" s="4">
        <v>539</v>
      </c>
      <c r="F3897" s="4" t="s">
        <v>316</v>
      </c>
      <c r="G3897" s="4" t="s">
        <v>909</v>
      </c>
      <c r="H3897" s="4" t="s">
        <v>15</v>
      </c>
      <c r="I3897" s="4" t="s">
        <v>3699</v>
      </c>
      <c r="J3897" s="4" t="s">
        <v>3700</v>
      </c>
      <c r="K3897" s="4" t="s">
        <v>52</v>
      </c>
      <c r="L3897" s="4" t="s">
        <v>3743</v>
      </c>
      <c r="M3897" s="4" t="s">
        <v>3746</v>
      </c>
      <c r="N3897" s="4" t="s">
        <v>3747</v>
      </c>
      <c r="O3897" s="17">
        <f>INDEX('список ID из СУЭ с должностями'!$A:$F,MATCH(E3897,'список ID из СУЭ с должностями'!$B:$B,0),5)</f>
        <v>0</v>
      </c>
    </row>
    <row r="3898" spans="1:15" ht="105">
      <c r="A3898" s="3" t="s">
        <v>10</v>
      </c>
      <c r="B3898" s="3" t="s">
        <v>11</v>
      </c>
      <c r="C3898" s="4">
        <v>2026</v>
      </c>
      <c r="D3898" s="5" t="s">
        <v>12</v>
      </c>
      <c r="E3898" s="4">
        <v>540</v>
      </c>
      <c r="F3898" s="4" t="s">
        <v>316</v>
      </c>
      <c r="G3898" s="4" t="s">
        <v>1203</v>
      </c>
      <c r="H3898" s="4" t="s">
        <v>15</v>
      </c>
      <c r="I3898" s="4" t="s">
        <v>358</v>
      </c>
      <c r="J3898" s="4" t="s">
        <v>1143</v>
      </c>
      <c r="K3898" s="4" t="s">
        <v>66</v>
      </c>
      <c r="L3898" s="4" t="s">
        <v>3743</v>
      </c>
      <c r="M3898" s="4" t="s">
        <v>3746</v>
      </c>
      <c r="N3898" s="4" t="s">
        <v>3747</v>
      </c>
      <c r="O3898" s="17">
        <f>INDEX('список ID из СУЭ с должностями'!$A:$F,MATCH(E3898,'список ID из СУЭ с должностями'!$B:$B,0),5)</f>
        <v>0</v>
      </c>
    </row>
    <row r="3899" spans="1:15" ht="105">
      <c r="A3899" s="3" t="s">
        <v>10</v>
      </c>
      <c r="B3899" s="3" t="s">
        <v>11</v>
      </c>
      <c r="C3899" s="4">
        <v>2026</v>
      </c>
      <c r="D3899" s="5" t="s">
        <v>12</v>
      </c>
      <c r="E3899" s="4">
        <v>540</v>
      </c>
      <c r="F3899" s="4" t="s">
        <v>316</v>
      </c>
      <c r="G3899" s="4" t="s">
        <v>1203</v>
      </c>
      <c r="H3899" s="4" t="s">
        <v>15</v>
      </c>
      <c r="I3899" s="4" t="s">
        <v>356</v>
      </c>
      <c r="J3899" s="4" t="s">
        <v>1775</v>
      </c>
      <c r="K3899" s="4" t="s">
        <v>25</v>
      </c>
      <c r="L3899" s="4" t="s">
        <v>3743</v>
      </c>
      <c r="M3899" s="4" t="s">
        <v>3746</v>
      </c>
      <c r="N3899" s="4" t="s">
        <v>3747</v>
      </c>
      <c r="O3899" s="17">
        <f>INDEX('список ID из СУЭ с должностями'!$A:$F,MATCH(E3899,'список ID из СУЭ с должностями'!$B:$B,0),5)</f>
        <v>0</v>
      </c>
    </row>
    <row r="3900" spans="1:15" ht="315">
      <c r="A3900" s="3" t="s">
        <v>10</v>
      </c>
      <c r="B3900" s="3" t="s">
        <v>11</v>
      </c>
      <c r="C3900" s="4">
        <v>2026</v>
      </c>
      <c r="D3900" s="5" t="s">
        <v>12</v>
      </c>
      <c r="E3900" s="4">
        <v>540</v>
      </c>
      <c r="F3900" s="4" t="s">
        <v>316</v>
      </c>
      <c r="G3900" s="4" t="s">
        <v>1203</v>
      </c>
      <c r="H3900" s="4" t="s">
        <v>15</v>
      </c>
      <c r="I3900" s="4" t="s">
        <v>352</v>
      </c>
      <c r="J3900" s="4" t="s">
        <v>823</v>
      </c>
      <c r="K3900" s="4" t="s">
        <v>25</v>
      </c>
      <c r="L3900" s="4" t="s">
        <v>3743</v>
      </c>
      <c r="M3900" s="4" t="s">
        <v>3746</v>
      </c>
      <c r="N3900" s="4" t="s">
        <v>3747</v>
      </c>
      <c r="O3900" s="17">
        <f>INDEX('список ID из СУЭ с должностями'!$A:$F,MATCH(E3900,'список ID из СУЭ с должностями'!$B:$B,0),5)</f>
        <v>0</v>
      </c>
    </row>
    <row r="3901" spans="1:15" ht="150">
      <c r="A3901" s="3" t="s">
        <v>10</v>
      </c>
      <c r="B3901" s="3" t="s">
        <v>11</v>
      </c>
      <c r="C3901" s="4">
        <v>2026</v>
      </c>
      <c r="D3901" s="5" t="s">
        <v>12</v>
      </c>
      <c r="E3901" s="4">
        <v>540</v>
      </c>
      <c r="F3901" s="4" t="s">
        <v>316</v>
      </c>
      <c r="G3901" s="4" t="s">
        <v>1203</v>
      </c>
      <c r="H3901" s="4" t="s">
        <v>15</v>
      </c>
      <c r="I3901" s="4" t="s">
        <v>318</v>
      </c>
      <c r="J3901" s="4" t="s">
        <v>3190</v>
      </c>
      <c r="K3901" s="4" t="s">
        <v>188</v>
      </c>
      <c r="L3901" s="4" t="s">
        <v>3743</v>
      </c>
      <c r="M3901" s="4" t="s">
        <v>3746</v>
      </c>
      <c r="N3901" s="4" t="s">
        <v>3747</v>
      </c>
      <c r="O3901" s="17">
        <f>INDEX('список ID из СУЭ с должностями'!$A:$F,MATCH(E3901,'список ID из СУЭ с должностями'!$B:$B,0),5)</f>
        <v>0</v>
      </c>
    </row>
    <row r="3902" spans="1:15" ht="330">
      <c r="A3902" s="3" t="s">
        <v>10</v>
      </c>
      <c r="B3902" s="3" t="s">
        <v>11</v>
      </c>
      <c r="C3902" s="4">
        <v>2026</v>
      </c>
      <c r="D3902" s="5" t="s">
        <v>12</v>
      </c>
      <c r="E3902" s="4">
        <v>540</v>
      </c>
      <c r="F3902" s="4" t="s">
        <v>316</v>
      </c>
      <c r="G3902" s="4" t="s">
        <v>1203</v>
      </c>
      <c r="H3902" s="4" t="s">
        <v>15</v>
      </c>
      <c r="I3902" s="4" t="s">
        <v>323</v>
      </c>
      <c r="J3902" s="4" t="s">
        <v>826</v>
      </c>
      <c r="K3902" s="4" t="s">
        <v>30</v>
      </c>
      <c r="L3902" s="4" t="s">
        <v>3743</v>
      </c>
      <c r="M3902" s="4" t="s">
        <v>3746</v>
      </c>
      <c r="N3902" s="4" t="s">
        <v>3747</v>
      </c>
      <c r="O3902" s="17">
        <f>INDEX('список ID из СУЭ с должностями'!$A:$F,MATCH(E3902,'список ID из СУЭ с должностями'!$B:$B,0),5)</f>
        <v>0</v>
      </c>
    </row>
    <row r="3903" spans="1:15" ht="225">
      <c r="A3903" s="3" t="s">
        <v>10</v>
      </c>
      <c r="B3903" s="3" t="s">
        <v>11</v>
      </c>
      <c r="C3903" s="4">
        <v>2026</v>
      </c>
      <c r="D3903" s="5" t="s">
        <v>12</v>
      </c>
      <c r="E3903" s="4">
        <v>540</v>
      </c>
      <c r="F3903" s="4" t="s">
        <v>316</v>
      </c>
      <c r="G3903" s="4" t="s">
        <v>1203</v>
      </c>
      <c r="H3903" s="4" t="s">
        <v>15</v>
      </c>
      <c r="I3903" s="4" t="s">
        <v>325</v>
      </c>
      <c r="J3903" s="4" t="s">
        <v>3192</v>
      </c>
      <c r="K3903" s="4" t="s">
        <v>35</v>
      </c>
      <c r="L3903" s="4" t="s">
        <v>3743</v>
      </c>
      <c r="M3903" s="4" t="s">
        <v>3746</v>
      </c>
      <c r="N3903" s="4" t="s">
        <v>3747</v>
      </c>
      <c r="O3903" s="17">
        <f>INDEX('список ID из СУЭ с должностями'!$A:$F,MATCH(E3903,'список ID из СУЭ с должностями'!$B:$B,0),5)</f>
        <v>0</v>
      </c>
    </row>
    <row r="3904" spans="1:15" ht="255">
      <c r="A3904" s="3" t="s">
        <v>10</v>
      </c>
      <c r="B3904" s="3" t="s">
        <v>11</v>
      </c>
      <c r="C3904" s="4">
        <v>2026</v>
      </c>
      <c r="D3904" s="5" t="s">
        <v>12</v>
      </c>
      <c r="E3904" s="4">
        <v>540</v>
      </c>
      <c r="F3904" s="4" t="s">
        <v>316</v>
      </c>
      <c r="G3904" s="4" t="s">
        <v>1203</v>
      </c>
      <c r="H3904" s="4" t="s">
        <v>15</v>
      </c>
      <c r="I3904" s="4" t="s">
        <v>354</v>
      </c>
      <c r="J3904" s="4" t="s">
        <v>3191</v>
      </c>
      <c r="K3904" s="4" t="s">
        <v>25</v>
      </c>
      <c r="L3904" s="4" t="s">
        <v>3743</v>
      </c>
      <c r="M3904" s="4" t="s">
        <v>3746</v>
      </c>
      <c r="N3904" s="4" t="s">
        <v>3747</v>
      </c>
      <c r="O3904" s="17">
        <f>INDEX('список ID из СУЭ с должностями'!$A:$F,MATCH(E3904,'список ID из СУЭ с должностями'!$B:$B,0),5)</f>
        <v>0</v>
      </c>
    </row>
    <row r="3905" spans="1:15" ht="75">
      <c r="A3905" s="3" t="s">
        <v>10</v>
      </c>
      <c r="B3905" s="3" t="s">
        <v>11</v>
      </c>
      <c r="C3905" s="4">
        <v>2026</v>
      </c>
      <c r="D3905" s="5" t="s">
        <v>3701</v>
      </c>
      <c r="E3905" s="4">
        <v>541</v>
      </c>
      <c r="F3905" s="4" t="s">
        <v>239</v>
      </c>
      <c r="G3905" s="4" t="s">
        <v>2498</v>
      </c>
      <c r="H3905" s="4" t="s">
        <v>15</v>
      </c>
      <c r="I3905" s="4" t="s">
        <v>1108</v>
      </c>
      <c r="J3905" s="4" t="s">
        <v>2504</v>
      </c>
      <c r="K3905" s="4" t="s">
        <v>35</v>
      </c>
      <c r="L3905" s="4" t="s">
        <v>3742</v>
      </c>
      <c r="M3905" s="4" t="s">
        <v>3746</v>
      </c>
      <c r="N3905" s="4" t="s">
        <v>3747</v>
      </c>
      <c r="O3905" s="17" t="str">
        <f>INDEX('список ID из СУЭ с должностями'!$A:$F,MATCH(E3905,'список ID из СУЭ с должностями'!$B:$B,0),5)</f>
        <v>ИПП</v>
      </c>
    </row>
    <row r="3906" spans="1:15" ht="75">
      <c r="A3906" s="3" t="s">
        <v>10</v>
      </c>
      <c r="B3906" s="3" t="s">
        <v>11</v>
      </c>
      <c r="C3906" s="4">
        <v>2026</v>
      </c>
      <c r="D3906" s="5" t="s">
        <v>3701</v>
      </c>
      <c r="E3906" s="4">
        <v>541</v>
      </c>
      <c r="F3906" s="4" t="s">
        <v>239</v>
      </c>
      <c r="G3906" s="4" t="s">
        <v>2498</v>
      </c>
      <c r="H3906" s="4" t="s">
        <v>15</v>
      </c>
      <c r="I3906" s="4" t="s">
        <v>243</v>
      </c>
      <c r="J3906" s="4" t="s">
        <v>132</v>
      </c>
      <c r="K3906" s="4" t="s">
        <v>23</v>
      </c>
      <c r="L3906" s="4" t="s">
        <v>3742</v>
      </c>
      <c r="M3906" s="4" t="s">
        <v>3748</v>
      </c>
      <c r="N3906" s="4" t="s">
        <v>3752</v>
      </c>
      <c r="O3906" s="17" t="str">
        <f>INDEX('список ID из СУЭ с должностями'!$A:$F,MATCH(E3906,'список ID из СУЭ с должностями'!$B:$B,0),5)</f>
        <v>ИПП</v>
      </c>
    </row>
    <row r="3907" spans="1:15" ht="75">
      <c r="A3907" s="3" t="s">
        <v>10</v>
      </c>
      <c r="B3907" s="3" t="s">
        <v>11</v>
      </c>
      <c r="C3907" s="4">
        <v>2026</v>
      </c>
      <c r="D3907" s="5" t="s">
        <v>3701</v>
      </c>
      <c r="E3907" s="4">
        <v>541</v>
      </c>
      <c r="F3907" s="4" t="s">
        <v>239</v>
      </c>
      <c r="G3907" s="4" t="s">
        <v>2498</v>
      </c>
      <c r="H3907" s="4" t="s">
        <v>15</v>
      </c>
      <c r="I3907" s="4" t="s">
        <v>2503</v>
      </c>
      <c r="J3907" s="4" t="s">
        <v>182</v>
      </c>
      <c r="K3907" s="4" t="s">
        <v>23</v>
      </c>
      <c r="L3907" s="4" t="s">
        <v>3742</v>
      </c>
      <c r="M3907" s="4" t="s">
        <v>3748</v>
      </c>
      <c r="N3907" s="4" t="s">
        <v>3752</v>
      </c>
      <c r="O3907" s="17" t="str">
        <f>INDEX('список ID из СУЭ с должностями'!$A:$F,MATCH(E3907,'список ID из СУЭ с должностями'!$B:$B,0),5)</f>
        <v>ИПП</v>
      </c>
    </row>
    <row r="3908" spans="1:15" ht="165">
      <c r="A3908" s="3" t="s">
        <v>10</v>
      </c>
      <c r="B3908" s="3" t="s">
        <v>11</v>
      </c>
      <c r="C3908" s="4">
        <v>2026</v>
      </c>
      <c r="D3908" s="5" t="s">
        <v>3701</v>
      </c>
      <c r="E3908" s="4">
        <v>541</v>
      </c>
      <c r="F3908" s="4" t="s">
        <v>239</v>
      </c>
      <c r="G3908" s="4" t="s">
        <v>2498</v>
      </c>
      <c r="H3908" s="4" t="s">
        <v>15</v>
      </c>
      <c r="I3908" s="4" t="s">
        <v>201</v>
      </c>
      <c r="J3908" s="4" t="s">
        <v>2499</v>
      </c>
      <c r="K3908" s="4" t="s">
        <v>188</v>
      </c>
      <c r="L3908" s="4" t="s">
        <v>3743</v>
      </c>
      <c r="M3908" s="4" t="s">
        <v>3746</v>
      </c>
      <c r="N3908" s="4" t="s">
        <v>3747</v>
      </c>
      <c r="O3908" s="17" t="str">
        <f>INDEX('список ID из СУЭ с должностями'!$A:$F,MATCH(E3908,'список ID из СУЭ с должностями'!$B:$B,0),5)</f>
        <v>ИПП</v>
      </c>
    </row>
    <row r="3909" spans="1:15" ht="75">
      <c r="A3909" s="3" t="s">
        <v>10</v>
      </c>
      <c r="B3909" s="3" t="s">
        <v>11</v>
      </c>
      <c r="C3909" s="4">
        <v>2026</v>
      </c>
      <c r="D3909" s="5" t="s">
        <v>3701</v>
      </c>
      <c r="E3909" s="4">
        <v>541</v>
      </c>
      <c r="F3909" s="4" t="s">
        <v>239</v>
      </c>
      <c r="G3909" s="4" t="s">
        <v>2498</v>
      </c>
      <c r="H3909" s="4" t="s">
        <v>15</v>
      </c>
      <c r="I3909" s="4" t="s">
        <v>984</v>
      </c>
      <c r="J3909" s="4" t="s">
        <v>2500</v>
      </c>
      <c r="K3909" s="4" t="s">
        <v>66</v>
      </c>
      <c r="L3909" s="4" t="s">
        <v>3742</v>
      </c>
      <c r="M3909" s="4" t="s">
        <v>3746</v>
      </c>
      <c r="N3909" s="4" t="s">
        <v>3747</v>
      </c>
      <c r="O3909" s="17" t="str">
        <f>INDEX('список ID из СУЭ с должностями'!$A:$F,MATCH(E3909,'список ID из СУЭ с должностями'!$B:$B,0),5)</f>
        <v>ИПП</v>
      </c>
    </row>
    <row r="3910" spans="1:15" ht="90">
      <c r="A3910" s="3" t="s">
        <v>10</v>
      </c>
      <c r="B3910" s="3" t="s">
        <v>11</v>
      </c>
      <c r="C3910" s="4">
        <v>2026</v>
      </c>
      <c r="D3910" s="5" t="s">
        <v>3701</v>
      </c>
      <c r="E3910" s="4">
        <v>541</v>
      </c>
      <c r="F3910" s="4" t="s">
        <v>239</v>
      </c>
      <c r="G3910" s="4" t="s">
        <v>2498</v>
      </c>
      <c r="H3910" s="4" t="s">
        <v>15</v>
      </c>
      <c r="I3910" s="4" t="s">
        <v>198</v>
      </c>
      <c r="J3910" s="4" t="s">
        <v>2501</v>
      </c>
      <c r="K3910" s="4" t="s">
        <v>20</v>
      </c>
      <c r="L3910" s="4" t="s">
        <v>3743</v>
      </c>
      <c r="M3910" s="4" t="s">
        <v>3746</v>
      </c>
      <c r="N3910" s="4" t="s">
        <v>3747</v>
      </c>
      <c r="O3910" s="17" t="str">
        <f>INDEX('список ID из СУЭ с должностями'!$A:$F,MATCH(E3910,'список ID из СУЭ с должностями'!$B:$B,0),5)</f>
        <v>ИПП</v>
      </c>
    </row>
    <row r="3911" spans="1:15" ht="285">
      <c r="A3911" s="3" t="s">
        <v>10</v>
      </c>
      <c r="B3911" s="3" t="s">
        <v>11</v>
      </c>
      <c r="C3911" s="4">
        <v>2026</v>
      </c>
      <c r="D3911" s="5" t="s">
        <v>3701</v>
      </c>
      <c r="E3911" s="4">
        <v>541</v>
      </c>
      <c r="F3911" s="4" t="s">
        <v>239</v>
      </c>
      <c r="G3911" s="4" t="s">
        <v>2498</v>
      </c>
      <c r="H3911" s="4" t="s">
        <v>15</v>
      </c>
      <c r="I3911" s="4" t="s">
        <v>203</v>
      </c>
      <c r="J3911" s="4" t="s">
        <v>2502</v>
      </c>
      <c r="K3911" s="4" t="s">
        <v>35</v>
      </c>
      <c r="L3911" s="4" t="s">
        <v>3743</v>
      </c>
      <c r="M3911" s="4" t="s">
        <v>3746</v>
      </c>
      <c r="N3911" s="4" t="s">
        <v>3747</v>
      </c>
      <c r="O3911" s="17" t="str">
        <f>INDEX('список ID из СУЭ с должностями'!$A:$F,MATCH(E3911,'список ID из СУЭ с должностями'!$B:$B,0),5)</f>
        <v>ИПП</v>
      </c>
    </row>
    <row r="3912" spans="1:15" ht="60">
      <c r="A3912" s="3" t="s">
        <v>10</v>
      </c>
      <c r="B3912" s="3" t="s">
        <v>11</v>
      </c>
      <c r="C3912" s="4">
        <v>2026</v>
      </c>
      <c r="D3912" s="5" t="s">
        <v>3702</v>
      </c>
      <c r="E3912" s="4">
        <v>71</v>
      </c>
      <c r="F3912" s="4" t="s">
        <v>239</v>
      </c>
      <c r="G3912" s="4" t="s">
        <v>1611</v>
      </c>
      <c r="H3912" s="4" t="s">
        <v>15</v>
      </c>
      <c r="I3912" s="4" t="s">
        <v>816</v>
      </c>
      <c r="J3912" s="4" t="s">
        <v>182</v>
      </c>
      <c r="K3912" s="4" t="s">
        <v>38</v>
      </c>
      <c r="L3912" s="4" t="s">
        <v>3742</v>
      </c>
      <c r="M3912" s="4" t="s">
        <v>3746</v>
      </c>
      <c r="N3912" s="4" t="s">
        <v>3747</v>
      </c>
      <c r="O3912" s="17" t="str">
        <f>INDEX('список ID из СУЭ с должностями'!$A:$F,MATCH(E3912,'список ID из СУЭ с должностями'!$B:$B,0),5)</f>
        <v>Инж смены</v>
      </c>
    </row>
    <row r="3913" spans="1:15" ht="60">
      <c r="A3913" s="3" t="s">
        <v>10</v>
      </c>
      <c r="B3913" s="3" t="s">
        <v>11</v>
      </c>
      <c r="C3913" s="4">
        <v>2026</v>
      </c>
      <c r="D3913" s="5" t="s">
        <v>3702</v>
      </c>
      <c r="E3913" s="4">
        <v>71</v>
      </c>
      <c r="F3913" s="4" t="s">
        <v>239</v>
      </c>
      <c r="G3913" s="4" t="s">
        <v>1611</v>
      </c>
      <c r="H3913" s="4" t="s">
        <v>15</v>
      </c>
      <c r="I3913" s="4" t="s">
        <v>817</v>
      </c>
      <c r="J3913" s="4" t="s">
        <v>196</v>
      </c>
      <c r="K3913" s="4" t="s">
        <v>38</v>
      </c>
      <c r="L3913" s="4" t="s">
        <v>3742</v>
      </c>
      <c r="M3913" s="4" t="s">
        <v>3746</v>
      </c>
      <c r="N3913" s="4" t="s">
        <v>3747</v>
      </c>
      <c r="O3913" s="17" t="str">
        <f>INDEX('список ID из СУЭ с должностями'!$A:$F,MATCH(E3913,'список ID из СУЭ с должностями'!$B:$B,0),5)</f>
        <v>Инж смены</v>
      </c>
    </row>
    <row r="3914" spans="1:15" ht="60">
      <c r="A3914" s="3" t="s">
        <v>10</v>
      </c>
      <c r="B3914" s="3" t="s">
        <v>11</v>
      </c>
      <c r="C3914" s="4">
        <v>2026</v>
      </c>
      <c r="D3914" s="5" t="s">
        <v>3702</v>
      </c>
      <c r="E3914" s="4">
        <v>71</v>
      </c>
      <c r="F3914" s="4" t="s">
        <v>239</v>
      </c>
      <c r="G3914" s="4" t="s">
        <v>1611</v>
      </c>
      <c r="H3914" s="4" t="s">
        <v>15</v>
      </c>
      <c r="I3914" s="4" t="s">
        <v>243</v>
      </c>
      <c r="J3914" s="4" t="s">
        <v>132</v>
      </c>
      <c r="K3914" s="4" t="s">
        <v>38</v>
      </c>
      <c r="L3914" s="4" t="s">
        <v>3742</v>
      </c>
      <c r="M3914" s="4" t="s">
        <v>3746</v>
      </c>
      <c r="N3914" s="4" t="s">
        <v>3747</v>
      </c>
      <c r="O3914" s="17" t="str">
        <f>INDEX('список ID из СУЭ с должностями'!$A:$F,MATCH(E3914,'список ID из СУЭ с должностями'!$B:$B,0),5)</f>
        <v>Инж смены</v>
      </c>
    </row>
    <row r="3915" spans="1:15" ht="90">
      <c r="A3915" s="3" t="s">
        <v>10</v>
      </c>
      <c r="B3915" s="3" t="s">
        <v>11</v>
      </c>
      <c r="C3915" s="4">
        <v>2026</v>
      </c>
      <c r="D3915" s="5" t="s">
        <v>3702</v>
      </c>
      <c r="E3915" s="4">
        <v>71</v>
      </c>
      <c r="F3915" s="4" t="s">
        <v>239</v>
      </c>
      <c r="G3915" s="4" t="s">
        <v>1611</v>
      </c>
      <c r="H3915" s="4" t="s">
        <v>15</v>
      </c>
      <c r="I3915" s="4" t="s">
        <v>198</v>
      </c>
      <c r="J3915" s="4" t="s">
        <v>818</v>
      </c>
      <c r="K3915" s="4" t="s">
        <v>20</v>
      </c>
      <c r="L3915" s="4" t="s">
        <v>3743</v>
      </c>
      <c r="M3915" s="4" t="s">
        <v>3746</v>
      </c>
      <c r="N3915" s="4" t="s">
        <v>3747</v>
      </c>
      <c r="O3915" s="17" t="str">
        <f>INDEX('список ID из СУЭ с должностями'!$A:$F,MATCH(E3915,'список ID из СУЭ с должностями'!$B:$B,0),5)</f>
        <v>Инж смены</v>
      </c>
    </row>
    <row r="3916" spans="1:15" ht="60">
      <c r="A3916" s="3" t="s">
        <v>10</v>
      </c>
      <c r="B3916" s="3" t="s">
        <v>11</v>
      </c>
      <c r="C3916" s="4">
        <v>2026</v>
      </c>
      <c r="D3916" s="5" t="s">
        <v>3702</v>
      </c>
      <c r="E3916" s="4">
        <v>71</v>
      </c>
      <c r="F3916" s="4" t="s">
        <v>239</v>
      </c>
      <c r="G3916" s="4" t="s">
        <v>1611</v>
      </c>
      <c r="H3916" s="4" t="s">
        <v>15</v>
      </c>
      <c r="I3916" s="4" t="s">
        <v>819</v>
      </c>
      <c r="J3916" s="4" t="s">
        <v>200</v>
      </c>
      <c r="K3916" s="4" t="s">
        <v>66</v>
      </c>
      <c r="L3916" s="4" t="s">
        <v>3742</v>
      </c>
      <c r="M3916" s="4" t="s">
        <v>3746</v>
      </c>
      <c r="N3916" s="4" t="s">
        <v>3747</v>
      </c>
      <c r="O3916" s="17" t="str">
        <f>INDEX('список ID из СУЭ с должностями'!$A:$F,MATCH(E3916,'список ID из СУЭ с должностями'!$B:$B,0),5)</f>
        <v>Инж смены</v>
      </c>
    </row>
    <row r="3917" spans="1:15" ht="60">
      <c r="A3917" s="3" t="s">
        <v>10</v>
      </c>
      <c r="B3917" s="3" t="s">
        <v>11</v>
      </c>
      <c r="C3917" s="4">
        <v>2026</v>
      </c>
      <c r="D3917" s="5" t="s">
        <v>3702</v>
      </c>
      <c r="E3917" s="4">
        <v>71</v>
      </c>
      <c r="F3917" s="4" t="s">
        <v>239</v>
      </c>
      <c r="G3917" s="4" t="s">
        <v>1611</v>
      </c>
      <c r="H3917" s="4" t="s">
        <v>15</v>
      </c>
      <c r="I3917" s="4" t="s">
        <v>48</v>
      </c>
      <c r="J3917" s="4" t="s">
        <v>187</v>
      </c>
      <c r="K3917" s="4" t="s">
        <v>35</v>
      </c>
      <c r="L3917" s="4" t="s">
        <v>3743</v>
      </c>
      <c r="M3917" s="4" t="s">
        <v>3746</v>
      </c>
      <c r="N3917" s="4" t="s">
        <v>3747</v>
      </c>
      <c r="O3917" s="17" t="str">
        <f>INDEX('список ID из СУЭ с должностями'!$A:$F,MATCH(E3917,'список ID из СУЭ с должностями'!$B:$B,0),5)</f>
        <v>Инж смены</v>
      </c>
    </row>
    <row r="3918" spans="1:15" ht="165">
      <c r="A3918" s="3" t="s">
        <v>10</v>
      </c>
      <c r="B3918" s="3" t="s">
        <v>11</v>
      </c>
      <c r="C3918" s="4">
        <v>2026</v>
      </c>
      <c r="D3918" s="5" t="s">
        <v>3702</v>
      </c>
      <c r="E3918" s="4">
        <v>542</v>
      </c>
      <c r="F3918" s="4" t="s">
        <v>193</v>
      </c>
      <c r="G3918" s="4" t="s">
        <v>684</v>
      </c>
      <c r="H3918" s="4" t="s">
        <v>15</v>
      </c>
      <c r="I3918" s="4" t="s">
        <v>189</v>
      </c>
      <c r="J3918" s="4" t="s">
        <v>1615</v>
      </c>
      <c r="K3918" s="4" t="s">
        <v>23</v>
      </c>
      <c r="L3918" s="4" t="s">
        <v>3743</v>
      </c>
      <c r="M3918" s="4" t="s">
        <v>3748</v>
      </c>
      <c r="N3918" s="4" t="s">
        <v>3749</v>
      </c>
      <c r="O3918" s="17" t="str">
        <f>INDEX('список ID из СУЭ с должностями'!$A:$F,MATCH(E3918,'список ID из СУЭ с должностями'!$B:$B,0),5)</f>
        <v>Инж смены</v>
      </c>
    </row>
    <row r="3919" spans="1:15" ht="45">
      <c r="A3919" s="3" t="s">
        <v>10</v>
      </c>
      <c r="B3919" s="3" t="s">
        <v>11</v>
      </c>
      <c r="C3919" s="4">
        <v>2026</v>
      </c>
      <c r="D3919" s="5" t="s">
        <v>3702</v>
      </c>
      <c r="E3919" s="4">
        <v>542</v>
      </c>
      <c r="F3919" s="4" t="s">
        <v>193</v>
      </c>
      <c r="G3919" s="4" t="s">
        <v>684</v>
      </c>
      <c r="H3919" s="4" t="s">
        <v>15</v>
      </c>
      <c r="I3919" s="4" t="s">
        <v>984</v>
      </c>
      <c r="J3919" s="4" t="s">
        <v>832</v>
      </c>
      <c r="K3919" s="4" t="s">
        <v>66</v>
      </c>
      <c r="L3919" s="4" t="s">
        <v>3742</v>
      </c>
      <c r="M3919" s="4" t="s">
        <v>3746</v>
      </c>
      <c r="N3919" s="4" t="s">
        <v>3747</v>
      </c>
      <c r="O3919" s="17" t="str">
        <f>INDEX('список ID из СУЭ с должностями'!$A:$F,MATCH(E3919,'список ID из СУЭ с должностями'!$B:$B,0),5)</f>
        <v>Инж смены</v>
      </c>
    </row>
    <row r="3920" spans="1:15" ht="60">
      <c r="A3920" s="3" t="s">
        <v>10</v>
      </c>
      <c r="B3920" s="3" t="s">
        <v>11</v>
      </c>
      <c r="C3920" s="4">
        <v>2026</v>
      </c>
      <c r="D3920" s="5" t="s">
        <v>3702</v>
      </c>
      <c r="E3920" s="4">
        <v>542</v>
      </c>
      <c r="F3920" s="4" t="s">
        <v>193</v>
      </c>
      <c r="G3920" s="4" t="s">
        <v>684</v>
      </c>
      <c r="H3920" s="4" t="s">
        <v>15</v>
      </c>
      <c r="I3920" s="4" t="s">
        <v>1612</v>
      </c>
      <c r="J3920" s="4" t="s">
        <v>1613</v>
      </c>
      <c r="K3920" s="4" t="s">
        <v>188</v>
      </c>
      <c r="L3920" s="4" t="s">
        <v>3742</v>
      </c>
      <c r="M3920" s="4" t="s">
        <v>3746</v>
      </c>
      <c r="N3920" s="4" t="s">
        <v>3747</v>
      </c>
      <c r="O3920" s="17" t="str">
        <f>INDEX('список ID из СУЭ с должностями'!$A:$F,MATCH(E3920,'список ID из СУЭ с должностями'!$B:$B,0),5)</f>
        <v>Инж смены</v>
      </c>
    </row>
    <row r="3921" spans="1:15" ht="75">
      <c r="A3921" s="3" t="s">
        <v>10</v>
      </c>
      <c r="B3921" s="3" t="s">
        <v>11</v>
      </c>
      <c r="C3921" s="4">
        <v>2026</v>
      </c>
      <c r="D3921" s="5" t="s">
        <v>3702</v>
      </c>
      <c r="E3921" s="4">
        <v>542</v>
      </c>
      <c r="F3921" s="4" t="s">
        <v>193</v>
      </c>
      <c r="G3921" s="4" t="s">
        <v>684</v>
      </c>
      <c r="H3921" s="4" t="s">
        <v>15</v>
      </c>
      <c r="I3921" s="4" t="s">
        <v>62</v>
      </c>
      <c r="J3921" s="4" t="s">
        <v>1614</v>
      </c>
      <c r="K3921" s="4" t="s">
        <v>20</v>
      </c>
      <c r="L3921" s="4" t="s">
        <v>3743</v>
      </c>
      <c r="M3921" s="4" t="s">
        <v>3746</v>
      </c>
      <c r="N3921" s="4" t="s">
        <v>3747</v>
      </c>
      <c r="O3921" s="17" t="str">
        <f>INDEX('список ID из СУЭ с должностями'!$A:$F,MATCH(E3921,'список ID из СУЭ с должностями'!$B:$B,0),5)</f>
        <v>Инж смены</v>
      </c>
    </row>
    <row r="3922" spans="1:15" ht="60">
      <c r="A3922" s="3" t="s">
        <v>10</v>
      </c>
      <c r="B3922" s="3" t="s">
        <v>11</v>
      </c>
      <c r="C3922" s="4">
        <v>2026</v>
      </c>
      <c r="D3922" s="5" t="s">
        <v>3702</v>
      </c>
      <c r="E3922" s="4">
        <v>542</v>
      </c>
      <c r="F3922" s="4" t="s">
        <v>193</v>
      </c>
      <c r="G3922" s="4" t="s">
        <v>684</v>
      </c>
      <c r="H3922" s="4" t="s">
        <v>15</v>
      </c>
      <c r="I3922" s="4" t="s">
        <v>1250</v>
      </c>
      <c r="J3922" s="4" t="s">
        <v>1251</v>
      </c>
      <c r="K3922" s="4" t="s">
        <v>38</v>
      </c>
      <c r="L3922" s="4" t="s">
        <v>3743</v>
      </c>
      <c r="M3922" s="4" t="s">
        <v>3746</v>
      </c>
      <c r="N3922" s="4" t="s">
        <v>3747</v>
      </c>
      <c r="O3922" s="17" t="str">
        <f>INDEX('список ID из СУЭ с должностями'!$A:$F,MATCH(E3922,'список ID из СУЭ с должностями'!$B:$B,0),5)</f>
        <v>Инж смены</v>
      </c>
    </row>
    <row r="3923" spans="1:15" ht="45">
      <c r="A3923" s="3" t="s">
        <v>10</v>
      </c>
      <c r="B3923" s="3" t="s">
        <v>11</v>
      </c>
      <c r="C3923" s="4">
        <v>2026</v>
      </c>
      <c r="D3923" s="5" t="s">
        <v>3702</v>
      </c>
      <c r="E3923" s="4">
        <v>542</v>
      </c>
      <c r="F3923" s="4" t="s">
        <v>193</v>
      </c>
      <c r="G3923" s="4" t="s">
        <v>684</v>
      </c>
      <c r="H3923" s="4" t="s">
        <v>15</v>
      </c>
      <c r="I3923" s="4" t="s">
        <v>596</v>
      </c>
      <c r="J3923" s="4" t="s">
        <v>1616</v>
      </c>
      <c r="K3923" s="4" t="s">
        <v>55</v>
      </c>
      <c r="L3923" s="4" t="s">
        <v>3742</v>
      </c>
      <c r="M3923" s="4" t="s">
        <v>3746</v>
      </c>
      <c r="N3923" s="4" t="s">
        <v>3747</v>
      </c>
      <c r="O3923" s="17" t="str">
        <f>INDEX('список ID из СУЭ с должностями'!$A:$F,MATCH(E3923,'список ID из СУЭ с должностями'!$B:$B,0),5)</f>
        <v>Инж смены</v>
      </c>
    </row>
    <row r="3924" spans="1:15" ht="60">
      <c r="A3924" s="3" t="s">
        <v>10</v>
      </c>
      <c r="B3924" s="3" t="s">
        <v>11</v>
      </c>
      <c r="C3924" s="4">
        <v>2026</v>
      </c>
      <c r="D3924" s="5" t="s">
        <v>3702</v>
      </c>
      <c r="E3924" s="4">
        <v>542</v>
      </c>
      <c r="F3924" s="4" t="s">
        <v>193</v>
      </c>
      <c r="G3924" s="4" t="s">
        <v>684</v>
      </c>
      <c r="H3924" s="4" t="s">
        <v>15</v>
      </c>
      <c r="I3924" s="4" t="s">
        <v>56</v>
      </c>
      <c r="J3924" s="4" t="s">
        <v>1617</v>
      </c>
      <c r="K3924" s="4" t="s">
        <v>30</v>
      </c>
      <c r="L3924" s="4" t="s">
        <v>3743</v>
      </c>
      <c r="M3924" s="4" t="s">
        <v>3746</v>
      </c>
      <c r="N3924" s="4" t="s">
        <v>3747</v>
      </c>
      <c r="O3924" s="17" t="str">
        <f>INDEX('список ID из СУЭ с должностями'!$A:$F,MATCH(E3924,'список ID из СУЭ с должностями'!$B:$B,0),5)</f>
        <v>Инж смены</v>
      </c>
    </row>
    <row r="3925" spans="1:15" ht="150">
      <c r="A3925" s="3" t="s">
        <v>10</v>
      </c>
      <c r="B3925" s="3" t="s">
        <v>11</v>
      </c>
      <c r="C3925" s="4">
        <v>2026</v>
      </c>
      <c r="D3925" s="5" t="s">
        <v>3702</v>
      </c>
      <c r="E3925" s="4">
        <v>542</v>
      </c>
      <c r="F3925" s="4" t="s">
        <v>193</v>
      </c>
      <c r="G3925" s="4" t="s">
        <v>684</v>
      </c>
      <c r="H3925" s="4" t="s">
        <v>21</v>
      </c>
      <c r="I3925" s="4" t="s">
        <v>46</v>
      </c>
      <c r="J3925" s="4" t="s">
        <v>1618</v>
      </c>
      <c r="K3925" s="4" t="s">
        <v>20</v>
      </c>
      <c r="L3925" s="4" t="s">
        <v>3743</v>
      </c>
      <c r="M3925" s="4" t="s">
        <v>3746</v>
      </c>
      <c r="N3925" s="4" t="s">
        <v>3747</v>
      </c>
      <c r="O3925" s="17" t="str">
        <f>INDEX('список ID из СУЭ с должностями'!$A:$F,MATCH(E3925,'список ID из СУЭ с должностями'!$B:$B,0),5)</f>
        <v>Инж смены</v>
      </c>
    </row>
    <row r="3926" spans="1:15" ht="45">
      <c r="A3926" s="3" t="s">
        <v>10</v>
      </c>
      <c r="B3926" s="3" t="s">
        <v>11</v>
      </c>
      <c r="C3926" s="4">
        <v>2026</v>
      </c>
      <c r="D3926" s="5" t="s">
        <v>3702</v>
      </c>
      <c r="E3926" s="4">
        <v>542</v>
      </c>
      <c r="F3926" s="4" t="s">
        <v>193</v>
      </c>
      <c r="G3926" s="4" t="s">
        <v>684</v>
      </c>
      <c r="H3926" s="4" t="s">
        <v>15</v>
      </c>
      <c r="I3926" s="4" t="s">
        <v>48</v>
      </c>
      <c r="J3926" s="4" t="s">
        <v>187</v>
      </c>
      <c r="K3926" s="4" t="s">
        <v>35</v>
      </c>
      <c r="L3926" s="4" t="s">
        <v>3743</v>
      </c>
      <c r="M3926" s="4" t="s">
        <v>3746</v>
      </c>
      <c r="N3926" s="4" t="s">
        <v>3747</v>
      </c>
      <c r="O3926" s="17" t="str">
        <f>INDEX('список ID из СУЭ с должностями'!$A:$F,MATCH(E3926,'список ID из СУЭ с должностями'!$B:$B,0),5)</f>
        <v>Инж смены</v>
      </c>
    </row>
    <row r="3927" spans="1:15" ht="60">
      <c r="A3927" s="3" t="s">
        <v>10</v>
      </c>
      <c r="B3927" s="3" t="s">
        <v>11</v>
      </c>
      <c r="C3927" s="4">
        <v>2026</v>
      </c>
      <c r="D3927" s="5" t="s">
        <v>3702</v>
      </c>
      <c r="E3927" s="4">
        <v>542</v>
      </c>
      <c r="F3927" s="4" t="s">
        <v>193</v>
      </c>
      <c r="G3927" s="4" t="s">
        <v>684</v>
      </c>
      <c r="H3927" s="4" t="s">
        <v>15</v>
      </c>
      <c r="I3927" s="4" t="s">
        <v>1588</v>
      </c>
      <c r="J3927" s="4" t="s">
        <v>1619</v>
      </c>
      <c r="K3927" s="4" t="s">
        <v>151</v>
      </c>
      <c r="L3927" s="4" t="s">
        <v>3742</v>
      </c>
      <c r="M3927" s="4" t="s">
        <v>3746</v>
      </c>
      <c r="N3927" s="4" t="s">
        <v>3747</v>
      </c>
      <c r="O3927" s="17" t="str">
        <f>INDEX('список ID из СУЭ с должностями'!$A:$F,MATCH(E3927,'список ID из СУЭ с должностями'!$B:$B,0),5)</f>
        <v>Инж смены</v>
      </c>
    </row>
    <row r="3928" spans="1:15" ht="60">
      <c r="A3928" s="3" t="s">
        <v>10</v>
      </c>
      <c r="B3928" s="3" t="s">
        <v>11</v>
      </c>
      <c r="C3928" s="4">
        <v>2026</v>
      </c>
      <c r="D3928" s="5" t="s">
        <v>3702</v>
      </c>
      <c r="E3928" s="4">
        <v>543</v>
      </c>
      <c r="F3928" s="4" t="s">
        <v>3703</v>
      </c>
      <c r="G3928" s="4" t="s">
        <v>1754</v>
      </c>
      <c r="H3928" s="4" t="s">
        <v>15</v>
      </c>
      <c r="I3928" s="4" t="s">
        <v>3704</v>
      </c>
      <c r="J3928" s="4" t="s">
        <v>3705</v>
      </c>
      <c r="K3928" s="4" t="s">
        <v>3706</v>
      </c>
      <c r="L3928" s="4" t="s">
        <v>3743</v>
      </c>
      <c r="M3928" s="4" t="s">
        <v>3746</v>
      </c>
      <c r="N3928" s="4" t="s">
        <v>3784</v>
      </c>
      <c r="O3928" s="17">
        <f>INDEX('список ID из СУЭ с должностями'!$A:$F,MATCH(E3928,'список ID из СУЭ с должностями'!$B:$B,0),5)</f>
        <v>0</v>
      </c>
    </row>
    <row r="3929" spans="1:15" ht="45">
      <c r="A3929" s="3" t="s">
        <v>10</v>
      </c>
      <c r="B3929" s="3" t="s">
        <v>11</v>
      </c>
      <c r="C3929" s="4">
        <v>2026</v>
      </c>
      <c r="D3929" s="5" t="s">
        <v>3702</v>
      </c>
      <c r="E3929" s="4">
        <v>543</v>
      </c>
      <c r="F3929" s="4" t="s">
        <v>3703</v>
      </c>
      <c r="G3929" s="4" t="s">
        <v>1754</v>
      </c>
      <c r="H3929" s="4" t="s">
        <v>15</v>
      </c>
      <c r="I3929" s="4" t="s">
        <v>3707</v>
      </c>
      <c r="J3929" s="4" t="s">
        <v>3708</v>
      </c>
      <c r="K3929" s="4" t="s">
        <v>23</v>
      </c>
      <c r="L3929" s="4" t="s">
        <v>3743</v>
      </c>
      <c r="M3929" s="4" t="s">
        <v>3748</v>
      </c>
      <c r="N3929" s="4" t="s">
        <v>3749</v>
      </c>
      <c r="O3929" s="17">
        <f>INDEX('список ID из СУЭ с должностями'!$A:$F,MATCH(E3929,'список ID из СУЭ с должностями'!$B:$B,0),5)</f>
        <v>0</v>
      </c>
    </row>
    <row r="3930" spans="1:15" ht="60">
      <c r="A3930" s="3" t="s">
        <v>10</v>
      </c>
      <c r="B3930" s="3" t="s">
        <v>11</v>
      </c>
      <c r="C3930" s="4">
        <v>2026</v>
      </c>
      <c r="D3930" s="5" t="s">
        <v>3702</v>
      </c>
      <c r="E3930" s="4">
        <v>543</v>
      </c>
      <c r="F3930" s="4" t="s">
        <v>3703</v>
      </c>
      <c r="G3930" s="4" t="s">
        <v>1754</v>
      </c>
      <c r="H3930" s="4" t="s">
        <v>21</v>
      </c>
      <c r="I3930" s="4" t="s">
        <v>3709</v>
      </c>
      <c r="J3930" s="4" t="s">
        <v>3710</v>
      </c>
      <c r="K3930" s="4" t="s">
        <v>30</v>
      </c>
      <c r="L3930" s="4" t="s">
        <v>3742</v>
      </c>
      <c r="M3930" s="4" t="s">
        <v>3746</v>
      </c>
      <c r="N3930" s="4" t="s">
        <v>3747</v>
      </c>
      <c r="O3930" s="17">
        <f>INDEX('список ID из СУЭ с должностями'!$A:$F,MATCH(E3930,'список ID из СУЭ с должностями'!$B:$B,0),5)</f>
        <v>0</v>
      </c>
    </row>
    <row r="3931" spans="1:15" ht="60">
      <c r="A3931" s="3" t="s">
        <v>10</v>
      </c>
      <c r="B3931" s="3" t="s">
        <v>11</v>
      </c>
      <c r="C3931" s="4">
        <v>2026</v>
      </c>
      <c r="D3931" s="5" t="s">
        <v>3702</v>
      </c>
      <c r="E3931" s="4">
        <v>543</v>
      </c>
      <c r="F3931" s="4" t="s">
        <v>3703</v>
      </c>
      <c r="G3931" s="4" t="s">
        <v>1754</v>
      </c>
      <c r="H3931" s="4" t="s">
        <v>15</v>
      </c>
      <c r="I3931" s="4" t="s">
        <v>3711</v>
      </c>
      <c r="J3931" s="4" t="s">
        <v>3712</v>
      </c>
      <c r="K3931" s="4" t="s">
        <v>3706</v>
      </c>
      <c r="L3931" s="4" t="s">
        <v>3743</v>
      </c>
      <c r="M3931" s="4" t="s">
        <v>3746</v>
      </c>
      <c r="N3931" s="4" t="s">
        <v>3784</v>
      </c>
      <c r="O3931" s="17">
        <f>INDEX('список ID из СУЭ с должностями'!$A:$F,MATCH(E3931,'список ID из СУЭ с должностями'!$B:$B,0),5)</f>
        <v>0</v>
      </c>
    </row>
    <row r="3932" spans="1:15" ht="90">
      <c r="A3932" s="3" t="s">
        <v>10</v>
      </c>
      <c r="B3932" s="3" t="s">
        <v>11</v>
      </c>
      <c r="C3932" s="4">
        <v>2026</v>
      </c>
      <c r="D3932" s="5" t="s">
        <v>3702</v>
      </c>
      <c r="E3932" s="4">
        <v>543</v>
      </c>
      <c r="F3932" s="4" t="s">
        <v>3703</v>
      </c>
      <c r="G3932" s="4" t="s">
        <v>1754</v>
      </c>
      <c r="H3932" s="4" t="s">
        <v>15</v>
      </c>
      <c r="I3932" s="4" t="s">
        <v>3713</v>
      </c>
      <c r="J3932" s="4" t="s">
        <v>711</v>
      </c>
      <c r="K3932" s="4" t="s">
        <v>3714</v>
      </c>
      <c r="L3932" s="4" t="s">
        <v>3742</v>
      </c>
      <c r="M3932" s="4" t="s">
        <v>3746</v>
      </c>
      <c r="N3932" s="4" t="s">
        <v>3784</v>
      </c>
      <c r="O3932" s="17">
        <f>INDEX('список ID из СУЭ с должностями'!$A:$F,MATCH(E3932,'список ID из СУЭ с должностями'!$B:$B,0),5)</f>
        <v>0</v>
      </c>
    </row>
    <row r="3933" spans="1:15" ht="60">
      <c r="A3933" s="3" t="s">
        <v>10</v>
      </c>
      <c r="B3933" s="3" t="s">
        <v>11</v>
      </c>
      <c r="C3933" s="4">
        <v>2026</v>
      </c>
      <c r="D3933" s="5" t="s">
        <v>3702</v>
      </c>
      <c r="E3933" s="4">
        <v>543</v>
      </c>
      <c r="F3933" s="4" t="s">
        <v>3703</v>
      </c>
      <c r="G3933" s="4" t="s">
        <v>1754</v>
      </c>
      <c r="H3933" s="4" t="s">
        <v>21</v>
      </c>
      <c r="I3933" s="4" t="s">
        <v>3715</v>
      </c>
      <c r="J3933" s="4" t="s">
        <v>3716</v>
      </c>
      <c r="K3933" s="4" t="s">
        <v>3706</v>
      </c>
      <c r="L3933" s="4" t="s">
        <v>3743</v>
      </c>
      <c r="M3933" s="4" t="s">
        <v>3746</v>
      </c>
      <c r="N3933" s="4" t="s">
        <v>3784</v>
      </c>
      <c r="O3933" s="17">
        <f>INDEX('список ID из СУЭ с должностями'!$A:$F,MATCH(E3933,'список ID из СУЭ с должностями'!$B:$B,0),5)</f>
        <v>0</v>
      </c>
    </row>
    <row r="3934" spans="1:15" ht="120">
      <c r="A3934" s="3" t="s">
        <v>10</v>
      </c>
      <c r="B3934" s="3" t="s">
        <v>11</v>
      </c>
      <c r="C3934" s="4">
        <v>2026</v>
      </c>
      <c r="D3934" s="5" t="s">
        <v>3717</v>
      </c>
      <c r="E3934" s="4">
        <v>544</v>
      </c>
      <c r="F3934" s="4" t="s">
        <v>2426</v>
      </c>
      <c r="G3934" s="4" t="s">
        <v>2427</v>
      </c>
      <c r="H3934" s="4" t="s">
        <v>15</v>
      </c>
      <c r="I3934" s="4" t="s">
        <v>460</v>
      </c>
      <c r="J3934" s="4" t="s">
        <v>2428</v>
      </c>
      <c r="K3934" s="4"/>
      <c r="L3934" s="4" t="s">
        <v>3743</v>
      </c>
      <c r="M3934" s="4"/>
      <c r="N3934" s="4"/>
      <c r="O3934" s="17">
        <f>INDEX('список ID из СУЭ с должностями'!$A:$F,MATCH(E3934,'список ID из СУЭ с должностями'!$B:$B,0),5)</f>
        <v>0</v>
      </c>
    </row>
    <row r="3935" spans="1:15" ht="120">
      <c r="A3935" s="3" t="s">
        <v>10</v>
      </c>
      <c r="B3935" s="3" t="s">
        <v>11</v>
      </c>
      <c r="C3935" s="4">
        <v>2026</v>
      </c>
      <c r="D3935" s="5" t="s">
        <v>3717</v>
      </c>
      <c r="E3935" s="4">
        <v>544</v>
      </c>
      <c r="F3935" s="4" t="s">
        <v>2426</v>
      </c>
      <c r="G3935" s="4" t="s">
        <v>2427</v>
      </c>
      <c r="H3935" s="4" t="s">
        <v>41</v>
      </c>
      <c r="I3935" s="4" t="s">
        <v>2430</v>
      </c>
      <c r="J3935" s="4" t="s">
        <v>2431</v>
      </c>
      <c r="K3935" s="4"/>
      <c r="L3935" s="4" t="s">
        <v>3743</v>
      </c>
      <c r="M3935" s="4"/>
      <c r="N3935" s="4"/>
      <c r="O3935" s="17">
        <f>INDEX('список ID из СУЭ с должностями'!$A:$F,MATCH(E3935,'список ID из СУЭ с должностями'!$B:$B,0),5)</f>
        <v>0</v>
      </c>
    </row>
    <row r="3936" spans="1:15" ht="120">
      <c r="A3936" s="3" t="s">
        <v>10</v>
      </c>
      <c r="B3936" s="3" t="s">
        <v>11</v>
      </c>
      <c r="C3936" s="4">
        <v>2026</v>
      </c>
      <c r="D3936" s="5" t="s">
        <v>3717</v>
      </c>
      <c r="E3936" s="4">
        <v>544</v>
      </c>
      <c r="F3936" s="4" t="s">
        <v>2426</v>
      </c>
      <c r="G3936" s="4" t="s">
        <v>2427</v>
      </c>
      <c r="H3936" s="4" t="s">
        <v>21</v>
      </c>
      <c r="I3936" s="4" t="s">
        <v>2432</v>
      </c>
      <c r="J3936" s="4" t="s">
        <v>2433</v>
      </c>
      <c r="K3936" s="4"/>
      <c r="L3936" s="4" t="s">
        <v>3743</v>
      </c>
      <c r="M3936" s="4"/>
      <c r="N3936" s="4"/>
      <c r="O3936" s="17">
        <f>INDEX('список ID из СУЭ с должностями'!$A:$F,MATCH(E3936,'список ID из СУЭ с должностями'!$B:$B,0),5)</f>
        <v>0</v>
      </c>
    </row>
    <row r="3937" spans="1:15" ht="120">
      <c r="A3937" s="3" t="s">
        <v>10</v>
      </c>
      <c r="B3937" s="3" t="s">
        <v>11</v>
      </c>
      <c r="C3937" s="4">
        <v>2026</v>
      </c>
      <c r="D3937" s="5" t="s">
        <v>3717</v>
      </c>
      <c r="E3937" s="4">
        <v>544</v>
      </c>
      <c r="F3937" s="4" t="s">
        <v>2426</v>
      </c>
      <c r="G3937" s="4" t="s">
        <v>2427</v>
      </c>
      <c r="H3937" s="4" t="s">
        <v>15</v>
      </c>
      <c r="I3937" s="4" t="s">
        <v>2434</v>
      </c>
      <c r="J3937" s="4" t="s">
        <v>2435</v>
      </c>
      <c r="K3937" s="4"/>
      <c r="L3937" s="4" t="s">
        <v>3743</v>
      </c>
      <c r="M3937" s="4"/>
      <c r="N3937" s="4"/>
      <c r="O3937" s="17">
        <f>INDEX('список ID из СУЭ с должностями'!$A:$F,MATCH(E3937,'список ID из СУЭ с должностями'!$B:$B,0),5)</f>
        <v>0</v>
      </c>
    </row>
    <row r="3938" spans="1:15" ht="120">
      <c r="A3938" s="3" t="s">
        <v>10</v>
      </c>
      <c r="B3938" s="3" t="s">
        <v>11</v>
      </c>
      <c r="C3938" s="4">
        <v>2026</v>
      </c>
      <c r="D3938" s="5" t="s">
        <v>3717</v>
      </c>
      <c r="E3938" s="4">
        <v>544</v>
      </c>
      <c r="F3938" s="4" t="s">
        <v>2426</v>
      </c>
      <c r="G3938" s="4" t="s">
        <v>2427</v>
      </c>
      <c r="H3938" s="4" t="s">
        <v>41</v>
      </c>
      <c r="I3938" s="4" t="s">
        <v>2436</v>
      </c>
      <c r="J3938" s="4" t="s">
        <v>2437</v>
      </c>
      <c r="K3938" s="4"/>
      <c r="L3938" s="4" t="s">
        <v>3743</v>
      </c>
      <c r="M3938" s="4"/>
      <c r="N3938" s="4"/>
      <c r="O3938" s="17">
        <f>INDEX('список ID из СУЭ с должностями'!$A:$F,MATCH(E3938,'список ID из СУЭ с должностями'!$B:$B,0),5)</f>
        <v>0</v>
      </c>
    </row>
    <row r="3939" spans="1:15" ht="195">
      <c r="A3939" s="3" t="s">
        <v>10</v>
      </c>
      <c r="B3939" s="3" t="s">
        <v>11</v>
      </c>
      <c r="C3939" s="4">
        <v>2026</v>
      </c>
      <c r="D3939" s="5" t="s">
        <v>3717</v>
      </c>
      <c r="E3939" s="4">
        <v>544</v>
      </c>
      <c r="F3939" s="4" t="s">
        <v>2426</v>
      </c>
      <c r="G3939" s="4" t="s">
        <v>2427</v>
      </c>
      <c r="H3939" s="4" t="s">
        <v>41</v>
      </c>
      <c r="I3939" s="4" t="s">
        <v>147</v>
      </c>
      <c r="J3939" s="4" t="s">
        <v>2438</v>
      </c>
      <c r="K3939" s="4"/>
      <c r="L3939" s="4" t="s">
        <v>3743</v>
      </c>
      <c r="M3939" s="4"/>
      <c r="N3939" s="4"/>
      <c r="O3939" s="17">
        <f>INDEX('список ID из СУЭ с должностями'!$A:$F,MATCH(E3939,'список ID из СУЭ с должностями'!$B:$B,0),5)</f>
        <v>0</v>
      </c>
    </row>
    <row r="3940" spans="1:15" ht="315">
      <c r="A3940" s="3" t="s">
        <v>10</v>
      </c>
      <c r="B3940" s="3" t="s">
        <v>11</v>
      </c>
      <c r="C3940" s="4">
        <v>2026</v>
      </c>
      <c r="D3940" s="5" t="s">
        <v>3717</v>
      </c>
      <c r="E3940" s="4">
        <v>544</v>
      </c>
      <c r="F3940" s="4" t="s">
        <v>2426</v>
      </c>
      <c r="G3940" s="4" t="s">
        <v>2427</v>
      </c>
      <c r="H3940" s="4" t="s">
        <v>15</v>
      </c>
      <c r="I3940" s="4" t="s">
        <v>2439</v>
      </c>
      <c r="J3940" s="4" t="s">
        <v>2440</v>
      </c>
      <c r="K3940" s="4"/>
      <c r="L3940" s="4" t="s">
        <v>3743</v>
      </c>
      <c r="M3940" s="4"/>
      <c r="N3940" s="4"/>
      <c r="O3940" s="17">
        <f>INDEX('список ID из СУЭ с должностями'!$A:$F,MATCH(E3940,'список ID из СУЭ с должностями'!$B:$B,0),5)</f>
        <v>0</v>
      </c>
    </row>
    <row r="3941" spans="1:15" ht="150">
      <c r="A3941" s="3" t="s">
        <v>10</v>
      </c>
      <c r="B3941" s="3" t="s">
        <v>11</v>
      </c>
      <c r="C3941" s="4">
        <v>2026</v>
      </c>
      <c r="D3941" s="5" t="s">
        <v>3718</v>
      </c>
      <c r="E3941" s="4">
        <v>545</v>
      </c>
      <c r="F3941" s="4" t="s">
        <v>3719</v>
      </c>
      <c r="G3941" s="4" t="s">
        <v>1001</v>
      </c>
      <c r="H3941" s="4" t="s">
        <v>15</v>
      </c>
      <c r="I3941" s="4" t="s">
        <v>857</v>
      </c>
      <c r="J3941" s="4" t="s">
        <v>3720</v>
      </c>
      <c r="K3941" s="4" t="s">
        <v>35</v>
      </c>
      <c r="L3941" s="4" t="s">
        <v>3743</v>
      </c>
      <c r="M3941" s="4" t="s">
        <v>3746</v>
      </c>
      <c r="N3941" s="4" t="s">
        <v>3747</v>
      </c>
      <c r="O3941" s="17">
        <f>INDEX('список ID из СУЭ с должностями'!$A:$F,MATCH(E3941,'список ID из СУЭ с должностями'!$B:$B,0),5)</f>
        <v>0</v>
      </c>
    </row>
    <row r="3942" spans="1:15" ht="150">
      <c r="A3942" s="3" t="s">
        <v>10</v>
      </c>
      <c r="B3942" s="3" t="s">
        <v>11</v>
      </c>
      <c r="C3942" s="4">
        <v>2026</v>
      </c>
      <c r="D3942" s="5" t="s">
        <v>3718</v>
      </c>
      <c r="E3942" s="4">
        <v>545</v>
      </c>
      <c r="F3942" s="4" t="s">
        <v>3719</v>
      </c>
      <c r="G3942" s="4" t="s">
        <v>1001</v>
      </c>
      <c r="H3942" s="4" t="s">
        <v>15</v>
      </c>
      <c r="I3942" s="4" t="s">
        <v>806</v>
      </c>
      <c r="J3942" s="4" t="s">
        <v>3721</v>
      </c>
      <c r="K3942" s="4" t="s">
        <v>38</v>
      </c>
      <c r="L3942" s="4" t="s">
        <v>3743</v>
      </c>
      <c r="M3942" s="4" t="s">
        <v>3746</v>
      </c>
      <c r="N3942" s="4" t="s">
        <v>3747</v>
      </c>
      <c r="O3942" s="17">
        <f>INDEX('список ID из СУЭ с должностями'!$A:$F,MATCH(E3942,'список ID из СУЭ с должностями'!$B:$B,0),5)</f>
        <v>0</v>
      </c>
    </row>
    <row r="3943" spans="1:15" ht="150">
      <c r="A3943" s="3" t="s">
        <v>10</v>
      </c>
      <c r="B3943" s="3" t="s">
        <v>11</v>
      </c>
      <c r="C3943" s="4">
        <v>2026</v>
      </c>
      <c r="D3943" s="5" t="s">
        <v>3718</v>
      </c>
      <c r="E3943" s="4">
        <v>545</v>
      </c>
      <c r="F3943" s="4" t="s">
        <v>3719</v>
      </c>
      <c r="G3943" s="4" t="s">
        <v>1001</v>
      </c>
      <c r="H3943" s="4" t="s">
        <v>15</v>
      </c>
      <c r="I3943" s="4" t="s">
        <v>3722</v>
      </c>
      <c r="J3943" s="4" t="s">
        <v>3723</v>
      </c>
      <c r="K3943" s="4" t="s">
        <v>52</v>
      </c>
      <c r="L3943" s="4" t="s">
        <v>3743</v>
      </c>
      <c r="M3943" s="4" t="s">
        <v>3746</v>
      </c>
      <c r="N3943" s="4" t="s">
        <v>3747</v>
      </c>
      <c r="O3943" s="17">
        <f>INDEX('список ID из СУЭ с должностями'!$A:$F,MATCH(E3943,'список ID из СУЭ с должностями'!$B:$B,0),5)</f>
        <v>0</v>
      </c>
    </row>
    <row r="3944" spans="1:15" ht="150">
      <c r="A3944" s="3" t="s">
        <v>10</v>
      </c>
      <c r="B3944" s="3" t="s">
        <v>11</v>
      </c>
      <c r="C3944" s="4">
        <v>2026</v>
      </c>
      <c r="D3944" s="5" t="s">
        <v>3718</v>
      </c>
      <c r="E3944" s="4">
        <v>545</v>
      </c>
      <c r="F3944" s="4" t="s">
        <v>3719</v>
      </c>
      <c r="G3944" s="4" t="s">
        <v>1001</v>
      </c>
      <c r="H3944" s="4" t="s">
        <v>15</v>
      </c>
      <c r="I3944" s="4" t="s">
        <v>303</v>
      </c>
      <c r="J3944" s="4" t="s">
        <v>3724</v>
      </c>
      <c r="K3944" s="4" t="s">
        <v>20</v>
      </c>
      <c r="L3944" s="4" t="s">
        <v>3743</v>
      </c>
      <c r="M3944" s="4" t="s">
        <v>3746</v>
      </c>
      <c r="N3944" s="4" t="s">
        <v>3747</v>
      </c>
      <c r="O3944" s="17">
        <f>INDEX('список ID из СУЭ с должностями'!$A:$F,MATCH(E3944,'список ID из СУЭ с должностями'!$B:$B,0),5)</f>
        <v>0</v>
      </c>
    </row>
    <row r="3945" spans="1:15" ht="150">
      <c r="A3945" s="3" t="s">
        <v>10</v>
      </c>
      <c r="B3945" s="3" t="s">
        <v>11</v>
      </c>
      <c r="C3945" s="4">
        <v>2026</v>
      </c>
      <c r="D3945" s="5" t="s">
        <v>3718</v>
      </c>
      <c r="E3945" s="4">
        <v>545</v>
      </c>
      <c r="F3945" s="4" t="s">
        <v>3719</v>
      </c>
      <c r="G3945" s="4" t="s">
        <v>1001</v>
      </c>
      <c r="H3945" s="4" t="s">
        <v>15</v>
      </c>
      <c r="I3945" s="4" t="s">
        <v>149</v>
      </c>
      <c r="J3945" s="4" t="s">
        <v>3725</v>
      </c>
      <c r="K3945" s="4" t="s">
        <v>52</v>
      </c>
      <c r="L3945" s="4" t="s">
        <v>3743</v>
      </c>
      <c r="M3945" s="4" t="s">
        <v>3746</v>
      </c>
      <c r="N3945" s="4" t="s">
        <v>3747</v>
      </c>
      <c r="O3945" s="17">
        <f>INDEX('список ID из СУЭ с должностями'!$A:$F,MATCH(E3945,'список ID из СУЭ с должностями'!$B:$B,0),5)</f>
        <v>0</v>
      </c>
    </row>
    <row r="3946" spans="1:15" ht="75">
      <c r="A3946" s="3" t="s">
        <v>10</v>
      </c>
      <c r="B3946" s="3" t="s">
        <v>11</v>
      </c>
      <c r="C3946" s="4">
        <v>2026</v>
      </c>
      <c r="D3946" s="5" t="s">
        <v>3718</v>
      </c>
      <c r="E3946" s="4">
        <v>546</v>
      </c>
      <c r="F3946" s="4" t="s">
        <v>3396</v>
      </c>
      <c r="G3946" s="4" t="s">
        <v>558</v>
      </c>
      <c r="H3946" s="4" t="s">
        <v>21</v>
      </c>
      <c r="I3946" s="4" t="s">
        <v>3726</v>
      </c>
      <c r="J3946" s="4" t="s">
        <v>3727</v>
      </c>
      <c r="K3946" s="4" t="s">
        <v>52</v>
      </c>
      <c r="L3946" s="4" t="s">
        <v>3743</v>
      </c>
      <c r="M3946" s="4" t="s">
        <v>3746</v>
      </c>
      <c r="N3946" s="4" t="s">
        <v>3747</v>
      </c>
      <c r="O3946" s="17">
        <f>INDEX('список ID из СУЭ с должностями'!$A:$F,MATCH(E3946,'список ID из СУЭ с должностями'!$B:$B,0),5)</f>
        <v>0</v>
      </c>
    </row>
    <row r="3947" spans="1:15" ht="75">
      <c r="A3947" s="3" t="s">
        <v>10</v>
      </c>
      <c r="B3947" s="3" t="s">
        <v>11</v>
      </c>
      <c r="C3947" s="4">
        <v>2026</v>
      </c>
      <c r="D3947" s="5" t="s">
        <v>3718</v>
      </c>
      <c r="E3947" s="4">
        <v>546</v>
      </c>
      <c r="F3947" s="4" t="s">
        <v>3396</v>
      </c>
      <c r="G3947" s="4" t="s">
        <v>558</v>
      </c>
      <c r="H3947" s="4" t="s">
        <v>21</v>
      </c>
      <c r="I3947" s="4" t="s">
        <v>3728</v>
      </c>
      <c r="J3947" s="4" t="s">
        <v>3729</v>
      </c>
      <c r="K3947" s="4" t="s">
        <v>52</v>
      </c>
      <c r="L3947" s="4" t="s">
        <v>3743</v>
      </c>
      <c r="M3947" s="4" t="s">
        <v>3746</v>
      </c>
      <c r="N3947" s="4" t="s">
        <v>3747</v>
      </c>
      <c r="O3947" s="17">
        <f>INDEX('список ID из СУЭ с должностями'!$A:$F,MATCH(E3947,'список ID из СУЭ с должностями'!$B:$B,0),5)</f>
        <v>0</v>
      </c>
    </row>
    <row r="3948" spans="1:15" ht="75">
      <c r="A3948" s="3" t="s">
        <v>10</v>
      </c>
      <c r="B3948" s="3" t="s">
        <v>11</v>
      </c>
      <c r="C3948" s="4">
        <v>2026</v>
      </c>
      <c r="D3948" s="5" t="s">
        <v>3718</v>
      </c>
      <c r="E3948" s="4">
        <v>546</v>
      </c>
      <c r="F3948" s="4" t="s">
        <v>3396</v>
      </c>
      <c r="G3948" s="4" t="s">
        <v>558</v>
      </c>
      <c r="H3948" s="4" t="s">
        <v>15</v>
      </c>
      <c r="I3948" s="4" t="s">
        <v>35</v>
      </c>
      <c r="J3948" s="4">
        <v>0</v>
      </c>
      <c r="K3948" s="4" t="s">
        <v>35</v>
      </c>
      <c r="L3948" s="4" t="s">
        <v>3743</v>
      </c>
      <c r="M3948" s="4" t="s">
        <v>3746</v>
      </c>
      <c r="N3948" s="4" t="s">
        <v>3747</v>
      </c>
      <c r="O3948" s="17">
        <f>INDEX('список ID из СУЭ с должностями'!$A:$F,MATCH(E3948,'список ID из СУЭ с должностями'!$B:$B,0),5)</f>
        <v>0</v>
      </c>
    </row>
    <row r="3949" spans="1:15" ht="120">
      <c r="A3949" s="3" t="s">
        <v>10</v>
      </c>
      <c r="B3949" s="3" t="s">
        <v>11</v>
      </c>
      <c r="C3949" s="4">
        <v>2026</v>
      </c>
      <c r="D3949" s="5" t="s">
        <v>3730</v>
      </c>
      <c r="E3949" s="4">
        <v>544</v>
      </c>
      <c r="F3949" s="4" t="s">
        <v>2426</v>
      </c>
      <c r="G3949" s="4" t="s">
        <v>2427</v>
      </c>
      <c r="H3949" s="4" t="s">
        <v>15</v>
      </c>
      <c r="I3949" s="4" t="s">
        <v>460</v>
      </c>
      <c r="J3949" s="4" t="s">
        <v>2428</v>
      </c>
      <c r="K3949" s="4"/>
      <c r="L3949" s="4" t="s">
        <v>3743</v>
      </c>
      <c r="M3949" s="4"/>
      <c r="N3949" s="4"/>
      <c r="O3949" s="17">
        <f>INDEX('список ID из СУЭ с должностями'!$A:$F,MATCH(E3949,'список ID из СУЭ с должностями'!$B:$B,0),5)</f>
        <v>0</v>
      </c>
    </row>
    <row r="3950" spans="1:15" ht="120">
      <c r="A3950" s="3" t="s">
        <v>10</v>
      </c>
      <c r="B3950" s="3" t="s">
        <v>11</v>
      </c>
      <c r="C3950" s="4">
        <v>2026</v>
      </c>
      <c r="D3950" s="5" t="s">
        <v>3730</v>
      </c>
      <c r="E3950" s="4">
        <v>544</v>
      </c>
      <c r="F3950" s="4" t="s">
        <v>2426</v>
      </c>
      <c r="G3950" s="4" t="s">
        <v>2427</v>
      </c>
      <c r="H3950" s="4" t="s">
        <v>41</v>
      </c>
      <c r="I3950" s="4" t="s">
        <v>2430</v>
      </c>
      <c r="J3950" s="4" t="s">
        <v>2431</v>
      </c>
      <c r="K3950" s="4"/>
      <c r="L3950" s="4" t="s">
        <v>3743</v>
      </c>
      <c r="M3950" s="4"/>
      <c r="N3950" s="4"/>
      <c r="O3950" s="17">
        <f>INDEX('список ID из СУЭ с должностями'!$A:$F,MATCH(E3950,'список ID из СУЭ с должностями'!$B:$B,0),5)</f>
        <v>0</v>
      </c>
    </row>
    <row r="3951" spans="1:15" ht="120">
      <c r="A3951" s="3" t="s">
        <v>10</v>
      </c>
      <c r="B3951" s="3" t="s">
        <v>11</v>
      </c>
      <c r="C3951" s="4">
        <v>2026</v>
      </c>
      <c r="D3951" s="5" t="s">
        <v>3730</v>
      </c>
      <c r="E3951" s="4">
        <v>544</v>
      </c>
      <c r="F3951" s="4" t="s">
        <v>2426</v>
      </c>
      <c r="G3951" s="4" t="s">
        <v>2427</v>
      </c>
      <c r="H3951" s="4" t="s">
        <v>21</v>
      </c>
      <c r="I3951" s="4" t="s">
        <v>2432</v>
      </c>
      <c r="J3951" s="4" t="s">
        <v>2433</v>
      </c>
      <c r="K3951" s="4"/>
      <c r="L3951" s="4" t="s">
        <v>3743</v>
      </c>
      <c r="M3951" s="4"/>
      <c r="N3951" s="4"/>
      <c r="O3951" s="17">
        <f>INDEX('список ID из СУЭ с должностями'!$A:$F,MATCH(E3951,'список ID из СУЭ с должностями'!$B:$B,0),5)</f>
        <v>0</v>
      </c>
    </row>
    <row r="3952" spans="1:15" ht="120">
      <c r="A3952" s="3" t="s">
        <v>10</v>
      </c>
      <c r="B3952" s="3" t="s">
        <v>11</v>
      </c>
      <c r="C3952" s="4">
        <v>2026</v>
      </c>
      <c r="D3952" s="5" t="s">
        <v>3730</v>
      </c>
      <c r="E3952" s="4">
        <v>544</v>
      </c>
      <c r="F3952" s="4" t="s">
        <v>2426</v>
      </c>
      <c r="G3952" s="4" t="s">
        <v>2427</v>
      </c>
      <c r="H3952" s="4" t="s">
        <v>15</v>
      </c>
      <c r="I3952" s="4" t="s">
        <v>2434</v>
      </c>
      <c r="J3952" s="4" t="s">
        <v>2435</v>
      </c>
      <c r="K3952" s="4"/>
      <c r="L3952" s="4" t="s">
        <v>3743</v>
      </c>
      <c r="M3952" s="4"/>
      <c r="N3952" s="4"/>
      <c r="O3952" s="17">
        <f>INDEX('список ID из СУЭ с должностями'!$A:$F,MATCH(E3952,'список ID из СУЭ с должностями'!$B:$B,0),5)</f>
        <v>0</v>
      </c>
    </row>
    <row r="3953" spans="1:15" ht="120">
      <c r="A3953" s="3" t="s">
        <v>10</v>
      </c>
      <c r="B3953" s="3" t="s">
        <v>11</v>
      </c>
      <c r="C3953" s="4">
        <v>2026</v>
      </c>
      <c r="D3953" s="5" t="s">
        <v>3730</v>
      </c>
      <c r="E3953" s="4">
        <v>544</v>
      </c>
      <c r="F3953" s="4" t="s">
        <v>2426</v>
      </c>
      <c r="G3953" s="4" t="s">
        <v>2427</v>
      </c>
      <c r="H3953" s="4" t="s">
        <v>41</v>
      </c>
      <c r="I3953" s="4" t="s">
        <v>2436</v>
      </c>
      <c r="J3953" s="4" t="s">
        <v>2437</v>
      </c>
      <c r="K3953" s="4"/>
      <c r="L3953" s="4" t="s">
        <v>3743</v>
      </c>
      <c r="M3953" s="4"/>
      <c r="N3953" s="4"/>
      <c r="O3953" s="17">
        <f>INDEX('список ID из СУЭ с должностями'!$A:$F,MATCH(E3953,'список ID из СУЭ с должностями'!$B:$B,0),5)</f>
        <v>0</v>
      </c>
    </row>
    <row r="3954" spans="1:15" ht="195">
      <c r="A3954" s="3" t="s">
        <v>10</v>
      </c>
      <c r="B3954" s="3" t="s">
        <v>11</v>
      </c>
      <c r="C3954" s="4">
        <v>2026</v>
      </c>
      <c r="D3954" s="5" t="s">
        <v>3730</v>
      </c>
      <c r="E3954" s="4">
        <v>544</v>
      </c>
      <c r="F3954" s="4" t="s">
        <v>2426</v>
      </c>
      <c r="G3954" s="4" t="s">
        <v>2427</v>
      </c>
      <c r="H3954" s="4" t="s">
        <v>41</v>
      </c>
      <c r="I3954" s="4" t="s">
        <v>147</v>
      </c>
      <c r="J3954" s="4" t="s">
        <v>2438</v>
      </c>
      <c r="K3954" s="4"/>
      <c r="L3954" s="4" t="s">
        <v>3743</v>
      </c>
      <c r="M3954" s="4"/>
      <c r="N3954" s="4"/>
      <c r="O3954" s="17">
        <f>INDEX('список ID из СУЭ с должностями'!$A:$F,MATCH(E3954,'список ID из СУЭ с должностями'!$B:$B,0),5)</f>
        <v>0</v>
      </c>
    </row>
    <row r="3955" spans="1:15" ht="315">
      <c r="A3955" s="3" t="s">
        <v>10</v>
      </c>
      <c r="B3955" s="3" t="s">
        <v>11</v>
      </c>
      <c r="C3955" s="4">
        <v>2026</v>
      </c>
      <c r="D3955" s="5" t="s">
        <v>3730</v>
      </c>
      <c r="E3955" s="4">
        <v>544</v>
      </c>
      <c r="F3955" s="4" t="s">
        <v>2426</v>
      </c>
      <c r="G3955" s="4" t="s">
        <v>2427</v>
      </c>
      <c r="H3955" s="4" t="s">
        <v>15</v>
      </c>
      <c r="I3955" s="4" t="s">
        <v>2439</v>
      </c>
      <c r="J3955" s="4" t="s">
        <v>2440</v>
      </c>
      <c r="K3955" s="4"/>
      <c r="L3955" s="4" t="s">
        <v>3743</v>
      </c>
      <c r="M3955" s="4"/>
      <c r="N3955" s="4"/>
      <c r="O3955" s="17">
        <f>INDEX('список ID из СУЭ с должностями'!$A:$F,MATCH(E3955,'список ID из СУЭ с должностями'!$B:$B,0),5)</f>
        <v>0</v>
      </c>
    </row>
    <row r="3956" spans="1:15" ht="105">
      <c r="A3956" s="3" t="s">
        <v>10</v>
      </c>
      <c r="B3956" s="3" t="s">
        <v>11</v>
      </c>
      <c r="C3956" s="4">
        <v>2026</v>
      </c>
      <c r="D3956" s="5" t="s">
        <v>3731</v>
      </c>
      <c r="E3956" s="4">
        <v>539</v>
      </c>
      <c r="F3956" s="4" t="s">
        <v>316</v>
      </c>
      <c r="G3956" s="4" t="s">
        <v>909</v>
      </c>
      <c r="H3956" s="4" t="s">
        <v>21</v>
      </c>
      <c r="I3956" s="4" t="s">
        <v>52</v>
      </c>
      <c r="J3956" s="4" t="s">
        <v>3693</v>
      </c>
      <c r="K3956" s="4"/>
      <c r="L3956" s="4" t="s">
        <v>3743</v>
      </c>
      <c r="M3956" s="4"/>
      <c r="N3956" s="4"/>
      <c r="O3956" s="17">
        <f>INDEX('список ID из СУЭ с должностями'!$A:$F,MATCH(E3956,'список ID из СУЭ с должностями'!$B:$B,0),5)</f>
        <v>0</v>
      </c>
    </row>
    <row r="3957" spans="1:15" ht="75">
      <c r="A3957" s="3" t="s">
        <v>10</v>
      </c>
      <c r="B3957" s="3" t="s">
        <v>11</v>
      </c>
      <c r="C3957" s="4">
        <v>2026</v>
      </c>
      <c r="D3957" s="5" t="s">
        <v>3731</v>
      </c>
      <c r="E3957" s="4">
        <v>539</v>
      </c>
      <c r="F3957" s="4" t="s">
        <v>316</v>
      </c>
      <c r="G3957" s="4" t="s">
        <v>909</v>
      </c>
      <c r="H3957" s="4" t="s">
        <v>15</v>
      </c>
      <c r="I3957" s="4" t="s">
        <v>3694</v>
      </c>
      <c r="J3957" s="4" t="s">
        <v>3695</v>
      </c>
      <c r="K3957" s="4"/>
      <c r="L3957" s="4" t="s">
        <v>3743</v>
      </c>
      <c r="M3957" s="4"/>
      <c r="N3957" s="4"/>
      <c r="O3957" s="17">
        <f>INDEX('список ID из СУЭ с должностями'!$A:$F,MATCH(E3957,'список ID из СУЭ с должностями'!$B:$B,0),5)</f>
        <v>0</v>
      </c>
    </row>
    <row r="3958" spans="1:15" ht="75">
      <c r="A3958" s="3" t="s">
        <v>10</v>
      </c>
      <c r="B3958" s="3" t="s">
        <v>11</v>
      </c>
      <c r="C3958" s="4">
        <v>2026</v>
      </c>
      <c r="D3958" s="5" t="s">
        <v>3731</v>
      </c>
      <c r="E3958" s="4">
        <v>539</v>
      </c>
      <c r="F3958" s="4" t="s">
        <v>316</v>
      </c>
      <c r="G3958" s="4" t="s">
        <v>909</v>
      </c>
      <c r="H3958" s="4" t="s">
        <v>15</v>
      </c>
      <c r="I3958" s="4" t="s">
        <v>3696</v>
      </c>
      <c r="J3958" s="4" t="s">
        <v>196</v>
      </c>
      <c r="K3958" s="4"/>
      <c r="L3958" s="4" t="s">
        <v>3742</v>
      </c>
      <c r="M3958" s="4"/>
      <c r="N3958" s="4"/>
      <c r="O3958" s="17">
        <f>INDEX('список ID из СУЭ с должностями'!$A:$F,MATCH(E3958,'список ID из СУЭ с должностями'!$B:$B,0),5)</f>
        <v>0</v>
      </c>
    </row>
    <row r="3959" spans="1:15" ht="105">
      <c r="A3959" s="3" t="s">
        <v>10</v>
      </c>
      <c r="B3959" s="3" t="s">
        <v>11</v>
      </c>
      <c r="C3959" s="4">
        <v>2026</v>
      </c>
      <c r="D3959" s="5" t="s">
        <v>3731</v>
      </c>
      <c r="E3959" s="4">
        <v>539</v>
      </c>
      <c r="F3959" s="4" t="s">
        <v>316</v>
      </c>
      <c r="G3959" s="4" t="s">
        <v>909</v>
      </c>
      <c r="H3959" s="4" t="s">
        <v>15</v>
      </c>
      <c r="I3959" s="4" t="s">
        <v>361</v>
      </c>
      <c r="J3959" s="4" t="s">
        <v>3697</v>
      </c>
      <c r="K3959" s="4"/>
      <c r="L3959" s="4" t="s">
        <v>3743</v>
      </c>
      <c r="M3959" s="4"/>
      <c r="N3959" s="4"/>
      <c r="O3959" s="17">
        <f>INDEX('список ID из СУЭ с должностями'!$A:$F,MATCH(E3959,'список ID из СУЭ с должностями'!$B:$B,0),5)</f>
        <v>0</v>
      </c>
    </row>
    <row r="3960" spans="1:15" ht="105">
      <c r="A3960" s="3" t="s">
        <v>10</v>
      </c>
      <c r="B3960" s="3" t="s">
        <v>11</v>
      </c>
      <c r="C3960" s="4">
        <v>2026</v>
      </c>
      <c r="D3960" s="5" t="s">
        <v>3731</v>
      </c>
      <c r="E3960" s="4">
        <v>539</v>
      </c>
      <c r="F3960" s="4" t="s">
        <v>316</v>
      </c>
      <c r="G3960" s="4" t="s">
        <v>909</v>
      </c>
      <c r="H3960" s="4" t="s">
        <v>15</v>
      </c>
      <c r="I3960" s="4" t="s">
        <v>100</v>
      </c>
      <c r="J3960" s="4" t="s">
        <v>3698</v>
      </c>
      <c r="K3960" s="4"/>
      <c r="L3960" s="4" t="s">
        <v>3743</v>
      </c>
      <c r="M3960" s="4"/>
      <c r="N3960" s="4"/>
      <c r="O3960" s="17">
        <f>INDEX('список ID из СУЭ с должностями'!$A:$F,MATCH(E3960,'список ID из СУЭ с должностями'!$B:$B,0),5)</f>
        <v>0</v>
      </c>
    </row>
    <row r="3961" spans="1:15" ht="210">
      <c r="A3961" s="3" t="s">
        <v>10</v>
      </c>
      <c r="B3961" s="3" t="s">
        <v>11</v>
      </c>
      <c r="C3961" s="4">
        <v>2026</v>
      </c>
      <c r="D3961" s="5" t="s">
        <v>3731</v>
      </c>
      <c r="E3961" s="4">
        <v>539</v>
      </c>
      <c r="F3961" s="4" t="s">
        <v>316</v>
      </c>
      <c r="G3961" s="4" t="s">
        <v>909</v>
      </c>
      <c r="H3961" s="4" t="s">
        <v>15</v>
      </c>
      <c r="I3961" s="4" t="s">
        <v>3699</v>
      </c>
      <c r="J3961" s="4" t="s">
        <v>3700</v>
      </c>
      <c r="K3961" s="4"/>
      <c r="L3961" s="4" t="s">
        <v>3743</v>
      </c>
      <c r="M3961" s="4"/>
      <c r="N3961" s="4"/>
      <c r="O3961" s="17">
        <f>INDEX('список ID из СУЭ с должностями'!$A:$F,MATCH(E3961,'список ID из СУЭ с должностями'!$B:$B,0),5)</f>
        <v>0</v>
      </c>
    </row>
    <row r="3962" spans="1:15" ht="90">
      <c r="A3962" s="3" t="s">
        <v>10</v>
      </c>
      <c r="B3962" s="3" t="s">
        <v>11</v>
      </c>
      <c r="C3962" s="4">
        <v>2026</v>
      </c>
      <c r="D3962" s="5" t="s">
        <v>3732</v>
      </c>
      <c r="E3962" s="4">
        <v>426</v>
      </c>
      <c r="F3962" s="4" t="s">
        <v>727</v>
      </c>
      <c r="G3962" s="4" t="s">
        <v>725</v>
      </c>
      <c r="H3962" s="4" t="s">
        <v>15</v>
      </c>
      <c r="I3962" s="4" t="s">
        <v>768</v>
      </c>
      <c r="J3962" s="4" t="s">
        <v>182</v>
      </c>
      <c r="K3962" s="4" t="s">
        <v>30</v>
      </c>
      <c r="L3962" s="4" t="s">
        <v>3742</v>
      </c>
      <c r="M3962" s="4" t="s">
        <v>3746</v>
      </c>
      <c r="N3962" s="4" t="s">
        <v>3747</v>
      </c>
      <c r="O3962" s="17">
        <f>INDEX('список ID из СУЭ с должностями'!$A:$F,MATCH(E3962,'список ID из СУЭ с должностями'!$B:$B,0),5)</f>
        <v>0</v>
      </c>
    </row>
    <row r="3963" spans="1:15" ht="90">
      <c r="A3963" s="3" t="s">
        <v>10</v>
      </c>
      <c r="B3963" s="3" t="s">
        <v>11</v>
      </c>
      <c r="C3963" s="4">
        <v>2026</v>
      </c>
      <c r="D3963" s="5" t="s">
        <v>3732</v>
      </c>
      <c r="E3963" s="4">
        <v>426</v>
      </c>
      <c r="F3963" s="4" t="s">
        <v>727</v>
      </c>
      <c r="G3963" s="4" t="s">
        <v>725</v>
      </c>
      <c r="H3963" s="4" t="s">
        <v>15</v>
      </c>
      <c r="I3963" s="4" t="s">
        <v>769</v>
      </c>
      <c r="J3963" s="4" t="s">
        <v>182</v>
      </c>
      <c r="K3963" s="4" t="s">
        <v>30</v>
      </c>
      <c r="L3963" s="4" t="s">
        <v>3742</v>
      </c>
      <c r="M3963" s="4" t="s">
        <v>3746</v>
      </c>
      <c r="N3963" s="4" t="s">
        <v>3747</v>
      </c>
      <c r="O3963" s="17">
        <f>INDEX('список ID из СУЭ с должностями'!$A:$F,MATCH(E3963,'список ID из СУЭ с должностями'!$B:$B,0),5)</f>
        <v>0</v>
      </c>
    </row>
    <row r="3964" spans="1:15" ht="90">
      <c r="A3964" s="3" t="s">
        <v>10</v>
      </c>
      <c r="B3964" s="3" t="s">
        <v>11</v>
      </c>
      <c r="C3964" s="4">
        <v>2026</v>
      </c>
      <c r="D3964" s="5" t="s">
        <v>3732</v>
      </c>
      <c r="E3964" s="4">
        <v>426</v>
      </c>
      <c r="F3964" s="4" t="s">
        <v>727</v>
      </c>
      <c r="G3964" s="4" t="s">
        <v>725</v>
      </c>
      <c r="H3964" s="4" t="s">
        <v>15</v>
      </c>
      <c r="I3964" s="4" t="s">
        <v>770</v>
      </c>
      <c r="J3964" s="4" t="s">
        <v>771</v>
      </c>
      <c r="K3964" s="4" t="s">
        <v>35</v>
      </c>
      <c r="L3964" s="4" t="s">
        <v>3742</v>
      </c>
      <c r="M3964" s="4" t="s">
        <v>3746</v>
      </c>
      <c r="N3964" s="4" t="s">
        <v>3747</v>
      </c>
      <c r="O3964" s="17">
        <f>INDEX('список ID из СУЭ с должностями'!$A:$F,MATCH(E3964,'список ID из СУЭ с должностями'!$B:$B,0),5)</f>
        <v>0</v>
      </c>
    </row>
    <row r="3965" spans="1:15" ht="105">
      <c r="A3965" s="3" t="s">
        <v>10</v>
      </c>
      <c r="B3965" s="3" t="s">
        <v>11</v>
      </c>
      <c r="C3965" s="4">
        <v>2026</v>
      </c>
      <c r="D3965" s="5" t="s">
        <v>3732</v>
      </c>
      <c r="E3965" s="4">
        <v>426</v>
      </c>
      <c r="F3965" s="4" t="s">
        <v>727</v>
      </c>
      <c r="G3965" s="4" t="s">
        <v>725</v>
      </c>
      <c r="H3965" s="4" t="s">
        <v>15</v>
      </c>
      <c r="I3965" s="4" t="s">
        <v>772</v>
      </c>
      <c r="J3965" s="4" t="s">
        <v>773</v>
      </c>
      <c r="K3965" s="4" t="s">
        <v>30</v>
      </c>
      <c r="L3965" s="4" t="s">
        <v>3743</v>
      </c>
      <c r="M3965" s="4" t="s">
        <v>3746</v>
      </c>
      <c r="N3965" s="4" t="s">
        <v>3747</v>
      </c>
      <c r="O3965" s="17">
        <f>INDEX('список ID из СУЭ с должностями'!$A:$F,MATCH(E3965,'список ID из СУЭ с должностями'!$B:$B,0),5)</f>
        <v>0</v>
      </c>
    </row>
    <row r="3966" spans="1:15" ht="90">
      <c r="A3966" s="3" t="s">
        <v>10</v>
      </c>
      <c r="B3966" s="3" t="s">
        <v>11</v>
      </c>
      <c r="C3966" s="4">
        <v>2026</v>
      </c>
      <c r="D3966" s="5" t="s">
        <v>3732</v>
      </c>
      <c r="E3966" s="4">
        <v>426</v>
      </c>
      <c r="F3966" s="4" t="s">
        <v>727</v>
      </c>
      <c r="G3966" s="4" t="s">
        <v>725</v>
      </c>
      <c r="H3966" s="4" t="s">
        <v>15</v>
      </c>
      <c r="I3966" s="4" t="s">
        <v>774</v>
      </c>
      <c r="J3966" s="4" t="s">
        <v>182</v>
      </c>
      <c r="K3966" s="4" t="s">
        <v>30</v>
      </c>
      <c r="L3966" s="4" t="s">
        <v>3742</v>
      </c>
      <c r="M3966" s="4" t="s">
        <v>3746</v>
      </c>
      <c r="N3966" s="4" t="s">
        <v>3747</v>
      </c>
      <c r="O3966" s="17">
        <f>INDEX('список ID из СУЭ с должностями'!$A:$F,MATCH(E3966,'список ID из СУЭ с должностями'!$B:$B,0),5)</f>
        <v>0</v>
      </c>
    </row>
    <row r="3967" spans="1:15" ht="90">
      <c r="A3967" s="3" t="s">
        <v>10</v>
      </c>
      <c r="B3967" s="3" t="s">
        <v>11</v>
      </c>
      <c r="C3967" s="4">
        <v>2026</v>
      </c>
      <c r="D3967" s="5" t="s">
        <v>3732</v>
      </c>
      <c r="E3967" s="4">
        <v>426</v>
      </c>
      <c r="F3967" s="4" t="s">
        <v>727</v>
      </c>
      <c r="G3967" s="4" t="s">
        <v>725</v>
      </c>
      <c r="H3967" s="4" t="s">
        <v>15</v>
      </c>
      <c r="I3967" s="4" t="s">
        <v>775</v>
      </c>
      <c r="J3967" s="4" t="s">
        <v>776</v>
      </c>
      <c r="K3967" s="4" t="s">
        <v>30</v>
      </c>
      <c r="L3967" s="4" t="s">
        <v>3743</v>
      </c>
      <c r="M3967" s="4" t="s">
        <v>3746</v>
      </c>
      <c r="N3967" s="4" t="s">
        <v>3747</v>
      </c>
      <c r="O3967" s="17">
        <f>INDEX('список ID из СУЭ с должностями'!$A:$F,MATCH(E3967,'список ID из СУЭ с должностями'!$B:$B,0),5)</f>
        <v>0</v>
      </c>
    </row>
    <row r="3968" spans="1:15" ht="90">
      <c r="A3968" s="3" t="s">
        <v>10</v>
      </c>
      <c r="B3968" s="3" t="s">
        <v>11</v>
      </c>
      <c r="C3968" s="4">
        <v>2026</v>
      </c>
      <c r="D3968" s="5" t="s">
        <v>3732</v>
      </c>
      <c r="E3968" s="4">
        <v>426</v>
      </c>
      <c r="F3968" s="4" t="s">
        <v>727</v>
      </c>
      <c r="G3968" s="4" t="s">
        <v>725</v>
      </c>
      <c r="H3968" s="4" t="s">
        <v>15</v>
      </c>
      <c r="I3968" s="4" t="s">
        <v>778</v>
      </c>
      <c r="J3968" s="4" t="s">
        <v>132</v>
      </c>
      <c r="K3968" s="4" t="s">
        <v>30</v>
      </c>
      <c r="L3968" s="4" t="s">
        <v>3742</v>
      </c>
      <c r="M3968" s="4" t="s">
        <v>3746</v>
      </c>
      <c r="N3968" s="4" t="s">
        <v>3747</v>
      </c>
      <c r="O3968" s="17">
        <f>INDEX('список ID из СУЭ с должностями'!$A:$F,MATCH(E3968,'список ID из СУЭ с должностями'!$B:$B,0),5)</f>
        <v>0</v>
      </c>
    </row>
    <row r="3969" spans="1:15" ht="90">
      <c r="A3969" s="3" t="s">
        <v>10</v>
      </c>
      <c r="B3969" s="3" t="s">
        <v>11</v>
      </c>
      <c r="C3969" s="4">
        <v>2026</v>
      </c>
      <c r="D3969" s="5" t="s">
        <v>3732</v>
      </c>
      <c r="E3969" s="4">
        <v>426</v>
      </c>
      <c r="F3969" s="4" t="s">
        <v>727</v>
      </c>
      <c r="G3969" s="4" t="s">
        <v>725</v>
      </c>
      <c r="H3969" s="4" t="s">
        <v>21</v>
      </c>
      <c r="I3969" s="4" t="s">
        <v>779</v>
      </c>
      <c r="J3969" s="4" t="s">
        <v>132</v>
      </c>
      <c r="K3969" s="4" t="s">
        <v>25</v>
      </c>
      <c r="L3969" s="4" t="s">
        <v>3742</v>
      </c>
      <c r="M3969" s="4" t="s">
        <v>3746</v>
      </c>
      <c r="N3969" s="4" t="s">
        <v>3747</v>
      </c>
      <c r="O3969" s="17">
        <f>INDEX('список ID из СУЭ с должностями'!$A:$F,MATCH(E3969,'список ID из СУЭ с должностями'!$B:$B,0),5)</f>
        <v>0</v>
      </c>
    </row>
    <row r="3970" spans="1:15" ht="90">
      <c r="A3970" s="3" t="s">
        <v>10</v>
      </c>
      <c r="B3970" s="3" t="s">
        <v>11</v>
      </c>
      <c r="C3970" s="4">
        <v>2026</v>
      </c>
      <c r="D3970" s="5" t="s">
        <v>3732</v>
      </c>
      <c r="E3970" s="4">
        <v>426</v>
      </c>
      <c r="F3970" s="4" t="s">
        <v>727</v>
      </c>
      <c r="G3970" s="4" t="s">
        <v>725</v>
      </c>
      <c r="H3970" s="4" t="s">
        <v>15</v>
      </c>
      <c r="I3970" s="4" t="s">
        <v>3733</v>
      </c>
      <c r="J3970" s="4" t="s">
        <v>3734</v>
      </c>
      <c r="K3970" s="4" t="s">
        <v>25</v>
      </c>
      <c r="L3970" s="4" t="s">
        <v>3743</v>
      </c>
      <c r="M3970" s="4" t="s">
        <v>3746</v>
      </c>
      <c r="N3970" s="4" t="s">
        <v>3747</v>
      </c>
      <c r="O3970" s="17">
        <f>INDEX('список ID из СУЭ с должностями'!$A:$F,MATCH(E3970,'список ID из СУЭ с должностями'!$B:$B,0),5)</f>
        <v>0</v>
      </c>
    </row>
    <row r="3971" spans="1:15" ht="60">
      <c r="A3971" s="3" t="s">
        <v>10</v>
      </c>
      <c r="B3971" s="3" t="s">
        <v>11</v>
      </c>
      <c r="C3971" s="4">
        <v>2026</v>
      </c>
      <c r="D3971" s="5" t="s">
        <v>3735</v>
      </c>
      <c r="E3971" s="4">
        <v>225</v>
      </c>
      <c r="F3971" s="4" t="s">
        <v>39</v>
      </c>
      <c r="G3971" s="4" t="s">
        <v>506</v>
      </c>
      <c r="H3971" s="4" t="s">
        <v>15</v>
      </c>
      <c r="I3971" s="4" t="s">
        <v>700</v>
      </c>
      <c r="J3971" s="4" t="s">
        <v>200</v>
      </c>
      <c r="K3971" s="4" t="s">
        <v>30</v>
      </c>
      <c r="L3971" s="4" t="s">
        <v>3742</v>
      </c>
      <c r="M3971" s="4" t="s">
        <v>3746</v>
      </c>
      <c r="N3971" s="4" t="s">
        <v>3747</v>
      </c>
      <c r="O3971" s="17" t="str">
        <f>INDEX('список ID из СУЭ с должностями'!$A:$F,MATCH(E3971,'список ID из СУЭ с должностями'!$B:$B,0),5)</f>
        <v>МОК</v>
      </c>
    </row>
    <row r="3972" spans="1:15" ht="225">
      <c r="A3972" s="3" t="s">
        <v>10</v>
      </c>
      <c r="B3972" s="3" t="s">
        <v>11</v>
      </c>
      <c r="C3972" s="4">
        <v>2026</v>
      </c>
      <c r="D3972" s="5" t="s">
        <v>3735</v>
      </c>
      <c r="E3972" s="4">
        <v>225</v>
      </c>
      <c r="F3972" s="4" t="s">
        <v>39</v>
      </c>
      <c r="G3972" s="4" t="s">
        <v>506</v>
      </c>
      <c r="H3972" s="4" t="s">
        <v>15</v>
      </c>
      <c r="I3972" s="4" t="s">
        <v>2050</v>
      </c>
      <c r="J3972" s="4" t="s">
        <v>2051</v>
      </c>
      <c r="K3972" s="4" t="s">
        <v>20</v>
      </c>
      <c r="L3972" s="4" t="s">
        <v>3743</v>
      </c>
      <c r="M3972" s="4" t="s">
        <v>3746</v>
      </c>
      <c r="N3972" s="4" t="s">
        <v>3747</v>
      </c>
      <c r="O3972" s="17" t="str">
        <f>INDEX('список ID из СУЭ с должностями'!$A:$F,MATCH(E3972,'список ID из СУЭ с должностями'!$B:$B,0),5)</f>
        <v>МОК</v>
      </c>
    </row>
    <row r="3973" spans="1:15" ht="45">
      <c r="A3973" s="3" t="s">
        <v>10</v>
      </c>
      <c r="B3973" s="3" t="s">
        <v>11</v>
      </c>
      <c r="C3973" s="4">
        <v>2026</v>
      </c>
      <c r="D3973" s="5" t="s">
        <v>3735</v>
      </c>
      <c r="E3973" s="4">
        <v>225</v>
      </c>
      <c r="F3973" s="4" t="s">
        <v>39</v>
      </c>
      <c r="G3973" s="4" t="s">
        <v>506</v>
      </c>
      <c r="H3973" s="4" t="s">
        <v>15</v>
      </c>
      <c r="I3973" s="4" t="s">
        <v>2053</v>
      </c>
      <c r="J3973" s="4" t="s">
        <v>187</v>
      </c>
      <c r="K3973" s="4" t="s">
        <v>35</v>
      </c>
      <c r="L3973" s="4" t="s">
        <v>3743</v>
      </c>
      <c r="M3973" s="4" t="s">
        <v>3746</v>
      </c>
      <c r="N3973" s="4" t="s">
        <v>3747</v>
      </c>
      <c r="O3973" s="17" t="str">
        <f>INDEX('список ID из СУЭ с должностями'!$A:$F,MATCH(E3973,'список ID из СУЭ с должностями'!$B:$B,0),5)</f>
        <v>МОК</v>
      </c>
    </row>
    <row r="3974" spans="1:15" ht="105">
      <c r="A3974" s="3" t="s">
        <v>10</v>
      </c>
      <c r="B3974" s="3" t="s">
        <v>11</v>
      </c>
      <c r="C3974" s="4">
        <v>2026</v>
      </c>
      <c r="D3974" s="5" t="s">
        <v>3735</v>
      </c>
      <c r="E3974" s="4">
        <v>225</v>
      </c>
      <c r="F3974" s="4" t="s">
        <v>39</v>
      </c>
      <c r="G3974" s="4" t="s">
        <v>506</v>
      </c>
      <c r="H3974" s="4" t="s">
        <v>15</v>
      </c>
      <c r="I3974" s="4" t="s">
        <v>1763</v>
      </c>
      <c r="J3974" s="4" t="s">
        <v>1764</v>
      </c>
      <c r="K3974" s="4" t="s">
        <v>25</v>
      </c>
      <c r="L3974" s="4" t="s">
        <v>3743</v>
      </c>
      <c r="M3974" s="4" t="s">
        <v>3746</v>
      </c>
      <c r="N3974" s="4" t="s">
        <v>3747</v>
      </c>
      <c r="O3974" s="17" t="str">
        <f>INDEX('список ID из СУЭ с должностями'!$A:$F,MATCH(E3974,'список ID из СУЭ с должностями'!$B:$B,0),5)</f>
        <v>МОК</v>
      </c>
    </row>
    <row r="3975" spans="1:15" ht="75">
      <c r="A3975" s="3" t="s">
        <v>10</v>
      </c>
      <c r="B3975" s="3" t="s">
        <v>11</v>
      </c>
      <c r="C3975" s="4">
        <v>2026</v>
      </c>
      <c r="D3975" s="5" t="s">
        <v>3735</v>
      </c>
      <c r="E3975" s="4">
        <v>225</v>
      </c>
      <c r="F3975" s="4" t="s">
        <v>39</v>
      </c>
      <c r="G3975" s="4" t="s">
        <v>506</v>
      </c>
      <c r="H3975" s="4" t="s">
        <v>15</v>
      </c>
      <c r="I3975" s="4" t="s">
        <v>1960</v>
      </c>
      <c r="J3975" s="4" t="s">
        <v>3736</v>
      </c>
      <c r="K3975" s="4" t="s">
        <v>230</v>
      </c>
      <c r="L3975" s="4" t="s">
        <v>3743</v>
      </c>
      <c r="M3975" s="4" t="s">
        <v>3746</v>
      </c>
      <c r="N3975" s="4" t="s">
        <v>3754</v>
      </c>
      <c r="O3975" s="17" t="str">
        <f>INDEX('список ID из СУЭ с должностями'!$A:$F,MATCH(E3975,'список ID из СУЭ с должностями'!$B:$B,0),5)</f>
        <v>МОК</v>
      </c>
    </row>
    <row r="3976" spans="1:15" ht="75">
      <c r="A3976" s="3" t="s">
        <v>10</v>
      </c>
      <c r="B3976" s="3" t="s">
        <v>11</v>
      </c>
      <c r="C3976" s="4">
        <v>2026</v>
      </c>
      <c r="D3976" s="5" t="s">
        <v>3735</v>
      </c>
      <c r="E3976" s="4">
        <v>225</v>
      </c>
      <c r="F3976" s="4" t="s">
        <v>39</v>
      </c>
      <c r="G3976" s="4" t="s">
        <v>506</v>
      </c>
      <c r="H3976" s="4" t="s">
        <v>15</v>
      </c>
      <c r="I3976" s="4" t="s">
        <v>1958</v>
      </c>
      <c r="J3976" s="4" t="s">
        <v>3737</v>
      </c>
      <c r="K3976" s="4" t="s">
        <v>230</v>
      </c>
      <c r="L3976" s="4" t="s">
        <v>3743</v>
      </c>
      <c r="M3976" s="4" t="s">
        <v>3746</v>
      </c>
      <c r="N3976" s="4" t="s">
        <v>3754</v>
      </c>
      <c r="O3976" s="17" t="str">
        <f>INDEX('список ID из СУЭ с должностями'!$A:$F,MATCH(E3976,'список ID из СУЭ с должностями'!$B:$B,0),5)</f>
        <v>МОК</v>
      </c>
    </row>
  </sheetData>
  <autoFilter ref="A1:O3976" xr:uid="{00000000-0001-0000-0100-000000000000}"/>
  <pageMargins left="0.7" right="0.7" top="0.75" bottom="0.75" header="0.3" footer="0.3"/>
  <pageSetup paperSize="9" orientation="portrait" horizont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AD5A-8A20-4D7F-B917-6E47DB9487C0}">
  <dimension ref="A1:B548"/>
  <sheetViews>
    <sheetView workbookViewId="0">
      <selection activeCell="B548" sqref="B2:B548"/>
    </sheetView>
  </sheetViews>
  <sheetFormatPr defaultRowHeight="15"/>
  <sheetData>
    <row r="1" spans="1:2">
      <c r="A1" t="s">
        <v>3739</v>
      </c>
      <c r="B1" t="s">
        <v>3740</v>
      </c>
    </row>
    <row r="2" spans="1:2">
      <c r="A2">
        <v>23017551</v>
      </c>
      <c r="B2">
        <v>1</v>
      </c>
    </row>
    <row r="3" spans="1:2">
      <c r="A3">
        <v>23000162</v>
      </c>
      <c r="B3">
        <v>2</v>
      </c>
    </row>
    <row r="4" spans="1:2">
      <c r="A4">
        <v>23000229</v>
      </c>
      <c r="B4">
        <v>3</v>
      </c>
    </row>
    <row r="5" spans="1:2">
      <c r="A5">
        <v>23000379</v>
      </c>
      <c r="B5">
        <v>4</v>
      </c>
    </row>
    <row r="6" spans="1:2">
      <c r="A6">
        <v>23000394</v>
      </c>
      <c r="B6">
        <v>5</v>
      </c>
    </row>
    <row r="7" spans="1:2">
      <c r="A7">
        <v>23000479</v>
      </c>
      <c r="B7">
        <v>6</v>
      </c>
    </row>
    <row r="8" spans="1:2">
      <c r="A8">
        <v>23000507</v>
      </c>
      <c r="B8">
        <v>7</v>
      </c>
    </row>
    <row r="9" spans="1:2">
      <c r="A9">
        <v>23000508</v>
      </c>
      <c r="B9">
        <v>8</v>
      </c>
    </row>
    <row r="10" spans="1:2">
      <c r="A10">
        <v>23000797</v>
      </c>
      <c r="B10">
        <v>9</v>
      </c>
    </row>
    <row r="11" spans="1:2">
      <c r="A11">
        <v>23001069</v>
      </c>
      <c r="B11">
        <v>10</v>
      </c>
    </row>
    <row r="12" spans="1:2">
      <c r="A12">
        <v>23001120</v>
      </c>
      <c r="B12">
        <v>11</v>
      </c>
    </row>
    <row r="13" spans="1:2">
      <c r="A13">
        <v>23001348</v>
      </c>
      <c r="B13">
        <v>12</v>
      </c>
    </row>
    <row r="14" spans="1:2">
      <c r="A14">
        <v>23001362</v>
      </c>
      <c r="B14">
        <v>13</v>
      </c>
    </row>
    <row r="15" spans="1:2">
      <c r="A15">
        <v>23001391</v>
      </c>
      <c r="B15">
        <v>14</v>
      </c>
    </row>
    <row r="16" spans="1:2">
      <c r="A16">
        <v>23001497</v>
      </c>
      <c r="B16">
        <v>15</v>
      </c>
    </row>
    <row r="17" spans="1:2">
      <c r="A17">
        <v>23001543</v>
      </c>
      <c r="B17">
        <v>16</v>
      </c>
    </row>
    <row r="18" spans="1:2">
      <c r="A18">
        <v>23001658</v>
      </c>
      <c r="B18">
        <v>17</v>
      </c>
    </row>
    <row r="19" spans="1:2">
      <c r="A19">
        <v>23001931</v>
      </c>
      <c r="B19">
        <v>18</v>
      </c>
    </row>
    <row r="20" spans="1:2">
      <c r="A20">
        <v>23002152</v>
      </c>
      <c r="B20">
        <v>19</v>
      </c>
    </row>
    <row r="21" spans="1:2">
      <c r="A21">
        <v>23002162</v>
      </c>
      <c r="B21">
        <v>20</v>
      </c>
    </row>
    <row r="22" spans="1:2">
      <c r="A22">
        <v>23002283</v>
      </c>
      <c r="B22">
        <v>21</v>
      </c>
    </row>
    <row r="23" spans="1:2">
      <c r="A23">
        <v>23002295</v>
      </c>
      <c r="B23">
        <v>22</v>
      </c>
    </row>
    <row r="24" spans="1:2">
      <c r="A24">
        <v>23002707</v>
      </c>
      <c r="B24">
        <v>23</v>
      </c>
    </row>
    <row r="25" spans="1:2">
      <c r="A25">
        <v>23002743</v>
      </c>
      <c r="B25">
        <v>24</v>
      </c>
    </row>
    <row r="26" spans="1:2">
      <c r="A26">
        <v>23002825</v>
      </c>
      <c r="B26">
        <v>25</v>
      </c>
    </row>
    <row r="27" spans="1:2">
      <c r="A27">
        <v>23002846</v>
      </c>
      <c r="B27">
        <v>26</v>
      </c>
    </row>
    <row r="28" spans="1:2">
      <c r="A28">
        <v>23002939</v>
      </c>
      <c r="B28">
        <v>27</v>
      </c>
    </row>
    <row r="29" spans="1:2">
      <c r="A29">
        <v>23003008</v>
      </c>
      <c r="B29">
        <v>28</v>
      </c>
    </row>
    <row r="30" spans="1:2">
      <c r="A30">
        <v>23003212</v>
      </c>
      <c r="B30">
        <v>29</v>
      </c>
    </row>
    <row r="31" spans="1:2">
      <c r="A31">
        <v>23003276</v>
      </c>
      <c r="B31">
        <v>30</v>
      </c>
    </row>
    <row r="32" spans="1:2">
      <c r="A32">
        <v>23003277</v>
      </c>
      <c r="B32">
        <v>31</v>
      </c>
    </row>
    <row r="33" spans="1:2">
      <c r="A33">
        <v>23003328</v>
      </c>
      <c r="B33">
        <v>32</v>
      </c>
    </row>
    <row r="34" spans="1:2">
      <c r="A34">
        <v>23003368</v>
      </c>
      <c r="B34">
        <v>33</v>
      </c>
    </row>
    <row r="35" spans="1:2">
      <c r="A35">
        <v>23003382</v>
      </c>
      <c r="B35">
        <v>34</v>
      </c>
    </row>
    <row r="36" spans="1:2">
      <c r="A36">
        <v>23003422</v>
      </c>
      <c r="B36">
        <v>35</v>
      </c>
    </row>
    <row r="37" spans="1:2">
      <c r="A37">
        <v>23003432</v>
      </c>
      <c r="B37">
        <v>36</v>
      </c>
    </row>
    <row r="38" spans="1:2">
      <c r="A38">
        <v>23003492</v>
      </c>
      <c r="B38">
        <v>37</v>
      </c>
    </row>
    <row r="39" spans="1:2">
      <c r="A39">
        <v>23003517</v>
      </c>
      <c r="B39">
        <v>38</v>
      </c>
    </row>
    <row r="40" spans="1:2">
      <c r="A40">
        <v>23003525</v>
      </c>
      <c r="B40">
        <v>39</v>
      </c>
    </row>
    <row r="41" spans="1:2">
      <c r="A41">
        <v>23003588</v>
      </c>
      <c r="B41">
        <v>40</v>
      </c>
    </row>
    <row r="42" spans="1:2">
      <c r="A42">
        <v>23003603</v>
      </c>
      <c r="B42">
        <v>41</v>
      </c>
    </row>
    <row r="43" spans="1:2">
      <c r="A43">
        <v>23003610</v>
      </c>
      <c r="B43">
        <v>42</v>
      </c>
    </row>
    <row r="44" spans="1:2">
      <c r="A44">
        <v>23003615</v>
      </c>
      <c r="B44">
        <v>43</v>
      </c>
    </row>
    <row r="45" spans="1:2">
      <c r="A45">
        <v>23003626</v>
      </c>
      <c r="B45">
        <v>44</v>
      </c>
    </row>
    <row r="46" spans="1:2">
      <c r="A46">
        <v>23003646</v>
      </c>
      <c r="B46">
        <v>45</v>
      </c>
    </row>
    <row r="47" spans="1:2">
      <c r="A47">
        <v>23003655</v>
      </c>
      <c r="B47">
        <v>46</v>
      </c>
    </row>
    <row r="48" spans="1:2">
      <c r="A48">
        <v>23003686</v>
      </c>
      <c r="B48">
        <v>47</v>
      </c>
    </row>
    <row r="49" spans="1:2">
      <c r="A49">
        <v>23003719</v>
      </c>
      <c r="B49">
        <v>48</v>
      </c>
    </row>
    <row r="50" spans="1:2">
      <c r="A50">
        <v>23003739</v>
      </c>
      <c r="B50">
        <v>49</v>
      </c>
    </row>
    <row r="51" spans="1:2">
      <c r="A51">
        <v>23003758</v>
      </c>
      <c r="B51">
        <v>50</v>
      </c>
    </row>
    <row r="52" spans="1:2">
      <c r="A52">
        <v>23003772</v>
      </c>
      <c r="B52">
        <v>51</v>
      </c>
    </row>
    <row r="53" spans="1:2">
      <c r="A53">
        <v>23003818</v>
      </c>
      <c r="B53">
        <v>52</v>
      </c>
    </row>
    <row r="54" spans="1:2">
      <c r="A54">
        <v>23003837</v>
      </c>
      <c r="B54">
        <v>53</v>
      </c>
    </row>
    <row r="55" spans="1:2">
      <c r="A55">
        <v>23004089</v>
      </c>
      <c r="B55">
        <v>54</v>
      </c>
    </row>
    <row r="56" spans="1:2">
      <c r="A56">
        <v>23004111</v>
      </c>
      <c r="B56">
        <v>55</v>
      </c>
    </row>
    <row r="57" spans="1:2">
      <c r="A57">
        <v>23004153</v>
      </c>
      <c r="B57">
        <v>56</v>
      </c>
    </row>
    <row r="58" spans="1:2">
      <c r="A58">
        <v>23004213</v>
      </c>
      <c r="B58">
        <v>57</v>
      </c>
    </row>
    <row r="59" spans="1:2">
      <c r="A59">
        <v>23004224</v>
      </c>
      <c r="B59">
        <v>58</v>
      </c>
    </row>
    <row r="60" spans="1:2">
      <c r="A60">
        <v>23004256</v>
      </c>
      <c r="B60">
        <v>59</v>
      </c>
    </row>
    <row r="61" spans="1:2">
      <c r="A61">
        <v>23004285</v>
      </c>
      <c r="B61">
        <v>60</v>
      </c>
    </row>
    <row r="62" spans="1:2">
      <c r="A62">
        <v>23004291</v>
      </c>
      <c r="B62">
        <v>61</v>
      </c>
    </row>
    <row r="63" spans="1:2">
      <c r="A63">
        <v>23004396</v>
      </c>
      <c r="B63">
        <v>62</v>
      </c>
    </row>
    <row r="64" spans="1:2">
      <c r="A64">
        <v>23004398</v>
      </c>
      <c r="B64">
        <v>63</v>
      </c>
    </row>
    <row r="65" spans="1:2">
      <c r="A65">
        <v>23004476</v>
      </c>
      <c r="B65">
        <v>64</v>
      </c>
    </row>
    <row r="66" spans="1:2">
      <c r="A66">
        <v>23004593</v>
      </c>
      <c r="B66">
        <v>65</v>
      </c>
    </row>
    <row r="67" spans="1:2">
      <c r="A67">
        <v>23004595</v>
      </c>
      <c r="B67">
        <v>66</v>
      </c>
    </row>
    <row r="68" spans="1:2">
      <c r="A68">
        <v>23004606</v>
      </c>
      <c r="B68">
        <v>67</v>
      </c>
    </row>
    <row r="69" spans="1:2">
      <c r="A69">
        <v>23004659</v>
      </c>
      <c r="B69">
        <v>68</v>
      </c>
    </row>
    <row r="70" spans="1:2">
      <c r="A70">
        <v>23004793</v>
      </c>
      <c r="B70">
        <v>69</v>
      </c>
    </row>
    <row r="71" spans="1:2">
      <c r="A71">
        <v>23004807</v>
      </c>
      <c r="B71">
        <v>70</v>
      </c>
    </row>
    <row r="72" spans="1:2">
      <c r="A72">
        <v>23004914</v>
      </c>
      <c r="B72">
        <v>71</v>
      </c>
    </row>
    <row r="73" spans="1:2">
      <c r="A73">
        <v>23004936</v>
      </c>
      <c r="B73">
        <v>72</v>
      </c>
    </row>
    <row r="74" spans="1:2">
      <c r="A74">
        <v>23004966</v>
      </c>
      <c r="B74">
        <v>73</v>
      </c>
    </row>
    <row r="75" spans="1:2">
      <c r="A75">
        <v>23004979</v>
      </c>
      <c r="B75">
        <v>74</v>
      </c>
    </row>
    <row r="76" spans="1:2">
      <c r="A76">
        <v>23005000</v>
      </c>
      <c r="B76">
        <v>75</v>
      </c>
    </row>
    <row r="77" spans="1:2">
      <c r="A77">
        <v>23005037</v>
      </c>
      <c r="B77">
        <v>76</v>
      </c>
    </row>
    <row r="78" spans="1:2">
      <c r="A78">
        <v>23005041</v>
      </c>
      <c r="B78">
        <v>77</v>
      </c>
    </row>
    <row r="79" spans="1:2">
      <c r="A79">
        <v>23005047</v>
      </c>
      <c r="B79">
        <v>78</v>
      </c>
    </row>
    <row r="80" spans="1:2">
      <c r="A80">
        <v>23005052</v>
      </c>
      <c r="B80">
        <v>79</v>
      </c>
    </row>
    <row r="81" spans="1:2">
      <c r="A81">
        <v>23005096</v>
      </c>
      <c r="B81">
        <v>80</v>
      </c>
    </row>
    <row r="82" spans="1:2">
      <c r="A82">
        <v>23005212</v>
      </c>
      <c r="B82">
        <v>81</v>
      </c>
    </row>
    <row r="83" spans="1:2">
      <c r="A83">
        <v>23005233</v>
      </c>
      <c r="B83">
        <v>82</v>
      </c>
    </row>
    <row r="84" spans="1:2">
      <c r="A84">
        <v>23005305</v>
      </c>
      <c r="B84">
        <v>83</v>
      </c>
    </row>
    <row r="85" spans="1:2">
      <c r="A85">
        <v>23005333</v>
      </c>
      <c r="B85">
        <v>84</v>
      </c>
    </row>
    <row r="86" spans="1:2">
      <c r="A86">
        <v>23005394</v>
      </c>
      <c r="B86">
        <v>85</v>
      </c>
    </row>
    <row r="87" spans="1:2">
      <c r="A87">
        <v>23005444</v>
      </c>
      <c r="B87">
        <v>86</v>
      </c>
    </row>
    <row r="88" spans="1:2">
      <c r="A88">
        <v>23005459</v>
      </c>
      <c r="B88">
        <v>87</v>
      </c>
    </row>
    <row r="89" spans="1:2">
      <c r="A89">
        <v>23005507</v>
      </c>
      <c r="B89">
        <v>88</v>
      </c>
    </row>
    <row r="90" spans="1:2">
      <c r="A90">
        <v>23005519</v>
      </c>
      <c r="B90">
        <v>89</v>
      </c>
    </row>
    <row r="91" spans="1:2">
      <c r="A91">
        <v>23005527</v>
      </c>
      <c r="B91">
        <v>90</v>
      </c>
    </row>
    <row r="92" spans="1:2">
      <c r="A92">
        <v>23005558</v>
      </c>
      <c r="B92">
        <v>91</v>
      </c>
    </row>
    <row r="93" spans="1:2">
      <c r="A93">
        <v>23005571</v>
      </c>
      <c r="B93">
        <v>92</v>
      </c>
    </row>
    <row r="94" spans="1:2">
      <c r="A94">
        <v>23005622</v>
      </c>
      <c r="B94">
        <v>93</v>
      </c>
    </row>
    <row r="95" spans="1:2">
      <c r="A95">
        <v>23005638</v>
      </c>
      <c r="B95">
        <v>94</v>
      </c>
    </row>
    <row r="96" spans="1:2">
      <c r="A96">
        <v>23005698</v>
      </c>
      <c r="B96">
        <v>95</v>
      </c>
    </row>
    <row r="97" spans="1:2">
      <c r="A97">
        <v>23005860</v>
      </c>
      <c r="B97">
        <v>96</v>
      </c>
    </row>
    <row r="98" spans="1:2">
      <c r="A98">
        <v>23005883</v>
      </c>
      <c r="B98">
        <v>97</v>
      </c>
    </row>
    <row r="99" spans="1:2">
      <c r="A99">
        <v>23005922</v>
      </c>
      <c r="B99">
        <v>98</v>
      </c>
    </row>
    <row r="100" spans="1:2">
      <c r="A100">
        <v>23005983</v>
      </c>
      <c r="B100">
        <v>99</v>
      </c>
    </row>
    <row r="101" spans="1:2">
      <c r="A101">
        <v>23006044</v>
      </c>
      <c r="B101">
        <v>100</v>
      </c>
    </row>
    <row r="102" spans="1:2">
      <c r="A102">
        <v>23006077</v>
      </c>
      <c r="B102">
        <v>101</v>
      </c>
    </row>
    <row r="103" spans="1:2">
      <c r="A103">
        <v>23006180</v>
      </c>
      <c r="B103">
        <v>102</v>
      </c>
    </row>
    <row r="104" spans="1:2">
      <c r="A104">
        <v>23006219</v>
      </c>
      <c r="B104">
        <v>103</v>
      </c>
    </row>
    <row r="105" spans="1:2">
      <c r="A105">
        <v>23006253</v>
      </c>
      <c r="B105">
        <v>104</v>
      </c>
    </row>
    <row r="106" spans="1:2">
      <c r="A106">
        <v>23006279</v>
      </c>
      <c r="B106">
        <v>105</v>
      </c>
    </row>
    <row r="107" spans="1:2">
      <c r="A107">
        <v>23006346</v>
      </c>
      <c r="B107">
        <v>106</v>
      </c>
    </row>
    <row r="108" spans="1:2">
      <c r="A108">
        <v>23006355</v>
      </c>
      <c r="B108">
        <v>107</v>
      </c>
    </row>
    <row r="109" spans="1:2">
      <c r="A109">
        <v>23006442</v>
      </c>
      <c r="B109">
        <v>108</v>
      </c>
    </row>
    <row r="110" spans="1:2">
      <c r="A110">
        <v>23006460</v>
      </c>
      <c r="B110">
        <v>109</v>
      </c>
    </row>
    <row r="111" spans="1:2">
      <c r="A111">
        <v>23006475</v>
      </c>
      <c r="B111">
        <v>110</v>
      </c>
    </row>
    <row r="112" spans="1:2">
      <c r="A112">
        <v>23006496</v>
      </c>
      <c r="B112">
        <v>111</v>
      </c>
    </row>
    <row r="113" spans="1:2">
      <c r="A113">
        <v>23006527</v>
      </c>
      <c r="B113">
        <v>112</v>
      </c>
    </row>
    <row r="114" spans="1:2">
      <c r="A114">
        <v>23006545</v>
      </c>
      <c r="B114">
        <v>113</v>
      </c>
    </row>
    <row r="115" spans="1:2">
      <c r="A115">
        <v>23006570</v>
      </c>
      <c r="B115">
        <v>114</v>
      </c>
    </row>
    <row r="116" spans="1:2">
      <c r="A116">
        <v>23006614</v>
      </c>
      <c r="B116">
        <v>115</v>
      </c>
    </row>
    <row r="117" spans="1:2">
      <c r="A117">
        <v>23006621</v>
      </c>
      <c r="B117">
        <v>116</v>
      </c>
    </row>
    <row r="118" spans="1:2">
      <c r="A118">
        <v>23006632</v>
      </c>
      <c r="B118">
        <v>117</v>
      </c>
    </row>
    <row r="119" spans="1:2">
      <c r="A119">
        <v>23006656</v>
      </c>
      <c r="B119">
        <v>118</v>
      </c>
    </row>
    <row r="120" spans="1:2">
      <c r="A120">
        <v>23006661</v>
      </c>
      <c r="B120">
        <v>119</v>
      </c>
    </row>
    <row r="121" spans="1:2">
      <c r="A121">
        <v>23006720</v>
      </c>
      <c r="B121">
        <v>120</v>
      </c>
    </row>
    <row r="122" spans="1:2">
      <c r="A122">
        <v>23006851</v>
      </c>
      <c r="B122">
        <v>121</v>
      </c>
    </row>
    <row r="123" spans="1:2">
      <c r="A123">
        <v>23007006</v>
      </c>
      <c r="B123">
        <v>122</v>
      </c>
    </row>
    <row r="124" spans="1:2">
      <c r="A124">
        <v>23007140</v>
      </c>
      <c r="B124">
        <v>123</v>
      </c>
    </row>
    <row r="125" spans="1:2">
      <c r="A125">
        <v>23007248</v>
      </c>
      <c r="B125">
        <v>124</v>
      </c>
    </row>
    <row r="126" spans="1:2">
      <c r="A126">
        <v>23007262</v>
      </c>
      <c r="B126">
        <v>125</v>
      </c>
    </row>
    <row r="127" spans="1:2">
      <c r="A127">
        <v>23007265</v>
      </c>
      <c r="B127">
        <v>126</v>
      </c>
    </row>
    <row r="128" spans="1:2">
      <c r="A128">
        <v>23007312</v>
      </c>
      <c r="B128">
        <v>127</v>
      </c>
    </row>
    <row r="129" spans="1:2">
      <c r="A129">
        <v>23007448</v>
      </c>
      <c r="B129">
        <v>128</v>
      </c>
    </row>
    <row r="130" spans="1:2">
      <c r="A130">
        <v>23007507</v>
      </c>
      <c r="B130">
        <v>129</v>
      </c>
    </row>
    <row r="131" spans="1:2">
      <c r="A131">
        <v>23007541</v>
      </c>
      <c r="B131">
        <v>130</v>
      </c>
    </row>
    <row r="132" spans="1:2">
      <c r="A132">
        <v>23007651</v>
      </c>
      <c r="B132">
        <v>131</v>
      </c>
    </row>
    <row r="133" spans="1:2">
      <c r="A133">
        <v>23007662</v>
      </c>
      <c r="B133">
        <v>132</v>
      </c>
    </row>
    <row r="134" spans="1:2">
      <c r="A134">
        <v>23007705</v>
      </c>
      <c r="B134">
        <v>133</v>
      </c>
    </row>
    <row r="135" spans="1:2">
      <c r="A135">
        <v>23007708</v>
      </c>
      <c r="B135">
        <v>134</v>
      </c>
    </row>
    <row r="136" spans="1:2">
      <c r="A136">
        <v>23007736</v>
      </c>
      <c r="B136">
        <v>135</v>
      </c>
    </row>
    <row r="137" spans="1:2">
      <c r="A137">
        <v>23007741</v>
      </c>
      <c r="B137">
        <v>136</v>
      </c>
    </row>
    <row r="138" spans="1:2">
      <c r="A138">
        <v>23007790</v>
      </c>
      <c r="B138">
        <v>137</v>
      </c>
    </row>
    <row r="139" spans="1:2">
      <c r="A139">
        <v>23007796</v>
      </c>
      <c r="B139">
        <v>138</v>
      </c>
    </row>
    <row r="140" spans="1:2">
      <c r="A140">
        <v>23007803</v>
      </c>
      <c r="B140">
        <v>139</v>
      </c>
    </row>
    <row r="141" spans="1:2">
      <c r="A141">
        <v>23007834</v>
      </c>
      <c r="B141">
        <v>140</v>
      </c>
    </row>
    <row r="142" spans="1:2">
      <c r="A142">
        <v>23007852</v>
      </c>
      <c r="B142">
        <v>141</v>
      </c>
    </row>
    <row r="143" spans="1:2">
      <c r="A143">
        <v>23008200</v>
      </c>
      <c r="B143">
        <v>142</v>
      </c>
    </row>
    <row r="144" spans="1:2">
      <c r="A144">
        <v>23008204</v>
      </c>
      <c r="B144">
        <v>143</v>
      </c>
    </row>
    <row r="145" spans="1:2">
      <c r="A145">
        <v>23008251</v>
      </c>
      <c r="B145">
        <v>144</v>
      </c>
    </row>
    <row r="146" spans="1:2">
      <c r="A146">
        <v>23008280</v>
      </c>
      <c r="B146">
        <v>145</v>
      </c>
    </row>
    <row r="147" spans="1:2">
      <c r="A147">
        <v>23008296</v>
      </c>
      <c r="B147">
        <v>146</v>
      </c>
    </row>
    <row r="148" spans="1:2">
      <c r="A148">
        <v>23008306</v>
      </c>
      <c r="B148">
        <v>147</v>
      </c>
    </row>
    <row r="149" spans="1:2">
      <c r="A149">
        <v>23008309</v>
      </c>
      <c r="B149">
        <v>148</v>
      </c>
    </row>
    <row r="150" spans="1:2">
      <c r="A150">
        <v>23008331</v>
      </c>
      <c r="B150">
        <v>149</v>
      </c>
    </row>
    <row r="151" spans="1:2">
      <c r="A151">
        <v>23008345</v>
      </c>
      <c r="B151">
        <v>150</v>
      </c>
    </row>
    <row r="152" spans="1:2">
      <c r="A152">
        <v>23008402</v>
      </c>
      <c r="B152">
        <v>151</v>
      </c>
    </row>
    <row r="153" spans="1:2">
      <c r="A153">
        <v>23008403</v>
      </c>
      <c r="B153">
        <v>152</v>
      </c>
    </row>
    <row r="154" spans="1:2">
      <c r="A154">
        <v>23008405</v>
      </c>
      <c r="B154">
        <v>153</v>
      </c>
    </row>
    <row r="155" spans="1:2">
      <c r="A155">
        <v>23008457</v>
      </c>
      <c r="B155">
        <v>154</v>
      </c>
    </row>
    <row r="156" spans="1:2">
      <c r="A156">
        <v>23008483</v>
      </c>
      <c r="B156">
        <v>155</v>
      </c>
    </row>
    <row r="157" spans="1:2">
      <c r="A157">
        <v>23008571</v>
      </c>
      <c r="B157">
        <v>156</v>
      </c>
    </row>
    <row r="158" spans="1:2">
      <c r="A158">
        <v>23008577</v>
      </c>
      <c r="B158">
        <v>157</v>
      </c>
    </row>
    <row r="159" spans="1:2">
      <c r="A159">
        <v>23008587</v>
      </c>
      <c r="B159">
        <v>158</v>
      </c>
    </row>
    <row r="160" spans="1:2">
      <c r="A160">
        <v>23008594</v>
      </c>
      <c r="B160">
        <v>159</v>
      </c>
    </row>
    <row r="161" spans="1:2">
      <c r="A161">
        <v>23008604</v>
      </c>
      <c r="B161">
        <v>160</v>
      </c>
    </row>
    <row r="162" spans="1:2">
      <c r="A162">
        <v>23008616</v>
      </c>
      <c r="B162">
        <v>161</v>
      </c>
    </row>
    <row r="163" spans="1:2">
      <c r="A163">
        <v>23008654</v>
      </c>
      <c r="B163">
        <v>162</v>
      </c>
    </row>
    <row r="164" spans="1:2">
      <c r="A164">
        <v>23008674</v>
      </c>
      <c r="B164">
        <v>163</v>
      </c>
    </row>
    <row r="165" spans="1:2">
      <c r="A165">
        <v>23008679</v>
      </c>
      <c r="B165">
        <v>164</v>
      </c>
    </row>
    <row r="166" spans="1:2">
      <c r="A166">
        <v>23008685</v>
      </c>
      <c r="B166">
        <v>165</v>
      </c>
    </row>
    <row r="167" spans="1:2">
      <c r="A167">
        <v>23008690</v>
      </c>
      <c r="B167">
        <v>166</v>
      </c>
    </row>
    <row r="168" spans="1:2">
      <c r="A168">
        <v>23008691</v>
      </c>
      <c r="B168">
        <v>167</v>
      </c>
    </row>
    <row r="169" spans="1:2">
      <c r="A169">
        <v>23008692</v>
      </c>
      <c r="B169">
        <v>168</v>
      </c>
    </row>
    <row r="170" spans="1:2">
      <c r="A170">
        <v>23008820</v>
      </c>
      <c r="B170">
        <v>169</v>
      </c>
    </row>
    <row r="171" spans="1:2">
      <c r="A171">
        <v>23008964</v>
      </c>
      <c r="B171">
        <v>170</v>
      </c>
    </row>
    <row r="172" spans="1:2">
      <c r="A172">
        <v>23008966</v>
      </c>
      <c r="B172">
        <v>171</v>
      </c>
    </row>
    <row r="173" spans="1:2">
      <c r="A173">
        <v>23009000</v>
      </c>
      <c r="B173">
        <v>172</v>
      </c>
    </row>
    <row r="174" spans="1:2">
      <c r="A174">
        <v>23009020</v>
      </c>
      <c r="B174">
        <v>173</v>
      </c>
    </row>
    <row r="175" spans="1:2">
      <c r="A175">
        <v>23009200</v>
      </c>
      <c r="B175">
        <v>174</v>
      </c>
    </row>
    <row r="176" spans="1:2">
      <c r="A176">
        <v>23009265</v>
      </c>
      <c r="B176">
        <v>175</v>
      </c>
    </row>
    <row r="177" spans="1:2">
      <c r="A177">
        <v>23009400</v>
      </c>
      <c r="B177">
        <v>176</v>
      </c>
    </row>
    <row r="178" spans="1:2">
      <c r="A178">
        <v>23009477</v>
      </c>
      <c r="B178">
        <v>177</v>
      </c>
    </row>
    <row r="179" spans="1:2">
      <c r="A179">
        <v>23009515</v>
      </c>
      <c r="B179">
        <v>178</v>
      </c>
    </row>
    <row r="180" spans="1:2">
      <c r="A180">
        <v>23009526</v>
      </c>
      <c r="B180">
        <v>179</v>
      </c>
    </row>
    <row r="181" spans="1:2">
      <c r="A181">
        <v>23009552</v>
      </c>
      <c r="B181">
        <v>180</v>
      </c>
    </row>
    <row r="182" spans="1:2">
      <c r="A182">
        <v>23009649</v>
      </c>
      <c r="B182">
        <v>181</v>
      </c>
    </row>
    <row r="183" spans="1:2">
      <c r="A183">
        <v>23009677</v>
      </c>
      <c r="B183">
        <v>182</v>
      </c>
    </row>
    <row r="184" spans="1:2">
      <c r="A184">
        <v>23009727</v>
      </c>
      <c r="B184">
        <v>183</v>
      </c>
    </row>
    <row r="185" spans="1:2">
      <c r="A185">
        <v>23009755</v>
      </c>
      <c r="B185">
        <v>184</v>
      </c>
    </row>
    <row r="186" spans="1:2">
      <c r="A186">
        <v>23009812</v>
      </c>
      <c r="B186">
        <v>185</v>
      </c>
    </row>
    <row r="187" spans="1:2">
      <c r="A187">
        <v>23009939</v>
      </c>
      <c r="B187">
        <v>186</v>
      </c>
    </row>
    <row r="188" spans="1:2">
      <c r="A188">
        <v>23009975</v>
      </c>
      <c r="B188">
        <v>187</v>
      </c>
    </row>
    <row r="189" spans="1:2">
      <c r="A189">
        <v>23009983</v>
      </c>
      <c r="B189">
        <v>188</v>
      </c>
    </row>
    <row r="190" spans="1:2">
      <c r="A190">
        <v>23010003</v>
      </c>
      <c r="B190">
        <v>189</v>
      </c>
    </row>
    <row r="191" spans="1:2">
      <c r="A191">
        <v>23010043</v>
      </c>
      <c r="B191">
        <v>190</v>
      </c>
    </row>
    <row r="192" spans="1:2">
      <c r="A192">
        <v>23010071</v>
      </c>
      <c r="B192">
        <v>191</v>
      </c>
    </row>
    <row r="193" spans="1:2">
      <c r="A193">
        <v>23010122</v>
      </c>
      <c r="B193">
        <v>192</v>
      </c>
    </row>
    <row r="194" spans="1:2">
      <c r="A194">
        <v>23010129</v>
      </c>
      <c r="B194">
        <v>193</v>
      </c>
    </row>
    <row r="195" spans="1:2">
      <c r="A195">
        <v>23010135</v>
      </c>
      <c r="B195">
        <v>194</v>
      </c>
    </row>
    <row r="196" spans="1:2">
      <c r="A196">
        <v>23010143</v>
      </c>
      <c r="B196">
        <v>195</v>
      </c>
    </row>
    <row r="197" spans="1:2">
      <c r="A197">
        <v>23010147</v>
      </c>
      <c r="B197">
        <v>196</v>
      </c>
    </row>
    <row r="198" spans="1:2">
      <c r="A198">
        <v>23010164</v>
      </c>
      <c r="B198">
        <v>197</v>
      </c>
    </row>
    <row r="199" spans="1:2">
      <c r="A199">
        <v>23010188</v>
      </c>
      <c r="B199">
        <v>198</v>
      </c>
    </row>
    <row r="200" spans="1:2">
      <c r="A200">
        <v>23010323</v>
      </c>
      <c r="B200">
        <v>199</v>
      </c>
    </row>
    <row r="201" spans="1:2">
      <c r="A201">
        <v>23010438</v>
      </c>
      <c r="B201">
        <v>200</v>
      </c>
    </row>
    <row r="202" spans="1:2">
      <c r="A202">
        <v>23010567</v>
      </c>
      <c r="B202">
        <v>201</v>
      </c>
    </row>
    <row r="203" spans="1:2">
      <c r="A203">
        <v>23010568</v>
      </c>
      <c r="B203">
        <v>202</v>
      </c>
    </row>
    <row r="204" spans="1:2">
      <c r="A204">
        <v>23010794</v>
      </c>
      <c r="B204">
        <v>203</v>
      </c>
    </row>
    <row r="205" spans="1:2">
      <c r="A205">
        <v>23010827</v>
      </c>
      <c r="B205">
        <v>204</v>
      </c>
    </row>
    <row r="206" spans="1:2">
      <c r="A206">
        <v>23010867</v>
      </c>
      <c r="B206">
        <v>205</v>
      </c>
    </row>
    <row r="207" spans="1:2">
      <c r="A207">
        <v>23010902</v>
      </c>
      <c r="B207">
        <v>206</v>
      </c>
    </row>
    <row r="208" spans="1:2">
      <c r="A208">
        <v>23010903</v>
      </c>
      <c r="B208">
        <v>207</v>
      </c>
    </row>
    <row r="209" spans="1:2">
      <c r="A209">
        <v>23010977</v>
      </c>
      <c r="B209">
        <v>208</v>
      </c>
    </row>
    <row r="210" spans="1:2">
      <c r="A210">
        <v>23010984</v>
      </c>
      <c r="B210">
        <v>209</v>
      </c>
    </row>
    <row r="211" spans="1:2">
      <c r="A211">
        <v>23011116</v>
      </c>
      <c r="B211">
        <v>210</v>
      </c>
    </row>
    <row r="212" spans="1:2">
      <c r="A212">
        <v>23011142</v>
      </c>
      <c r="B212">
        <v>211</v>
      </c>
    </row>
    <row r="213" spans="1:2">
      <c r="A213">
        <v>23011170</v>
      </c>
      <c r="B213">
        <v>212</v>
      </c>
    </row>
    <row r="214" spans="1:2">
      <c r="A214">
        <v>23011173</v>
      </c>
      <c r="B214">
        <v>213</v>
      </c>
    </row>
    <row r="215" spans="1:2">
      <c r="A215">
        <v>23011218</v>
      </c>
      <c r="B215">
        <v>214</v>
      </c>
    </row>
    <row r="216" spans="1:2">
      <c r="A216">
        <v>23011351</v>
      </c>
      <c r="B216">
        <v>215</v>
      </c>
    </row>
    <row r="217" spans="1:2">
      <c r="A217">
        <v>23011358</v>
      </c>
      <c r="B217">
        <v>216</v>
      </c>
    </row>
    <row r="218" spans="1:2">
      <c r="A218">
        <v>23011546</v>
      </c>
      <c r="B218">
        <v>217</v>
      </c>
    </row>
    <row r="219" spans="1:2">
      <c r="A219">
        <v>23011589</v>
      </c>
      <c r="B219">
        <v>218</v>
      </c>
    </row>
    <row r="220" spans="1:2">
      <c r="A220">
        <v>23011732</v>
      </c>
      <c r="B220">
        <v>219</v>
      </c>
    </row>
    <row r="221" spans="1:2">
      <c r="A221">
        <v>23011842</v>
      </c>
      <c r="B221">
        <v>220</v>
      </c>
    </row>
    <row r="222" spans="1:2">
      <c r="A222">
        <v>23011881</v>
      </c>
      <c r="B222">
        <v>221</v>
      </c>
    </row>
    <row r="223" spans="1:2">
      <c r="A223">
        <v>23011919</v>
      </c>
      <c r="B223">
        <v>222</v>
      </c>
    </row>
    <row r="224" spans="1:2">
      <c r="A224">
        <v>23011933</v>
      </c>
      <c r="B224">
        <v>223</v>
      </c>
    </row>
    <row r="225" spans="1:2">
      <c r="A225">
        <v>23011996</v>
      </c>
      <c r="B225">
        <v>224</v>
      </c>
    </row>
    <row r="226" spans="1:2">
      <c r="A226">
        <v>23012005</v>
      </c>
      <c r="B226">
        <v>225</v>
      </c>
    </row>
    <row r="227" spans="1:2">
      <c r="A227">
        <v>23012191</v>
      </c>
      <c r="B227">
        <v>226</v>
      </c>
    </row>
    <row r="228" spans="1:2">
      <c r="A228">
        <v>23012195</v>
      </c>
      <c r="B228">
        <v>227</v>
      </c>
    </row>
    <row r="229" spans="1:2">
      <c r="A229">
        <v>23012274</v>
      </c>
      <c r="B229">
        <v>228</v>
      </c>
    </row>
    <row r="230" spans="1:2">
      <c r="A230">
        <v>23012275</v>
      </c>
      <c r="B230">
        <v>229</v>
      </c>
    </row>
    <row r="231" spans="1:2">
      <c r="A231">
        <v>23012287</v>
      </c>
      <c r="B231">
        <v>230</v>
      </c>
    </row>
    <row r="232" spans="1:2">
      <c r="A232">
        <v>23012341</v>
      </c>
      <c r="B232">
        <v>231</v>
      </c>
    </row>
    <row r="233" spans="1:2">
      <c r="A233">
        <v>23012347</v>
      </c>
      <c r="B233">
        <v>232</v>
      </c>
    </row>
    <row r="234" spans="1:2">
      <c r="A234">
        <v>23012369</v>
      </c>
      <c r="B234">
        <v>233</v>
      </c>
    </row>
    <row r="235" spans="1:2">
      <c r="A235">
        <v>23012429</v>
      </c>
      <c r="B235">
        <v>234</v>
      </c>
    </row>
    <row r="236" spans="1:2">
      <c r="A236">
        <v>23012460</v>
      </c>
      <c r="B236">
        <v>235</v>
      </c>
    </row>
    <row r="237" spans="1:2">
      <c r="A237">
        <v>23012475</v>
      </c>
      <c r="B237">
        <v>236</v>
      </c>
    </row>
    <row r="238" spans="1:2">
      <c r="A238">
        <v>23012479</v>
      </c>
      <c r="B238">
        <v>237</v>
      </c>
    </row>
    <row r="239" spans="1:2">
      <c r="A239">
        <v>23012482</v>
      </c>
      <c r="B239">
        <v>238</v>
      </c>
    </row>
    <row r="240" spans="1:2">
      <c r="A240">
        <v>23012485</v>
      </c>
      <c r="B240">
        <v>239</v>
      </c>
    </row>
    <row r="241" spans="1:2">
      <c r="A241">
        <v>23012491</v>
      </c>
      <c r="B241">
        <v>240</v>
      </c>
    </row>
    <row r="242" spans="1:2">
      <c r="A242">
        <v>23012523</v>
      </c>
      <c r="B242">
        <v>241</v>
      </c>
    </row>
    <row r="243" spans="1:2">
      <c r="A243">
        <v>23012603</v>
      </c>
      <c r="B243">
        <v>242</v>
      </c>
    </row>
    <row r="244" spans="1:2">
      <c r="A244">
        <v>23012604</v>
      </c>
      <c r="B244">
        <v>243</v>
      </c>
    </row>
    <row r="245" spans="1:2">
      <c r="A245">
        <v>23012650</v>
      </c>
      <c r="B245">
        <v>244</v>
      </c>
    </row>
    <row r="246" spans="1:2">
      <c r="A246">
        <v>23012687</v>
      </c>
      <c r="B246">
        <v>245</v>
      </c>
    </row>
    <row r="247" spans="1:2">
      <c r="A247">
        <v>23012719</v>
      </c>
      <c r="B247">
        <v>246</v>
      </c>
    </row>
    <row r="248" spans="1:2">
      <c r="A248">
        <v>23013001</v>
      </c>
      <c r="B248">
        <v>247</v>
      </c>
    </row>
    <row r="249" spans="1:2">
      <c r="A249">
        <v>23013002</v>
      </c>
      <c r="B249">
        <v>248</v>
      </c>
    </row>
    <row r="250" spans="1:2">
      <c r="A250">
        <v>23013219</v>
      </c>
      <c r="B250">
        <v>249</v>
      </c>
    </row>
    <row r="251" spans="1:2">
      <c r="A251">
        <v>23013340</v>
      </c>
      <c r="B251">
        <v>250</v>
      </c>
    </row>
    <row r="252" spans="1:2">
      <c r="A252">
        <v>23013349</v>
      </c>
      <c r="B252">
        <v>251</v>
      </c>
    </row>
    <row r="253" spans="1:2">
      <c r="A253">
        <v>23013394</v>
      </c>
      <c r="B253">
        <v>252</v>
      </c>
    </row>
    <row r="254" spans="1:2">
      <c r="A254">
        <v>23013463</v>
      </c>
      <c r="B254">
        <v>253</v>
      </c>
    </row>
    <row r="255" spans="1:2">
      <c r="A255">
        <v>23013544</v>
      </c>
      <c r="B255">
        <v>254</v>
      </c>
    </row>
    <row r="256" spans="1:2">
      <c r="A256">
        <v>23013629</v>
      </c>
      <c r="B256">
        <v>255</v>
      </c>
    </row>
    <row r="257" spans="1:2">
      <c r="A257">
        <v>23013767</v>
      </c>
      <c r="B257">
        <v>256</v>
      </c>
    </row>
    <row r="258" spans="1:2">
      <c r="A258">
        <v>23013818</v>
      </c>
      <c r="B258">
        <v>257</v>
      </c>
    </row>
    <row r="259" spans="1:2">
      <c r="A259">
        <v>23013842</v>
      </c>
      <c r="B259">
        <v>258</v>
      </c>
    </row>
    <row r="260" spans="1:2">
      <c r="A260">
        <v>23013851</v>
      </c>
      <c r="B260">
        <v>259</v>
      </c>
    </row>
    <row r="261" spans="1:2">
      <c r="A261">
        <v>23013856</v>
      </c>
      <c r="B261">
        <v>260</v>
      </c>
    </row>
    <row r="262" spans="1:2">
      <c r="A262">
        <v>23013880</v>
      </c>
      <c r="B262">
        <v>261</v>
      </c>
    </row>
    <row r="263" spans="1:2">
      <c r="A263">
        <v>23013939</v>
      </c>
      <c r="B263">
        <v>262</v>
      </c>
    </row>
    <row r="264" spans="1:2">
      <c r="A264">
        <v>23013954</v>
      </c>
      <c r="B264">
        <v>263</v>
      </c>
    </row>
    <row r="265" spans="1:2">
      <c r="A265">
        <v>23013969</v>
      </c>
      <c r="B265">
        <v>264</v>
      </c>
    </row>
    <row r="266" spans="1:2">
      <c r="A266">
        <v>23013995</v>
      </c>
      <c r="B266">
        <v>265</v>
      </c>
    </row>
    <row r="267" spans="1:2">
      <c r="A267">
        <v>23014000</v>
      </c>
      <c r="B267">
        <v>266</v>
      </c>
    </row>
    <row r="268" spans="1:2">
      <c r="A268">
        <v>23014004</v>
      </c>
      <c r="B268">
        <v>267</v>
      </c>
    </row>
    <row r="269" spans="1:2">
      <c r="A269">
        <v>23014010</v>
      </c>
      <c r="B269">
        <v>268</v>
      </c>
    </row>
    <row r="270" spans="1:2">
      <c r="A270">
        <v>23014048</v>
      </c>
      <c r="B270">
        <v>269</v>
      </c>
    </row>
    <row r="271" spans="1:2">
      <c r="A271">
        <v>23014088</v>
      </c>
      <c r="B271">
        <v>270</v>
      </c>
    </row>
    <row r="272" spans="1:2">
      <c r="A272">
        <v>23014090</v>
      </c>
      <c r="B272">
        <v>271</v>
      </c>
    </row>
    <row r="273" spans="1:2">
      <c r="A273">
        <v>23014114</v>
      </c>
      <c r="B273">
        <v>272</v>
      </c>
    </row>
    <row r="274" spans="1:2">
      <c r="A274">
        <v>23014195</v>
      </c>
      <c r="B274">
        <v>273</v>
      </c>
    </row>
    <row r="275" spans="1:2">
      <c r="A275">
        <v>23014372</v>
      </c>
      <c r="B275">
        <v>274</v>
      </c>
    </row>
    <row r="276" spans="1:2">
      <c r="A276">
        <v>23014500</v>
      </c>
      <c r="B276">
        <v>275</v>
      </c>
    </row>
    <row r="277" spans="1:2">
      <c r="A277">
        <v>23014512</v>
      </c>
      <c r="B277">
        <v>276</v>
      </c>
    </row>
    <row r="278" spans="1:2">
      <c r="A278">
        <v>23014521</v>
      </c>
      <c r="B278">
        <v>277</v>
      </c>
    </row>
    <row r="279" spans="1:2">
      <c r="A279">
        <v>23014523</v>
      </c>
      <c r="B279">
        <v>278</v>
      </c>
    </row>
    <row r="280" spans="1:2">
      <c r="A280">
        <v>23014592</v>
      </c>
      <c r="B280">
        <v>279</v>
      </c>
    </row>
    <row r="281" spans="1:2">
      <c r="A281">
        <v>23014624</v>
      </c>
      <c r="B281">
        <v>280</v>
      </c>
    </row>
    <row r="282" spans="1:2">
      <c r="A282">
        <v>23014664</v>
      </c>
      <c r="B282">
        <v>281</v>
      </c>
    </row>
    <row r="283" spans="1:2">
      <c r="A283">
        <v>23014683</v>
      </c>
      <c r="B283">
        <v>282</v>
      </c>
    </row>
    <row r="284" spans="1:2">
      <c r="A284">
        <v>23014694</v>
      </c>
      <c r="B284">
        <v>283</v>
      </c>
    </row>
    <row r="285" spans="1:2">
      <c r="A285">
        <v>23014736</v>
      </c>
      <c r="B285">
        <v>284</v>
      </c>
    </row>
    <row r="286" spans="1:2">
      <c r="A286">
        <v>23014742</v>
      </c>
      <c r="B286">
        <v>285</v>
      </c>
    </row>
    <row r="287" spans="1:2">
      <c r="A287">
        <v>23014779</v>
      </c>
      <c r="B287">
        <v>286</v>
      </c>
    </row>
    <row r="288" spans="1:2">
      <c r="A288">
        <v>23014794</v>
      </c>
      <c r="B288">
        <v>287</v>
      </c>
    </row>
    <row r="289" spans="1:2">
      <c r="A289">
        <v>23014796</v>
      </c>
      <c r="B289">
        <v>288</v>
      </c>
    </row>
    <row r="290" spans="1:2">
      <c r="A290">
        <v>23014834</v>
      </c>
      <c r="B290">
        <v>289</v>
      </c>
    </row>
    <row r="291" spans="1:2">
      <c r="A291">
        <v>23014898</v>
      </c>
      <c r="B291">
        <v>290</v>
      </c>
    </row>
    <row r="292" spans="1:2">
      <c r="A292">
        <v>23014902</v>
      </c>
      <c r="B292">
        <v>291</v>
      </c>
    </row>
    <row r="293" spans="1:2">
      <c r="A293">
        <v>23014951</v>
      </c>
      <c r="B293">
        <v>292</v>
      </c>
    </row>
    <row r="294" spans="1:2">
      <c r="A294">
        <v>23014954</v>
      </c>
      <c r="B294">
        <v>293</v>
      </c>
    </row>
    <row r="295" spans="1:2">
      <c r="A295">
        <v>23014957</v>
      </c>
      <c r="B295">
        <v>294</v>
      </c>
    </row>
    <row r="296" spans="1:2">
      <c r="A296">
        <v>23014958</v>
      </c>
      <c r="B296">
        <v>295</v>
      </c>
    </row>
    <row r="297" spans="1:2">
      <c r="A297">
        <v>23014959</v>
      </c>
      <c r="B297">
        <v>296</v>
      </c>
    </row>
    <row r="298" spans="1:2">
      <c r="A298">
        <v>23014967</v>
      </c>
      <c r="B298">
        <v>297</v>
      </c>
    </row>
    <row r="299" spans="1:2">
      <c r="A299">
        <v>23014968</v>
      </c>
      <c r="B299">
        <v>298</v>
      </c>
    </row>
    <row r="300" spans="1:2">
      <c r="A300">
        <v>23014972</v>
      </c>
      <c r="B300">
        <v>299</v>
      </c>
    </row>
    <row r="301" spans="1:2">
      <c r="A301">
        <v>23014990</v>
      </c>
      <c r="B301">
        <v>300</v>
      </c>
    </row>
    <row r="302" spans="1:2">
      <c r="A302">
        <v>23014993</v>
      </c>
      <c r="B302">
        <v>301</v>
      </c>
    </row>
    <row r="303" spans="1:2">
      <c r="A303">
        <v>23014995</v>
      </c>
      <c r="B303">
        <v>302</v>
      </c>
    </row>
    <row r="304" spans="1:2">
      <c r="A304">
        <v>23014996</v>
      </c>
      <c r="B304">
        <v>303</v>
      </c>
    </row>
    <row r="305" spans="1:2">
      <c r="A305">
        <v>23015004</v>
      </c>
      <c r="B305">
        <v>304</v>
      </c>
    </row>
    <row r="306" spans="1:2">
      <c r="A306">
        <v>23015007</v>
      </c>
      <c r="B306">
        <v>305</v>
      </c>
    </row>
    <row r="307" spans="1:2">
      <c r="A307">
        <v>23015019</v>
      </c>
      <c r="B307">
        <v>306</v>
      </c>
    </row>
    <row r="308" spans="1:2">
      <c r="A308">
        <v>23015026</v>
      </c>
      <c r="B308">
        <v>307</v>
      </c>
    </row>
    <row r="309" spans="1:2">
      <c r="A309">
        <v>23015031</v>
      </c>
      <c r="B309">
        <v>308</v>
      </c>
    </row>
    <row r="310" spans="1:2">
      <c r="A310">
        <v>23015051</v>
      </c>
      <c r="B310">
        <v>309</v>
      </c>
    </row>
    <row r="311" spans="1:2">
      <c r="A311">
        <v>23015054</v>
      </c>
      <c r="B311">
        <v>310</v>
      </c>
    </row>
    <row r="312" spans="1:2">
      <c r="A312">
        <v>23015056</v>
      </c>
      <c r="B312">
        <v>311</v>
      </c>
    </row>
    <row r="313" spans="1:2">
      <c r="A313">
        <v>23015070</v>
      </c>
      <c r="B313">
        <v>312</v>
      </c>
    </row>
    <row r="314" spans="1:2">
      <c r="A314">
        <v>23015072</v>
      </c>
      <c r="B314">
        <v>313</v>
      </c>
    </row>
    <row r="315" spans="1:2">
      <c r="A315">
        <v>23015104</v>
      </c>
      <c r="B315">
        <v>314</v>
      </c>
    </row>
    <row r="316" spans="1:2">
      <c r="A316">
        <v>23015113</v>
      </c>
      <c r="B316">
        <v>315</v>
      </c>
    </row>
    <row r="317" spans="1:2">
      <c r="A317">
        <v>23015117</v>
      </c>
      <c r="B317">
        <v>316</v>
      </c>
    </row>
    <row r="318" spans="1:2">
      <c r="A318">
        <v>23015135</v>
      </c>
      <c r="B318">
        <v>317</v>
      </c>
    </row>
    <row r="319" spans="1:2">
      <c r="A319">
        <v>23015136</v>
      </c>
      <c r="B319">
        <v>318</v>
      </c>
    </row>
    <row r="320" spans="1:2">
      <c r="A320">
        <v>23015140</v>
      </c>
      <c r="B320">
        <v>319</v>
      </c>
    </row>
    <row r="321" spans="1:2">
      <c r="A321">
        <v>23015145</v>
      </c>
      <c r="B321">
        <v>320</v>
      </c>
    </row>
    <row r="322" spans="1:2">
      <c r="A322">
        <v>23015163</v>
      </c>
      <c r="B322">
        <v>321</v>
      </c>
    </row>
    <row r="323" spans="1:2">
      <c r="A323">
        <v>23015176</v>
      </c>
      <c r="B323">
        <v>322</v>
      </c>
    </row>
    <row r="324" spans="1:2">
      <c r="A324">
        <v>23015177</v>
      </c>
      <c r="B324">
        <v>323</v>
      </c>
    </row>
    <row r="325" spans="1:2">
      <c r="A325">
        <v>23015186</v>
      </c>
      <c r="B325">
        <v>324</v>
      </c>
    </row>
    <row r="326" spans="1:2">
      <c r="A326">
        <v>23015189</v>
      </c>
      <c r="B326">
        <v>325</v>
      </c>
    </row>
    <row r="327" spans="1:2">
      <c r="A327">
        <v>23015197</v>
      </c>
      <c r="B327">
        <v>326</v>
      </c>
    </row>
    <row r="328" spans="1:2">
      <c r="A328">
        <v>23015210</v>
      </c>
      <c r="B328">
        <v>327</v>
      </c>
    </row>
    <row r="329" spans="1:2">
      <c r="A329">
        <v>23015399</v>
      </c>
      <c r="B329">
        <v>328</v>
      </c>
    </row>
    <row r="330" spans="1:2">
      <c r="A330">
        <v>23015406</v>
      </c>
      <c r="B330">
        <v>329</v>
      </c>
    </row>
    <row r="331" spans="1:2">
      <c r="A331">
        <v>23015468</v>
      </c>
      <c r="B331">
        <v>330</v>
      </c>
    </row>
    <row r="332" spans="1:2">
      <c r="A332">
        <v>23015571</v>
      </c>
      <c r="B332">
        <v>331</v>
      </c>
    </row>
    <row r="333" spans="1:2">
      <c r="A333">
        <v>23015640</v>
      </c>
      <c r="B333">
        <v>332</v>
      </c>
    </row>
    <row r="334" spans="1:2">
      <c r="A334">
        <v>23015671</v>
      </c>
      <c r="B334">
        <v>333</v>
      </c>
    </row>
    <row r="335" spans="1:2">
      <c r="A335">
        <v>23015738</v>
      </c>
      <c r="B335">
        <v>334</v>
      </c>
    </row>
    <row r="336" spans="1:2">
      <c r="A336">
        <v>23015781</v>
      </c>
      <c r="B336">
        <v>335</v>
      </c>
    </row>
    <row r="337" spans="1:2">
      <c r="A337">
        <v>23015862</v>
      </c>
      <c r="B337">
        <v>336</v>
      </c>
    </row>
    <row r="338" spans="1:2">
      <c r="A338">
        <v>23015910</v>
      </c>
      <c r="B338">
        <v>337</v>
      </c>
    </row>
    <row r="339" spans="1:2">
      <c r="A339">
        <v>23015913</v>
      </c>
      <c r="B339">
        <v>338</v>
      </c>
    </row>
    <row r="340" spans="1:2">
      <c r="A340">
        <v>23015921</v>
      </c>
      <c r="B340">
        <v>339</v>
      </c>
    </row>
    <row r="341" spans="1:2">
      <c r="A341">
        <v>23015925</v>
      </c>
      <c r="B341">
        <v>340</v>
      </c>
    </row>
    <row r="342" spans="1:2">
      <c r="A342">
        <v>23015928</v>
      </c>
      <c r="B342">
        <v>341</v>
      </c>
    </row>
    <row r="343" spans="1:2">
      <c r="A343">
        <v>23015944</v>
      </c>
      <c r="B343">
        <v>342</v>
      </c>
    </row>
    <row r="344" spans="1:2">
      <c r="A344">
        <v>23015946</v>
      </c>
      <c r="B344">
        <v>343</v>
      </c>
    </row>
    <row r="345" spans="1:2">
      <c r="A345">
        <v>23015963</v>
      </c>
      <c r="B345">
        <v>344</v>
      </c>
    </row>
    <row r="346" spans="1:2">
      <c r="A346">
        <v>23015964</v>
      </c>
      <c r="B346">
        <v>345</v>
      </c>
    </row>
    <row r="347" spans="1:2">
      <c r="A347">
        <v>23015979</v>
      </c>
      <c r="B347">
        <v>346</v>
      </c>
    </row>
    <row r="348" spans="1:2">
      <c r="A348">
        <v>23015988</v>
      </c>
      <c r="B348">
        <v>347</v>
      </c>
    </row>
    <row r="349" spans="1:2">
      <c r="A349">
        <v>23015989</v>
      </c>
      <c r="B349">
        <v>348</v>
      </c>
    </row>
    <row r="350" spans="1:2">
      <c r="A350">
        <v>23015990</v>
      </c>
      <c r="B350">
        <v>349</v>
      </c>
    </row>
    <row r="351" spans="1:2">
      <c r="A351">
        <v>23015992</v>
      </c>
      <c r="B351">
        <v>350</v>
      </c>
    </row>
    <row r="352" spans="1:2">
      <c r="A352">
        <v>23016018</v>
      </c>
      <c r="B352">
        <v>351</v>
      </c>
    </row>
    <row r="353" spans="1:2">
      <c r="A353">
        <v>23016133</v>
      </c>
      <c r="B353">
        <v>352</v>
      </c>
    </row>
    <row r="354" spans="1:2">
      <c r="A354">
        <v>23016151</v>
      </c>
      <c r="B354">
        <v>353</v>
      </c>
    </row>
    <row r="355" spans="1:2">
      <c r="A355">
        <v>23016185</v>
      </c>
      <c r="B355">
        <v>354</v>
      </c>
    </row>
    <row r="356" spans="1:2">
      <c r="A356">
        <v>23016193</v>
      </c>
      <c r="B356">
        <v>355</v>
      </c>
    </row>
    <row r="357" spans="1:2">
      <c r="A357">
        <v>23016194</v>
      </c>
      <c r="B357">
        <v>356</v>
      </c>
    </row>
    <row r="358" spans="1:2">
      <c r="A358">
        <v>23016212</v>
      </c>
      <c r="B358">
        <v>357</v>
      </c>
    </row>
    <row r="359" spans="1:2">
      <c r="A359">
        <v>23016223</v>
      </c>
      <c r="B359">
        <v>358</v>
      </c>
    </row>
    <row r="360" spans="1:2">
      <c r="A360">
        <v>23016224</v>
      </c>
      <c r="B360">
        <v>359</v>
      </c>
    </row>
    <row r="361" spans="1:2">
      <c r="A361">
        <v>23016233</v>
      </c>
      <c r="B361">
        <v>360</v>
      </c>
    </row>
    <row r="362" spans="1:2">
      <c r="A362">
        <v>23016264</v>
      </c>
      <c r="B362">
        <v>361</v>
      </c>
    </row>
    <row r="363" spans="1:2">
      <c r="A363">
        <v>23016267</v>
      </c>
      <c r="B363">
        <v>362</v>
      </c>
    </row>
    <row r="364" spans="1:2">
      <c r="A364">
        <v>23016287</v>
      </c>
      <c r="B364">
        <v>363</v>
      </c>
    </row>
    <row r="365" spans="1:2">
      <c r="A365">
        <v>23016302</v>
      </c>
      <c r="B365">
        <v>364</v>
      </c>
    </row>
    <row r="366" spans="1:2">
      <c r="A366">
        <v>23016308</v>
      </c>
      <c r="B366">
        <v>365</v>
      </c>
    </row>
    <row r="367" spans="1:2">
      <c r="A367">
        <v>23016321</v>
      </c>
      <c r="B367">
        <v>366</v>
      </c>
    </row>
    <row r="368" spans="1:2">
      <c r="A368">
        <v>23016330</v>
      </c>
      <c r="B368">
        <v>367</v>
      </c>
    </row>
    <row r="369" spans="1:2">
      <c r="A369">
        <v>23016335</v>
      </c>
      <c r="B369">
        <v>368</v>
      </c>
    </row>
    <row r="370" spans="1:2">
      <c r="A370">
        <v>23016337</v>
      </c>
      <c r="B370">
        <v>369</v>
      </c>
    </row>
    <row r="371" spans="1:2">
      <c r="A371">
        <v>23016338</v>
      </c>
      <c r="B371">
        <v>370</v>
      </c>
    </row>
    <row r="372" spans="1:2">
      <c r="A372">
        <v>23016348</v>
      </c>
      <c r="B372">
        <v>371</v>
      </c>
    </row>
    <row r="373" spans="1:2">
      <c r="A373">
        <v>23016399</v>
      </c>
      <c r="B373">
        <v>372</v>
      </c>
    </row>
    <row r="374" spans="1:2">
      <c r="A374">
        <v>23016411</v>
      </c>
      <c r="B374">
        <v>373</v>
      </c>
    </row>
    <row r="375" spans="1:2">
      <c r="A375">
        <v>23016415</v>
      </c>
      <c r="B375">
        <v>374</v>
      </c>
    </row>
    <row r="376" spans="1:2">
      <c r="A376">
        <v>23016441</v>
      </c>
      <c r="B376">
        <v>375</v>
      </c>
    </row>
    <row r="377" spans="1:2">
      <c r="A377">
        <v>23016445</v>
      </c>
      <c r="B377">
        <v>376</v>
      </c>
    </row>
    <row r="378" spans="1:2">
      <c r="A378">
        <v>23016447</v>
      </c>
      <c r="B378">
        <v>377</v>
      </c>
    </row>
    <row r="379" spans="1:2">
      <c r="A379">
        <v>23016449</v>
      </c>
      <c r="B379">
        <v>378</v>
      </c>
    </row>
    <row r="380" spans="1:2">
      <c r="A380">
        <v>23016451</v>
      </c>
      <c r="B380">
        <v>379</v>
      </c>
    </row>
    <row r="381" spans="1:2">
      <c r="A381">
        <v>23016457</v>
      </c>
      <c r="B381">
        <v>380</v>
      </c>
    </row>
    <row r="382" spans="1:2">
      <c r="A382">
        <v>23016459</v>
      </c>
      <c r="B382">
        <v>381</v>
      </c>
    </row>
    <row r="383" spans="1:2">
      <c r="A383">
        <v>23016490</v>
      </c>
      <c r="B383">
        <v>382</v>
      </c>
    </row>
    <row r="384" spans="1:2">
      <c r="A384">
        <v>23016493</v>
      </c>
      <c r="B384">
        <v>383</v>
      </c>
    </row>
    <row r="385" spans="1:2">
      <c r="A385">
        <v>23016511</v>
      </c>
      <c r="B385">
        <v>384</v>
      </c>
    </row>
    <row r="386" spans="1:2">
      <c r="A386">
        <v>23016533</v>
      </c>
      <c r="B386">
        <v>385</v>
      </c>
    </row>
    <row r="387" spans="1:2">
      <c r="A387">
        <v>23016545</v>
      </c>
      <c r="B387">
        <v>386</v>
      </c>
    </row>
    <row r="388" spans="1:2">
      <c r="A388">
        <v>23016613</v>
      </c>
      <c r="B388">
        <v>387</v>
      </c>
    </row>
    <row r="389" spans="1:2">
      <c r="A389">
        <v>23016619</v>
      </c>
      <c r="B389">
        <v>388</v>
      </c>
    </row>
    <row r="390" spans="1:2">
      <c r="A390">
        <v>23016656</v>
      </c>
      <c r="B390">
        <v>389</v>
      </c>
    </row>
    <row r="391" spans="1:2">
      <c r="A391">
        <v>23016680</v>
      </c>
      <c r="B391">
        <v>390</v>
      </c>
    </row>
    <row r="392" spans="1:2">
      <c r="A392">
        <v>23016702</v>
      </c>
      <c r="B392">
        <v>391</v>
      </c>
    </row>
    <row r="393" spans="1:2">
      <c r="A393">
        <v>23016704</v>
      </c>
      <c r="B393">
        <v>392</v>
      </c>
    </row>
    <row r="394" spans="1:2">
      <c r="A394">
        <v>23016706</v>
      </c>
      <c r="B394">
        <v>393</v>
      </c>
    </row>
    <row r="395" spans="1:2">
      <c r="A395">
        <v>23016724</v>
      </c>
      <c r="B395">
        <v>394</v>
      </c>
    </row>
    <row r="396" spans="1:2">
      <c r="A396">
        <v>23016725</v>
      </c>
      <c r="B396">
        <v>395</v>
      </c>
    </row>
    <row r="397" spans="1:2">
      <c r="A397">
        <v>23016728</v>
      </c>
      <c r="B397">
        <v>396</v>
      </c>
    </row>
    <row r="398" spans="1:2">
      <c r="A398">
        <v>23016731</v>
      </c>
      <c r="B398">
        <v>397</v>
      </c>
    </row>
    <row r="399" spans="1:2">
      <c r="A399">
        <v>23016757</v>
      </c>
      <c r="B399">
        <v>398</v>
      </c>
    </row>
    <row r="400" spans="1:2">
      <c r="A400">
        <v>23016802</v>
      </c>
      <c r="B400">
        <v>399</v>
      </c>
    </row>
    <row r="401" spans="1:2">
      <c r="A401">
        <v>23016824</v>
      </c>
      <c r="B401">
        <v>400</v>
      </c>
    </row>
    <row r="402" spans="1:2">
      <c r="A402">
        <v>23016825</v>
      </c>
      <c r="B402">
        <v>401</v>
      </c>
    </row>
    <row r="403" spans="1:2">
      <c r="A403">
        <v>23016835</v>
      </c>
      <c r="B403">
        <v>402</v>
      </c>
    </row>
    <row r="404" spans="1:2">
      <c r="A404">
        <v>23016851</v>
      </c>
      <c r="B404">
        <v>403</v>
      </c>
    </row>
    <row r="405" spans="1:2">
      <c r="A405">
        <v>23016852</v>
      </c>
      <c r="B405">
        <v>404</v>
      </c>
    </row>
    <row r="406" spans="1:2">
      <c r="A406">
        <v>23016854</v>
      </c>
      <c r="B406">
        <v>405</v>
      </c>
    </row>
    <row r="407" spans="1:2">
      <c r="A407">
        <v>23016858</v>
      </c>
      <c r="B407">
        <v>406</v>
      </c>
    </row>
    <row r="408" spans="1:2">
      <c r="A408">
        <v>23016859</v>
      </c>
      <c r="B408">
        <v>407</v>
      </c>
    </row>
    <row r="409" spans="1:2">
      <c r="A409">
        <v>23016864</v>
      </c>
      <c r="B409">
        <v>408</v>
      </c>
    </row>
    <row r="410" spans="1:2">
      <c r="A410">
        <v>23016871</v>
      </c>
      <c r="B410">
        <v>409</v>
      </c>
    </row>
    <row r="411" spans="1:2">
      <c r="A411">
        <v>23016878</v>
      </c>
      <c r="B411">
        <v>410</v>
      </c>
    </row>
    <row r="412" spans="1:2">
      <c r="A412">
        <v>23016885</v>
      </c>
      <c r="B412">
        <v>411</v>
      </c>
    </row>
    <row r="413" spans="1:2">
      <c r="A413">
        <v>23016890</v>
      </c>
      <c r="B413">
        <v>412</v>
      </c>
    </row>
    <row r="414" spans="1:2">
      <c r="A414">
        <v>23016895</v>
      </c>
      <c r="B414">
        <v>413</v>
      </c>
    </row>
    <row r="415" spans="1:2">
      <c r="A415">
        <v>23016902</v>
      </c>
      <c r="B415">
        <v>414</v>
      </c>
    </row>
    <row r="416" spans="1:2">
      <c r="A416">
        <v>23016904</v>
      </c>
      <c r="B416">
        <v>415</v>
      </c>
    </row>
    <row r="417" spans="1:2">
      <c r="A417">
        <v>23016913</v>
      </c>
      <c r="B417">
        <v>416</v>
      </c>
    </row>
    <row r="418" spans="1:2">
      <c r="A418">
        <v>23016921</v>
      </c>
      <c r="B418">
        <v>417</v>
      </c>
    </row>
    <row r="419" spans="1:2">
      <c r="A419">
        <v>23016945</v>
      </c>
      <c r="B419">
        <v>418</v>
      </c>
    </row>
    <row r="420" spans="1:2">
      <c r="A420">
        <v>23016946</v>
      </c>
      <c r="B420">
        <v>419</v>
      </c>
    </row>
    <row r="421" spans="1:2">
      <c r="A421">
        <v>23016952</v>
      </c>
      <c r="B421">
        <v>420</v>
      </c>
    </row>
    <row r="422" spans="1:2">
      <c r="A422">
        <v>23016954</v>
      </c>
      <c r="B422">
        <v>421</v>
      </c>
    </row>
    <row r="423" spans="1:2">
      <c r="A423">
        <v>23016960</v>
      </c>
      <c r="B423">
        <v>422</v>
      </c>
    </row>
    <row r="424" spans="1:2">
      <c r="A424">
        <v>23016964</v>
      </c>
      <c r="B424">
        <v>423</v>
      </c>
    </row>
    <row r="425" spans="1:2">
      <c r="A425">
        <v>23016965</v>
      </c>
      <c r="B425">
        <v>424</v>
      </c>
    </row>
    <row r="426" spans="1:2">
      <c r="A426">
        <v>23016968</v>
      </c>
      <c r="B426">
        <v>425</v>
      </c>
    </row>
    <row r="427" spans="1:2">
      <c r="A427">
        <v>23016973</v>
      </c>
      <c r="B427">
        <v>426</v>
      </c>
    </row>
    <row r="428" spans="1:2">
      <c r="A428">
        <v>23016987</v>
      </c>
      <c r="B428">
        <v>427</v>
      </c>
    </row>
    <row r="429" spans="1:2">
      <c r="A429">
        <v>23017005</v>
      </c>
      <c r="B429">
        <v>428</v>
      </c>
    </row>
    <row r="430" spans="1:2">
      <c r="A430">
        <v>23017006</v>
      </c>
      <c r="B430">
        <v>429</v>
      </c>
    </row>
    <row r="431" spans="1:2">
      <c r="A431">
        <v>23017035</v>
      </c>
      <c r="B431">
        <v>430</v>
      </c>
    </row>
    <row r="432" spans="1:2">
      <c r="A432">
        <v>23017055</v>
      </c>
      <c r="B432">
        <v>431</v>
      </c>
    </row>
    <row r="433" spans="1:2">
      <c r="A433">
        <v>23017069</v>
      </c>
      <c r="B433">
        <v>432</v>
      </c>
    </row>
    <row r="434" spans="1:2">
      <c r="A434">
        <v>23017083</v>
      </c>
      <c r="B434">
        <v>433</v>
      </c>
    </row>
    <row r="435" spans="1:2">
      <c r="A435">
        <v>23017099</v>
      </c>
      <c r="B435">
        <v>434</v>
      </c>
    </row>
    <row r="436" spans="1:2">
      <c r="A436">
        <v>23017104</v>
      </c>
      <c r="B436">
        <v>435</v>
      </c>
    </row>
    <row r="437" spans="1:2">
      <c r="A437">
        <v>23017159</v>
      </c>
      <c r="B437">
        <v>436</v>
      </c>
    </row>
    <row r="438" spans="1:2">
      <c r="A438">
        <v>23017177</v>
      </c>
      <c r="B438">
        <v>437</v>
      </c>
    </row>
    <row r="439" spans="1:2">
      <c r="A439">
        <v>23017190</v>
      </c>
      <c r="B439">
        <v>438</v>
      </c>
    </row>
    <row r="440" spans="1:2">
      <c r="A440">
        <v>23017196</v>
      </c>
      <c r="B440">
        <v>439</v>
      </c>
    </row>
    <row r="441" spans="1:2">
      <c r="A441">
        <v>23017214</v>
      </c>
      <c r="B441">
        <v>440</v>
      </c>
    </row>
    <row r="442" spans="1:2">
      <c r="A442">
        <v>23017216</v>
      </c>
      <c r="B442">
        <v>441</v>
      </c>
    </row>
    <row r="443" spans="1:2">
      <c r="A443">
        <v>23017227</v>
      </c>
      <c r="B443">
        <v>442</v>
      </c>
    </row>
    <row r="444" spans="1:2">
      <c r="A444">
        <v>23017231</v>
      </c>
      <c r="B444">
        <v>443</v>
      </c>
    </row>
    <row r="445" spans="1:2">
      <c r="A445">
        <v>23017244</v>
      </c>
      <c r="B445">
        <v>444</v>
      </c>
    </row>
    <row r="446" spans="1:2">
      <c r="A446">
        <v>23017246</v>
      </c>
      <c r="B446">
        <v>445</v>
      </c>
    </row>
    <row r="447" spans="1:2">
      <c r="A447">
        <v>23017248</v>
      </c>
      <c r="B447">
        <v>446</v>
      </c>
    </row>
    <row r="448" spans="1:2">
      <c r="A448">
        <v>23017260</v>
      </c>
      <c r="B448">
        <v>447</v>
      </c>
    </row>
    <row r="449" spans="1:2">
      <c r="A449">
        <v>23017262</v>
      </c>
      <c r="B449">
        <v>448</v>
      </c>
    </row>
    <row r="450" spans="1:2">
      <c r="A450">
        <v>23017277</v>
      </c>
      <c r="B450">
        <v>449</v>
      </c>
    </row>
    <row r="451" spans="1:2">
      <c r="A451">
        <v>23017305</v>
      </c>
      <c r="B451">
        <v>450</v>
      </c>
    </row>
    <row r="452" spans="1:2">
      <c r="A452">
        <v>23017307</v>
      </c>
      <c r="B452">
        <v>451</v>
      </c>
    </row>
    <row r="453" spans="1:2">
      <c r="A453">
        <v>23017308</v>
      </c>
      <c r="B453">
        <v>452</v>
      </c>
    </row>
    <row r="454" spans="1:2">
      <c r="A454">
        <v>23017310</v>
      </c>
      <c r="B454">
        <v>453</v>
      </c>
    </row>
    <row r="455" spans="1:2">
      <c r="A455">
        <v>23017322</v>
      </c>
      <c r="B455">
        <v>454</v>
      </c>
    </row>
    <row r="456" spans="1:2">
      <c r="A456">
        <v>23017369</v>
      </c>
      <c r="B456">
        <v>455</v>
      </c>
    </row>
    <row r="457" spans="1:2">
      <c r="A457">
        <v>23017377</v>
      </c>
      <c r="B457">
        <v>456</v>
      </c>
    </row>
    <row r="458" spans="1:2">
      <c r="A458">
        <v>23017386</v>
      </c>
      <c r="B458">
        <v>457</v>
      </c>
    </row>
    <row r="459" spans="1:2">
      <c r="A459">
        <v>23017404</v>
      </c>
      <c r="B459">
        <v>458</v>
      </c>
    </row>
    <row r="460" spans="1:2">
      <c r="A460">
        <v>23017413</v>
      </c>
      <c r="B460">
        <v>459</v>
      </c>
    </row>
    <row r="461" spans="1:2">
      <c r="A461">
        <v>23017414</v>
      </c>
      <c r="B461">
        <v>460</v>
      </c>
    </row>
    <row r="462" spans="1:2">
      <c r="A462">
        <v>23017423</v>
      </c>
      <c r="B462">
        <v>461</v>
      </c>
    </row>
    <row r="463" spans="1:2">
      <c r="A463">
        <v>23017429</v>
      </c>
      <c r="B463">
        <v>462</v>
      </c>
    </row>
    <row r="464" spans="1:2">
      <c r="A464">
        <v>23017430</v>
      </c>
      <c r="B464">
        <v>463</v>
      </c>
    </row>
    <row r="465" spans="1:2">
      <c r="A465">
        <v>23017431</v>
      </c>
      <c r="B465">
        <v>464</v>
      </c>
    </row>
    <row r="466" spans="1:2">
      <c r="A466">
        <v>23017440</v>
      </c>
      <c r="B466">
        <v>465</v>
      </c>
    </row>
    <row r="467" spans="1:2">
      <c r="A467">
        <v>23017454</v>
      </c>
      <c r="B467">
        <v>466</v>
      </c>
    </row>
    <row r="468" spans="1:2">
      <c r="A468">
        <v>23017467</v>
      </c>
      <c r="B468">
        <v>467</v>
      </c>
    </row>
    <row r="469" spans="1:2">
      <c r="A469">
        <v>23017500</v>
      </c>
      <c r="B469">
        <v>468</v>
      </c>
    </row>
    <row r="470" spans="1:2">
      <c r="A470">
        <v>23017501</v>
      </c>
      <c r="B470">
        <v>469</v>
      </c>
    </row>
    <row r="471" spans="1:2">
      <c r="A471">
        <v>23017509</v>
      </c>
      <c r="B471">
        <v>470</v>
      </c>
    </row>
    <row r="472" spans="1:2">
      <c r="A472">
        <v>23017528</v>
      </c>
      <c r="B472">
        <v>471</v>
      </c>
    </row>
    <row r="473" spans="1:2">
      <c r="A473">
        <v>23017533</v>
      </c>
      <c r="B473">
        <v>472</v>
      </c>
    </row>
    <row r="474" spans="1:2">
      <c r="A474">
        <v>23017550</v>
      </c>
      <c r="B474">
        <v>473</v>
      </c>
    </row>
    <row r="475" spans="1:2">
      <c r="A475">
        <v>23017555</v>
      </c>
      <c r="B475">
        <v>474</v>
      </c>
    </row>
    <row r="476" spans="1:2">
      <c r="A476">
        <v>23017559</v>
      </c>
      <c r="B476">
        <v>475</v>
      </c>
    </row>
    <row r="477" spans="1:2">
      <c r="A477">
        <v>23017564</v>
      </c>
      <c r="B477">
        <v>476</v>
      </c>
    </row>
    <row r="478" spans="1:2">
      <c r="A478">
        <v>23017565</v>
      </c>
      <c r="B478">
        <v>477</v>
      </c>
    </row>
    <row r="479" spans="1:2">
      <c r="A479">
        <v>23017581</v>
      </c>
      <c r="B479">
        <v>478</v>
      </c>
    </row>
    <row r="480" spans="1:2">
      <c r="A480">
        <v>23017584</v>
      </c>
      <c r="B480">
        <v>479</v>
      </c>
    </row>
    <row r="481" spans="1:2">
      <c r="A481">
        <v>23017590</v>
      </c>
      <c r="B481">
        <v>480</v>
      </c>
    </row>
    <row r="482" spans="1:2">
      <c r="A482">
        <v>23017597</v>
      </c>
      <c r="B482">
        <v>481</v>
      </c>
    </row>
    <row r="483" spans="1:2">
      <c r="A483">
        <v>23017598</v>
      </c>
      <c r="B483">
        <v>482</v>
      </c>
    </row>
    <row r="484" spans="1:2">
      <c r="A484">
        <v>23017631</v>
      </c>
      <c r="B484">
        <v>483</v>
      </c>
    </row>
    <row r="485" spans="1:2">
      <c r="A485">
        <v>23017668</v>
      </c>
      <c r="B485">
        <v>484</v>
      </c>
    </row>
    <row r="486" spans="1:2">
      <c r="A486">
        <v>23017674</v>
      </c>
      <c r="B486">
        <v>485</v>
      </c>
    </row>
    <row r="487" spans="1:2">
      <c r="A487">
        <v>23017692</v>
      </c>
      <c r="B487">
        <v>486</v>
      </c>
    </row>
    <row r="488" spans="1:2">
      <c r="A488">
        <v>23017700</v>
      </c>
      <c r="B488">
        <v>487</v>
      </c>
    </row>
    <row r="489" spans="1:2">
      <c r="A489">
        <v>23017720</v>
      </c>
      <c r="B489">
        <v>488</v>
      </c>
    </row>
    <row r="490" spans="1:2">
      <c r="A490">
        <v>23017733</v>
      </c>
      <c r="B490">
        <v>489</v>
      </c>
    </row>
    <row r="491" spans="1:2">
      <c r="A491">
        <v>23017740</v>
      </c>
      <c r="B491">
        <v>490</v>
      </c>
    </row>
    <row r="492" spans="1:2">
      <c r="A492">
        <v>23017741</v>
      </c>
      <c r="B492">
        <v>491</v>
      </c>
    </row>
    <row r="493" spans="1:2">
      <c r="A493">
        <v>23017746</v>
      </c>
      <c r="B493">
        <v>492</v>
      </c>
    </row>
    <row r="494" spans="1:2">
      <c r="A494">
        <v>23017748</v>
      </c>
      <c r="B494">
        <v>493</v>
      </c>
    </row>
    <row r="495" spans="1:2">
      <c r="A495">
        <v>23017753</v>
      </c>
      <c r="B495">
        <v>494</v>
      </c>
    </row>
    <row r="496" spans="1:2">
      <c r="A496">
        <v>23017755</v>
      </c>
      <c r="B496">
        <v>495</v>
      </c>
    </row>
    <row r="497" spans="1:2">
      <c r="A497">
        <v>23017759</v>
      </c>
      <c r="B497">
        <v>496</v>
      </c>
    </row>
    <row r="498" spans="1:2">
      <c r="A498">
        <v>23017767</v>
      </c>
      <c r="B498">
        <v>497</v>
      </c>
    </row>
    <row r="499" spans="1:2">
      <c r="A499">
        <v>23017768</v>
      </c>
      <c r="B499">
        <v>498</v>
      </c>
    </row>
    <row r="500" spans="1:2">
      <c r="A500">
        <v>23017799</v>
      </c>
      <c r="B500">
        <v>499</v>
      </c>
    </row>
    <row r="501" spans="1:2">
      <c r="A501">
        <v>23017814</v>
      </c>
      <c r="B501">
        <v>500</v>
      </c>
    </row>
    <row r="502" spans="1:2">
      <c r="A502">
        <v>23017824</v>
      </c>
      <c r="B502">
        <v>501</v>
      </c>
    </row>
    <row r="503" spans="1:2">
      <c r="A503">
        <v>23017825</v>
      </c>
      <c r="B503">
        <v>502</v>
      </c>
    </row>
    <row r="504" spans="1:2">
      <c r="A504">
        <v>23017829</v>
      </c>
      <c r="B504">
        <v>503</v>
      </c>
    </row>
    <row r="505" spans="1:2">
      <c r="A505">
        <v>23017831</v>
      </c>
      <c r="B505">
        <v>504</v>
      </c>
    </row>
    <row r="506" spans="1:2">
      <c r="A506">
        <v>23017835</v>
      </c>
      <c r="B506">
        <v>505</v>
      </c>
    </row>
    <row r="507" spans="1:2">
      <c r="A507">
        <v>23017836</v>
      </c>
      <c r="B507">
        <v>506</v>
      </c>
    </row>
    <row r="508" spans="1:2">
      <c r="A508">
        <v>23017852</v>
      </c>
      <c r="B508">
        <v>507</v>
      </c>
    </row>
    <row r="509" spans="1:2">
      <c r="A509">
        <v>23017858</v>
      </c>
      <c r="B509">
        <v>508</v>
      </c>
    </row>
    <row r="510" spans="1:2">
      <c r="A510">
        <v>23017862</v>
      </c>
      <c r="B510">
        <v>509</v>
      </c>
    </row>
    <row r="511" spans="1:2">
      <c r="A511">
        <v>23017879</v>
      </c>
      <c r="B511">
        <v>510</v>
      </c>
    </row>
    <row r="512" spans="1:2">
      <c r="A512">
        <v>23017896</v>
      </c>
      <c r="B512">
        <v>511</v>
      </c>
    </row>
    <row r="513" spans="1:2">
      <c r="A513">
        <v>23017914</v>
      </c>
      <c r="B513">
        <v>512</v>
      </c>
    </row>
    <row r="514" spans="1:2">
      <c r="A514">
        <v>23017926</v>
      </c>
      <c r="B514">
        <v>513</v>
      </c>
    </row>
    <row r="515" spans="1:2">
      <c r="A515">
        <v>23017927</v>
      </c>
      <c r="B515">
        <v>514</v>
      </c>
    </row>
    <row r="516" spans="1:2">
      <c r="A516">
        <v>23017930</v>
      </c>
      <c r="B516">
        <v>515</v>
      </c>
    </row>
    <row r="517" spans="1:2">
      <c r="A517">
        <v>23017937</v>
      </c>
      <c r="B517">
        <v>516</v>
      </c>
    </row>
    <row r="518" spans="1:2">
      <c r="A518">
        <v>23017941</v>
      </c>
      <c r="B518">
        <v>517</v>
      </c>
    </row>
    <row r="519" spans="1:2">
      <c r="A519">
        <v>23017942</v>
      </c>
      <c r="B519">
        <v>518</v>
      </c>
    </row>
    <row r="520" spans="1:2">
      <c r="A520">
        <v>23017944</v>
      </c>
      <c r="B520">
        <v>519</v>
      </c>
    </row>
    <row r="521" spans="1:2">
      <c r="A521">
        <v>23017955</v>
      </c>
      <c r="B521">
        <v>520</v>
      </c>
    </row>
    <row r="522" spans="1:2">
      <c r="A522">
        <v>23017958</v>
      </c>
      <c r="B522">
        <v>521</v>
      </c>
    </row>
    <row r="523" spans="1:2">
      <c r="A523">
        <v>23017964</v>
      </c>
      <c r="B523">
        <v>522</v>
      </c>
    </row>
    <row r="524" spans="1:2">
      <c r="A524">
        <v>23017966</v>
      </c>
      <c r="B524">
        <v>523</v>
      </c>
    </row>
    <row r="525" spans="1:2">
      <c r="A525">
        <v>23017974</v>
      </c>
      <c r="B525">
        <v>524</v>
      </c>
    </row>
    <row r="526" spans="1:2">
      <c r="A526">
        <v>23017982</v>
      </c>
      <c r="B526">
        <v>525</v>
      </c>
    </row>
    <row r="527" spans="1:2">
      <c r="A527">
        <v>23017988</v>
      </c>
      <c r="B527">
        <v>526</v>
      </c>
    </row>
    <row r="528" spans="1:2">
      <c r="A528">
        <v>23019152</v>
      </c>
      <c r="B528">
        <v>527</v>
      </c>
    </row>
    <row r="529" spans="1:2">
      <c r="A529">
        <v>23019161</v>
      </c>
      <c r="B529">
        <v>528</v>
      </c>
    </row>
    <row r="530" spans="1:2">
      <c r="A530">
        <v>23019306</v>
      </c>
      <c r="B530">
        <v>529</v>
      </c>
    </row>
    <row r="531" spans="1:2">
      <c r="A531">
        <v>23019458</v>
      </c>
      <c r="B531">
        <v>530</v>
      </c>
    </row>
    <row r="532" spans="1:2">
      <c r="A532">
        <v>23019478</v>
      </c>
      <c r="B532">
        <v>531</v>
      </c>
    </row>
    <row r="533" spans="1:2">
      <c r="A533">
        <v>23019499</v>
      </c>
      <c r="B533">
        <v>532</v>
      </c>
    </row>
    <row r="534" spans="1:2">
      <c r="A534">
        <v>23019529</v>
      </c>
      <c r="B534">
        <v>533</v>
      </c>
    </row>
    <row r="535" spans="1:2">
      <c r="A535">
        <v>23019530</v>
      </c>
      <c r="B535">
        <v>534</v>
      </c>
    </row>
    <row r="536" spans="1:2">
      <c r="A536">
        <v>23019544</v>
      </c>
      <c r="B536">
        <v>535</v>
      </c>
    </row>
    <row r="537" spans="1:2">
      <c r="A537">
        <v>23019560</v>
      </c>
      <c r="B537">
        <v>536</v>
      </c>
    </row>
    <row r="538" spans="1:2">
      <c r="A538">
        <v>23019567</v>
      </c>
      <c r="B538">
        <v>537</v>
      </c>
    </row>
    <row r="539" spans="1:2">
      <c r="A539">
        <v>23019619</v>
      </c>
      <c r="B539">
        <v>538</v>
      </c>
    </row>
    <row r="540" spans="1:2">
      <c r="A540">
        <v>23019624</v>
      </c>
      <c r="B540">
        <v>539</v>
      </c>
    </row>
    <row r="541" spans="1:2">
      <c r="A541">
        <v>23015863</v>
      </c>
      <c r="B541">
        <v>540</v>
      </c>
    </row>
    <row r="542" spans="1:2">
      <c r="A542">
        <v>23017235</v>
      </c>
      <c r="B542">
        <v>541</v>
      </c>
    </row>
    <row r="543" spans="1:2">
      <c r="A543">
        <v>23008322</v>
      </c>
      <c r="B543">
        <v>542</v>
      </c>
    </row>
    <row r="544" spans="1:2">
      <c r="A544">
        <v>23019637</v>
      </c>
      <c r="B544">
        <v>543</v>
      </c>
    </row>
    <row r="545" spans="1:2">
      <c r="A545">
        <v>23016861</v>
      </c>
      <c r="B545">
        <v>544</v>
      </c>
    </row>
    <row r="546" spans="1:2">
      <c r="A546">
        <v>23006036</v>
      </c>
      <c r="B546">
        <v>545</v>
      </c>
    </row>
    <row r="547" spans="1:2">
      <c r="A547">
        <v>23016723</v>
      </c>
      <c r="B547">
        <v>546</v>
      </c>
    </row>
    <row r="548" spans="1:2">
      <c r="A548">
        <v>22077015</v>
      </c>
      <c r="B548">
        <v>547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F3B6-8124-4717-9F76-FC0C6F4CAB12}">
  <sheetPr filterMode="1"/>
  <dimension ref="A1:F550"/>
  <sheetViews>
    <sheetView workbookViewId="0">
      <selection activeCell="E239" sqref="E239"/>
    </sheetView>
  </sheetViews>
  <sheetFormatPr defaultRowHeight="15"/>
  <cols>
    <col min="2" max="2" width="4.42578125" bestFit="1" customWidth="1"/>
    <col min="3" max="3" width="45.140625" customWidth="1"/>
    <col min="4" max="4" width="93.85546875" customWidth="1"/>
    <col min="5" max="5" width="27.5703125" customWidth="1"/>
  </cols>
  <sheetData>
    <row r="1" spans="1:6" ht="15.75" thickBot="1">
      <c r="A1" t="s">
        <v>3789</v>
      </c>
      <c r="B1" t="s">
        <v>3790</v>
      </c>
      <c r="C1" t="s">
        <v>4</v>
      </c>
      <c r="D1" t="s">
        <v>3791</v>
      </c>
    </row>
    <row r="2" spans="1:6" ht="30.75" hidden="1" thickBot="1">
      <c r="A2" t="str">
        <f>IF(ISNA(INDEX('ID относящиеся у производству'!A:A,MATCH(B2,'ID относящиеся у производству'!A:A,0),1))=TRUE,"НЕТ","ДА")</f>
        <v>НЕТ</v>
      </c>
      <c r="B2" s="4">
        <v>1</v>
      </c>
      <c r="C2" s="4" t="s">
        <v>13</v>
      </c>
      <c r="D2" s="4" t="s">
        <v>14</v>
      </c>
    </row>
    <row r="3" spans="1:6" ht="30.75" thickBot="1">
      <c r="A3" t="str">
        <f>IF(ISNA(INDEX('ID относящиеся у производству'!A:A,MATCH(B3,'ID относящиеся у производству'!A:A,0),1))=TRUE,"НЕТ","ДА")</f>
        <v>ДА</v>
      </c>
      <c r="B3" s="4">
        <v>2</v>
      </c>
      <c r="C3" s="4" t="s">
        <v>39</v>
      </c>
      <c r="D3" s="4" t="s">
        <v>40</v>
      </c>
      <c r="E3" s="8" t="s">
        <v>3792</v>
      </c>
      <c r="F3" s="9" t="s">
        <v>3793</v>
      </c>
    </row>
    <row r="4" spans="1:6" ht="30.75" hidden="1" thickBot="1">
      <c r="A4" t="str">
        <f>IF(ISNA(INDEX('ID относящиеся у производству'!A:A,MATCH(B4,'ID относящиеся у производству'!A:A,0),1))=TRUE,"НЕТ","ДА")</f>
        <v>НЕТ</v>
      </c>
      <c r="B4" s="4">
        <v>3</v>
      </c>
      <c r="C4" s="4" t="s">
        <v>67</v>
      </c>
      <c r="D4" s="4" t="s">
        <v>68</v>
      </c>
    </row>
    <row r="5" spans="1:6" ht="45.75" hidden="1" thickBot="1">
      <c r="A5" t="str">
        <f>IF(ISNA(INDEX('ID относящиеся у производству'!A:A,MATCH(B5,'ID относящиеся у производству'!A:A,0),1))=TRUE,"НЕТ","ДА")</f>
        <v>НЕТ</v>
      </c>
      <c r="B5" s="4">
        <v>4</v>
      </c>
      <c r="C5" s="4" t="s">
        <v>84</v>
      </c>
      <c r="D5" s="4" t="s">
        <v>85</v>
      </c>
    </row>
    <row r="6" spans="1:6" ht="60.75" hidden="1" thickBot="1">
      <c r="A6" t="str">
        <f>IF(ISNA(INDEX('ID относящиеся у производству'!A:A,MATCH(B6,'ID относящиеся у производству'!A:A,0),1))=TRUE,"НЕТ","ДА")</f>
        <v>НЕТ</v>
      </c>
      <c r="B6" s="4">
        <v>5</v>
      </c>
      <c r="C6" s="4" t="s">
        <v>67</v>
      </c>
      <c r="D6" s="4" t="s">
        <v>99</v>
      </c>
    </row>
    <row r="7" spans="1:6" ht="45.75" hidden="1" thickBot="1">
      <c r="A7" t="str">
        <f>IF(ISNA(INDEX('ID относящиеся у производству'!A:A,MATCH(B7,'ID относящиеся у производству'!A:A,0),1))=TRUE,"НЕТ","ДА")</f>
        <v>НЕТ</v>
      </c>
      <c r="B7" s="4">
        <v>6</v>
      </c>
      <c r="C7" s="4" t="s">
        <v>116</v>
      </c>
      <c r="D7" s="4" t="s">
        <v>117</v>
      </c>
    </row>
    <row r="8" spans="1:6" ht="60.75" hidden="1" thickBot="1">
      <c r="A8" t="str">
        <f>IF(ISNA(INDEX('ID относящиеся у производству'!A:A,MATCH(B8,'ID относящиеся у производству'!A:A,0),1))=TRUE,"НЕТ","ДА")</f>
        <v>НЕТ</v>
      </c>
      <c r="B8" s="4">
        <v>7</v>
      </c>
      <c r="C8" s="4" t="s">
        <v>142</v>
      </c>
      <c r="D8" s="4" t="s">
        <v>143</v>
      </c>
    </row>
    <row r="9" spans="1:6" ht="60.75" hidden="1" thickBot="1">
      <c r="A9" t="str">
        <f>IF(ISNA(INDEX('ID относящиеся у производству'!A:A,MATCH(B9,'ID относящиеся у производству'!A:A,0),1))=TRUE,"НЕТ","ДА")</f>
        <v>НЕТ</v>
      </c>
      <c r="B9" s="4">
        <v>8</v>
      </c>
      <c r="C9" s="4" t="s">
        <v>142</v>
      </c>
      <c r="D9" s="4" t="s">
        <v>143</v>
      </c>
    </row>
    <row r="10" spans="1:6" ht="30.75" hidden="1" thickBot="1">
      <c r="A10" t="str">
        <f>IF(ISNA(INDEX('ID относящиеся у производству'!A:A,MATCH(B10,'ID относящиеся у производству'!A:A,0),1))=TRUE,"НЕТ","ДА")</f>
        <v>НЕТ</v>
      </c>
      <c r="B10" s="4">
        <v>9</v>
      </c>
      <c r="C10" s="4" t="s">
        <v>153</v>
      </c>
      <c r="D10" s="4" t="s">
        <v>154</v>
      </c>
    </row>
    <row r="11" spans="1:6" ht="30.75" hidden="1" thickBot="1">
      <c r="A11" t="str">
        <f>IF(ISNA(INDEX('ID относящиеся у производству'!A:A,MATCH(B11,'ID относящиеся у производству'!A:A,0),1))=TRUE,"НЕТ","ДА")</f>
        <v>ДА</v>
      </c>
      <c r="B11" s="4">
        <v>10</v>
      </c>
      <c r="C11" s="4" t="s">
        <v>67</v>
      </c>
      <c r="D11" s="4" t="s">
        <v>45</v>
      </c>
    </row>
    <row r="12" spans="1:6" ht="30.75" thickBot="1">
      <c r="A12" t="str">
        <f>IF(ISNA(INDEX('ID относящиеся у производству'!A:A,MATCH(B12,'ID относящиеся у производству'!A:A,0),1))=TRUE,"НЕТ","ДА")</f>
        <v>ДА</v>
      </c>
      <c r="B12" s="4">
        <v>11</v>
      </c>
      <c r="C12" s="4" t="s">
        <v>193</v>
      </c>
      <c r="D12" s="4" t="s">
        <v>194</v>
      </c>
      <c r="E12" s="8" t="s">
        <v>3794</v>
      </c>
      <c r="F12" s="9" t="s">
        <v>3793</v>
      </c>
    </row>
    <row r="13" spans="1:6" ht="30.75" hidden="1" thickBot="1">
      <c r="A13" t="str">
        <f>IF(ISNA(INDEX('ID относящиеся у производству'!A:A,MATCH(B13,'ID относящиеся у производству'!A:A,0),1))=TRUE,"НЕТ","ДА")</f>
        <v>НЕТ</v>
      </c>
      <c r="B13" s="4">
        <v>12</v>
      </c>
      <c r="C13" s="4" t="s">
        <v>153</v>
      </c>
      <c r="D13" s="4" t="s">
        <v>205</v>
      </c>
    </row>
    <row r="14" spans="1:6" ht="30.75" hidden="1" thickBot="1">
      <c r="A14" t="str">
        <f>IF(ISNA(INDEX('ID относящиеся у производству'!A:A,MATCH(B14,'ID относящиеся у производству'!A:A,0),1))=TRUE,"НЕТ","ДА")</f>
        <v>НЕТ</v>
      </c>
      <c r="B14" s="4">
        <v>13</v>
      </c>
      <c r="C14" s="4" t="s">
        <v>153</v>
      </c>
      <c r="D14" s="4" t="s">
        <v>212</v>
      </c>
    </row>
    <row r="15" spans="1:6" ht="30.75" hidden="1" thickBot="1">
      <c r="A15" t="str">
        <f>IF(ISNA(INDEX('ID относящиеся у производству'!A:A,MATCH(B15,'ID относящиеся у производству'!A:A,0),1))=TRUE,"НЕТ","ДА")</f>
        <v>НЕТ</v>
      </c>
      <c r="B15" s="4">
        <v>14</v>
      </c>
      <c r="C15" s="4" t="s">
        <v>217</v>
      </c>
      <c r="D15" s="4" t="s">
        <v>158</v>
      </c>
    </row>
    <row r="16" spans="1:6" ht="30.75" thickBot="1">
      <c r="A16" t="str">
        <f>IF(ISNA(INDEX('ID относящиеся у производству'!A:A,MATCH(B16,'ID относящиеся у производству'!A:A,0),1))=TRUE,"НЕТ","ДА")</f>
        <v>ДА</v>
      </c>
      <c r="B16" s="4">
        <v>15</v>
      </c>
      <c r="C16" s="4" t="s">
        <v>239</v>
      </c>
      <c r="D16" s="4" t="s">
        <v>240</v>
      </c>
      <c r="E16" s="8" t="s">
        <v>3795</v>
      </c>
      <c r="F16" s="9" t="s">
        <v>3793</v>
      </c>
    </row>
    <row r="17" spans="1:6" ht="30.75" hidden="1" thickBot="1">
      <c r="A17" t="str">
        <f>IF(ISNA(INDEX('ID относящиеся у производству'!A:A,MATCH(B17,'ID относящиеся у производству'!A:A,0),1))=TRUE,"НЕТ","ДА")</f>
        <v>НЕТ</v>
      </c>
      <c r="B17" s="4">
        <v>16</v>
      </c>
      <c r="C17" s="4" t="s">
        <v>247</v>
      </c>
      <c r="D17" s="4" t="s">
        <v>158</v>
      </c>
    </row>
    <row r="18" spans="1:6" ht="45.75" hidden="1" thickBot="1">
      <c r="A18" t="str">
        <f>IF(ISNA(INDEX('ID относящиеся у производству'!A:A,MATCH(B18,'ID относящиеся у производству'!A:A,0),1))=TRUE,"НЕТ","ДА")</f>
        <v>НЕТ</v>
      </c>
      <c r="B18" s="4">
        <v>17</v>
      </c>
      <c r="C18" s="4" t="s">
        <v>84</v>
      </c>
      <c r="D18" s="4" t="s">
        <v>85</v>
      </c>
    </row>
    <row r="19" spans="1:6" ht="30.75" thickBot="1">
      <c r="A19" t="str">
        <f>IF(ISNA(INDEX('ID относящиеся у производству'!A:A,MATCH(B19,'ID относящиеся у производству'!A:A,0),1))=TRUE,"НЕТ","ДА")</f>
        <v>ДА</v>
      </c>
      <c r="B19" s="4">
        <v>18</v>
      </c>
      <c r="C19" s="4" t="s">
        <v>280</v>
      </c>
      <c r="D19" s="4" t="s">
        <v>281</v>
      </c>
      <c r="E19" s="8" t="s">
        <v>3796</v>
      </c>
      <c r="F19" s="9" t="s">
        <v>3793</v>
      </c>
    </row>
    <row r="20" spans="1:6" ht="45.75" hidden="1" thickBot="1">
      <c r="A20" t="str">
        <f>IF(ISNA(INDEX('ID относящиеся у производству'!A:A,MATCH(B20,'ID относящиеся у производству'!A:A,0),1))=TRUE,"НЕТ","ДА")</f>
        <v>НЕТ</v>
      </c>
      <c r="B20" s="4">
        <v>19</v>
      </c>
      <c r="C20" s="4" t="s">
        <v>193</v>
      </c>
      <c r="D20" s="4" t="s">
        <v>300</v>
      </c>
    </row>
    <row r="21" spans="1:6" ht="60.75" hidden="1" thickBot="1">
      <c r="A21" t="str">
        <f>IF(ISNA(INDEX('ID относящиеся у производству'!A:A,MATCH(B21,'ID относящиеся у производству'!A:A,0),1))=TRUE,"НЕТ","ДА")</f>
        <v>НЕТ</v>
      </c>
      <c r="B21" s="4">
        <v>20</v>
      </c>
      <c r="C21" s="4" t="s">
        <v>307</v>
      </c>
      <c r="D21" s="4" t="s">
        <v>99</v>
      </c>
    </row>
    <row r="22" spans="1:6" ht="60.75" hidden="1" thickBot="1">
      <c r="A22" t="str">
        <f>IF(ISNA(INDEX('ID относящиеся у производству'!A:A,MATCH(B22,'ID относящиеся у производству'!A:A,0),1))=TRUE,"НЕТ","ДА")</f>
        <v>НЕТ</v>
      </c>
      <c r="B22" s="4">
        <v>21</v>
      </c>
      <c r="C22" s="4" t="s">
        <v>316</v>
      </c>
      <c r="D22" s="4" t="s">
        <v>317</v>
      </c>
    </row>
    <row r="23" spans="1:6" ht="30.75" hidden="1" thickBot="1">
      <c r="A23" t="str">
        <f>IF(ISNA(INDEX('ID относящиеся у производству'!A:A,MATCH(B23,'ID относящиеся у производству'!A:A,0),1))=TRUE,"НЕТ","ДА")</f>
        <v>ДА</v>
      </c>
      <c r="B23" s="4">
        <v>22</v>
      </c>
      <c r="C23" s="4" t="s">
        <v>116</v>
      </c>
      <c r="D23" s="4" t="s">
        <v>45</v>
      </c>
    </row>
    <row r="24" spans="1:6" ht="30.75" hidden="1" thickBot="1">
      <c r="A24" t="str">
        <f>IF(ISNA(INDEX('ID относящиеся у производству'!A:A,MATCH(B24,'ID относящиеся у производству'!A:A,0),1))=TRUE,"НЕТ","ДА")</f>
        <v>НЕТ</v>
      </c>
      <c r="B24" s="4">
        <v>23</v>
      </c>
      <c r="C24" s="4" t="s">
        <v>334</v>
      </c>
      <c r="D24" s="4" t="s">
        <v>158</v>
      </c>
    </row>
    <row r="25" spans="1:6" ht="60.75" hidden="1" thickBot="1">
      <c r="A25" t="str">
        <f>IF(ISNA(INDEX('ID относящиеся у производству'!A:A,MATCH(B25,'ID относящиеся у производству'!A:A,0),1))=TRUE,"НЕТ","ДА")</f>
        <v>НЕТ</v>
      </c>
      <c r="B25" s="4">
        <v>24</v>
      </c>
      <c r="C25" s="4" t="s">
        <v>348</v>
      </c>
      <c r="D25" s="4" t="s">
        <v>349</v>
      </c>
    </row>
    <row r="26" spans="1:6" ht="45.75" hidden="1" thickBot="1">
      <c r="A26" t="str">
        <f>IF(ISNA(INDEX('ID относящиеся у производству'!A:A,MATCH(B26,'ID относящиеся у производству'!A:A,0),1))=TRUE,"НЕТ","ДА")</f>
        <v>НЕТ</v>
      </c>
      <c r="B26" s="4">
        <v>25</v>
      </c>
      <c r="C26" s="4" t="s">
        <v>67</v>
      </c>
      <c r="D26" s="4" t="s">
        <v>365</v>
      </c>
    </row>
    <row r="27" spans="1:6" ht="30.75" hidden="1" thickBot="1">
      <c r="A27" t="str">
        <f>IF(ISNA(INDEX('ID относящиеся у производству'!A:A,MATCH(B27,'ID относящиеся у производству'!A:A,0),1))=TRUE,"НЕТ","ДА")</f>
        <v>НЕТ</v>
      </c>
      <c r="B27" s="4">
        <v>26</v>
      </c>
      <c r="C27" s="4" t="s">
        <v>385</v>
      </c>
      <c r="D27" s="4" t="s">
        <v>386</v>
      </c>
    </row>
    <row r="28" spans="1:6" ht="30.75" hidden="1" thickBot="1">
      <c r="A28" t="str">
        <f>IF(ISNA(INDEX('ID относящиеся у производству'!A:A,MATCH(B28,'ID относящиеся у производству'!A:A,0),1))=TRUE,"НЕТ","ДА")</f>
        <v>НЕТ</v>
      </c>
      <c r="B28" s="4">
        <v>27</v>
      </c>
      <c r="C28" s="4" t="s">
        <v>403</v>
      </c>
      <c r="D28" s="4" t="s">
        <v>404</v>
      </c>
    </row>
    <row r="29" spans="1:6" ht="30.75" hidden="1" thickBot="1">
      <c r="A29" t="str">
        <f>IF(ISNA(INDEX('ID относящиеся у производству'!A:A,MATCH(B29,'ID относящиеся у производству'!A:A,0),1))=TRUE,"НЕТ","ДА")</f>
        <v>НЕТ</v>
      </c>
      <c r="B29" s="4">
        <v>28</v>
      </c>
      <c r="C29" s="4" t="s">
        <v>416</v>
      </c>
      <c r="D29" s="4" t="s">
        <v>417</v>
      </c>
    </row>
    <row r="30" spans="1:6" ht="30.75" hidden="1" thickBot="1">
      <c r="A30" t="str">
        <f>IF(ISNA(INDEX('ID относящиеся у производству'!A:A,MATCH(B30,'ID относящиеся у производству'!A:A,0),1))=TRUE,"НЕТ","ДА")</f>
        <v>НЕТ</v>
      </c>
      <c r="B30" s="4">
        <v>29</v>
      </c>
      <c r="C30" s="4" t="s">
        <v>153</v>
      </c>
      <c r="D30" s="4" t="s">
        <v>435</v>
      </c>
    </row>
    <row r="31" spans="1:6" ht="45.75" hidden="1" thickBot="1">
      <c r="A31" t="str">
        <f>IF(ISNA(INDEX('ID относящиеся у производству'!A:A,MATCH(B31,'ID относящиеся у производству'!A:A,0),1))=TRUE,"НЕТ","ДА")</f>
        <v>НЕТ</v>
      </c>
      <c r="B31" s="4">
        <v>30</v>
      </c>
      <c r="C31" s="4" t="s">
        <v>416</v>
      </c>
      <c r="D31" s="4" t="s">
        <v>436</v>
      </c>
    </row>
    <row r="32" spans="1:6" ht="30.75" hidden="1" thickBot="1">
      <c r="A32" t="str">
        <f>IF(ISNA(INDEX('ID относящиеся у производству'!A:A,MATCH(B32,'ID относящиеся у производству'!A:A,0),1))=TRUE,"НЕТ","ДА")</f>
        <v>ДА</v>
      </c>
      <c r="B32" s="4">
        <v>31</v>
      </c>
      <c r="C32" s="4" t="s">
        <v>67</v>
      </c>
      <c r="D32" s="4" t="s">
        <v>443</v>
      </c>
    </row>
    <row r="33" spans="1:6" ht="60.75" hidden="1" thickBot="1">
      <c r="A33" t="str">
        <f>IF(ISNA(INDEX('ID относящиеся у производству'!A:A,MATCH(B33,'ID относящиеся у производству'!A:A,0),1))=TRUE,"НЕТ","ДА")</f>
        <v>НЕТ</v>
      </c>
      <c r="B33" s="4">
        <v>32</v>
      </c>
      <c r="C33" s="4" t="s">
        <v>454</v>
      </c>
      <c r="D33" s="4" t="s">
        <v>455</v>
      </c>
    </row>
    <row r="34" spans="1:6" ht="30.75" hidden="1" thickBot="1">
      <c r="A34" t="str">
        <f>IF(ISNA(INDEX('ID относящиеся у производству'!A:A,MATCH(B34,'ID относящиеся у производству'!A:A,0),1))=TRUE,"НЕТ","ДА")</f>
        <v>НЕТ</v>
      </c>
      <c r="B34" s="4">
        <v>33</v>
      </c>
      <c r="C34" s="4" t="s">
        <v>458</v>
      </c>
      <c r="D34" s="4" t="s">
        <v>474</v>
      </c>
    </row>
    <row r="35" spans="1:6" ht="30.75" hidden="1" thickBot="1">
      <c r="A35" t="str">
        <f>IF(ISNA(INDEX('ID относящиеся у производству'!A:A,MATCH(B35,'ID относящиеся у производству'!A:A,0),1))=TRUE,"НЕТ","ДА")</f>
        <v>НЕТ</v>
      </c>
      <c r="B35" s="4">
        <v>34</v>
      </c>
      <c r="C35" s="4" t="s">
        <v>488</v>
      </c>
      <c r="D35" s="4" t="s">
        <v>417</v>
      </c>
    </row>
    <row r="36" spans="1:6" ht="30.75" hidden="1" thickBot="1">
      <c r="A36" t="str">
        <f>IF(ISNA(INDEX('ID относящиеся у производству'!A:A,MATCH(B36,'ID относящиеся у производству'!A:A,0),1))=TRUE,"НЕТ","ДА")</f>
        <v>ДА</v>
      </c>
      <c r="B36" s="4">
        <v>35</v>
      </c>
      <c r="C36" s="4" t="s">
        <v>67</v>
      </c>
      <c r="D36" s="4" t="s">
        <v>506</v>
      </c>
    </row>
    <row r="37" spans="1:6" ht="15.75" hidden="1" thickBot="1">
      <c r="A37" t="str">
        <f>IF(ISNA(INDEX('ID относящиеся у производству'!A:A,MATCH(B37,'ID относящиеся у производству'!A:A,0),1))=TRUE,"НЕТ","ДА")</f>
        <v>НЕТ</v>
      </c>
      <c r="B37" s="4">
        <v>36</v>
      </c>
      <c r="C37" s="4" t="s">
        <v>67</v>
      </c>
      <c r="D37" s="4" t="s">
        <v>511</v>
      </c>
    </row>
    <row r="38" spans="1:6" ht="30.75" hidden="1" thickBot="1">
      <c r="A38" t="str">
        <f>IF(ISNA(INDEX('ID относящиеся у производству'!A:A,MATCH(B38,'ID относящиеся у производству'!A:A,0),1))=TRUE,"НЕТ","ДА")</f>
        <v>НЕТ</v>
      </c>
      <c r="B38" s="4">
        <v>37</v>
      </c>
      <c r="C38" s="4" t="s">
        <v>247</v>
      </c>
      <c r="D38" s="4" t="s">
        <v>158</v>
      </c>
    </row>
    <row r="39" spans="1:6" ht="30.75" hidden="1" thickBot="1">
      <c r="A39" t="str">
        <f>IF(ISNA(INDEX('ID относящиеся у производству'!A:A,MATCH(B39,'ID относящиеся у производству'!A:A,0),1))=TRUE,"НЕТ","ДА")</f>
        <v>НЕТ</v>
      </c>
      <c r="B39" s="4">
        <v>38</v>
      </c>
      <c r="C39" s="4" t="s">
        <v>247</v>
      </c>
      <c r="D39" s="4" t="s">
        <v>154</v>
      </c>
    </row>
    <row r="40" spans="1:6" ht="45.75" hidden="1" thickBot="1">
      <c r="A40" t="str">
        <f>IF(ISNA(INDEX('ID относящиеся у производству'!A:A,MATCH(B40,'ID относящиеся у производству'!A:A,0),1))=TRUE,"НЕТ","ДА")</f>
        <v>НЕТ</v>
      </c>
      <c r="B40" s="4">
        <v>39</v>
      </c>
      <c r="C40" s="4" t="s">
        <v>67</v>
      </c>
      <c r="D40" s="4" t="s">
        <v>558</v>
      </c>
    </row>
    <row r="41" spans="1:6" ht="45.75" hidden="1" thickBot="1">
      <c r="A41" t="str">
        <f>IF(ISNA(INDEX('ID относящиеся у производству'!A:A,MATCH(B41,'ID относящиеся у производству'!A:A,0),1))=TRUE,"НЕТ","ДА")</f>
        <v>НЕТ</v>
      </c>
      <c r="B41" s="4">
        <v>40</v>
      </c>
      <c r="C41" s="4" t="s">
        <v>116</v>
      </c>
      <c r="D41" s="4" t="s">
        <v>117</v>
      </c>
    </row>
    <row r="42" spans="1:6" ht="30.75" thickBot="1">
      <c r="A42" t="str">
        <f>IF(ISNA(INDEX('ID относящиеся у производству'!A:A,MATCH(B42,'ID относящиеся у производству'!A:A,0),1))=TRUE,"НЕТ","ДА")</f>
        <v>ДА</v>
      </c>
      <c r="B42" s="4">
        <v>41</v>
      </c>
      <c r="C42" s="4" t="s">
        <v>577</v>
      </c>
      <c r="D42" s="4" t="s">
        <v>578</v>
      </c>
      <c r="E42" s="8" t="s">
        <v>3797</v>
      </c>
      <c r="F42" s="9" t="s">
        <v>3793</v>
      </c>
    </row>
    <row r="43" spans="1:6" ht="45.75" hidden="1" thickBot="1">
      <c r="A43" t="str">
        <f>IF(ISNA(INDEX('ID относящиеся у производству'!A:A,MATCH(B43,'ID относящиеся у производству'!A:A,0),1))=TRUE,"НЕТ","ДА")</f>
        <v>НЕТ</v>
      </c>
      <c r="B43" s="4">
        <v>42</v>
      </c>
      <c r="C43" s="4" t="s">
        <v>88</v>
      </c>
      <c r="D43" s="4" t="s">
        <v>300</v>
      </c>
    </row>
    <row r="44" spans="1:6" ht="30.75" thickBot="1">
      <c r="A44" t="str">
        <f>IF(ISNA(INDEX('ID относящиеся у производству'!A:A,MATCH(B44,'ID относящиеся у производству'!A:A,0),1))=TRUE,"НЕТ","ДА")</f>
        <v>ДА</v>
      </c>
      <c r="B44" s="4">
        <v>43</v>
      </c>
      <c r="C44" s="4" t="s">
        <v>193</v>
      </c>
      <c r="D44" s="4" t="s">
        <v>595</v>
      </c>
      <c r="E44" s="8" t="s">
        <v>3794</v>
      </c>
      <c r="F44" s="9" t="s">
        <v>3793</v>
      </c>
    </row>
    <row r="45" spans="1:6" ht="30.75" hidden="1" thickBot="1">
      <c r="A45" t="str">
        <f>IF(ISNA(INDEX('ID относящиеся у производству'!A:A,MATCH(B45,'ID относящиеся у производству'!A:A,0),1))=TRUE,"НЕТ","ДА")</f>
        <v>НЕТ</v>
      </c>
      <c r="B45" s="4">
        <v>44</v>
      </c>
      <c r="C45" s="4" t="s">
        <v>613</v>
      </c>
      <c r="D45" s="4" t="s">
        <v>614</v>
      </c>
    </row>
    <row r="46" spans="1:6" ht="30.75" hidden="1" thickBot="1">
      <c r="A46" t="str">
        <f>IF(ISNA(INDEX('ID относящиеся у производству'!A:A,MATCH(B46,'ID относящиеся у производству'!A:A,0),1))=TRUE,"НЕТ","ДА")</f>
        <v>НЕТ</v>
      </c>
      <c r="B46" s="4">
        <v>45</v>
      </c>
      <c r="C46" s="4" t="s">
        <v>247</v>
      </c>
      <c r="D46" s="4" t="s">
        <v>158</v>
      </c>
    </row>
    <row r="47" spans="1:6" ht="30.75" thickBot="1">
      <c r="A47" t="str">
        <f>IF(ISNA(INDEX('ID относящиеся у производству'!A:A,MATCH(B47,'ID относящиеся у производству'!A:A,0),1))=TRUE,"НЕТ","ДА")</f>
        <v>ДА</v>
      </c>
      <c r="B47" s="4">
        <v>46</v>
      </c>
      <c r="C47" s="4" t="s">
        <v>577</v>
      </c>
      <c r="D47" s="4" t="s">
        <v>506</v>
      </c>
      <c r="E47" s="8" t="s">
        <v>3797</v>
      </c>
      <c r="F47" s="9" t="s">
        <v>3793</v>
      </c>
    </row>
    <row r="48" spans="1:6" ht="30.75" hidden="1" thickBot="1">
      <c r="A48" t="str">
        <f>IF(ISNA(INDEX('ID относящиеся у производству'!A:A,MATCH(B48,'ID относящиеся у производству'!A:A,0),1))=TRUE,"НЕТ","ДА")</f>
        <v>НЕТ</v>
      </c>
      <c r="B48" s="4">
        <v>47</v>
      </c>
      <c r="C48" s="4" t="s">
        <v>613</v>
      </c>
      <c r="D48" s="4" t="s">
        <v>614</v>
      </c>
    </row>
    <row r="49" spans="1:6" ht="30.75" hidden="1" thickBot="1">
      <c r="A49" t="str">
        <f>IF(ISNA(INDEX('ID относящиеся у производству'!A:A,MATCH(B49,'ID относящиеся у производству'!A:A,0),1))=TRUE,"НЕТ","ДА")</f>
        <v>НЕТ</v>
      </c>
      <c r="B49" s="4">
        <v>48</v>
      </c>
      <c r="C49" s="4" t="s">
        <v>153</v>
      </c>
      <c r="D49" s="4" t="s">
        <v>435</v>
      </c>
    </row>
    <row r="50" spans="1:6" ht="30.75" hidden="1" thickBot="1">
      <c r="A50" t="str">
        <f>IF(ISNA(INDEX('ID относящиеся у производству'!A:A,MATCH(B50,'ID относящиеся у производству'!A:A,0),1))=TRUE,"НЕТ","ДА")</f>
        <v>НЕТ</v>
      </c>
      <c r="B50" s="4">
        <v>49</v>
      </c>
      <c r="C50" s="4" t="s">
        <v>247</v>
      </c>
      <c r="D50" s="4" t="s">
        <v>158</v>
      </c>
    </row>
    <row r="51" spans="1:6" ht="30.75" thickBot="1">
      <c r="A51" t="str">
        <f>IF(ISNA(INDEX('ID относящиеся у производству'!A:A,MATCH(B51,'ID относящиеся у производству'!A:A,0),1))=TRUE,"НЕТ","ДА")</f>
        <v>ДА</v>
      </c>
      <c r="B51" s="4">
        <v>50</v>
      </c>
      <c r="C51" s="4" t="s">
        <v>193</v>
      </c>
      <c r="D51" s="4" t="s">
        <v>650</v>
      </c>
      <c r="E51" s="8" t="s">
        <v>3794</v>
      </c>
      <c r="F51" s="9" t="s">
        <v>3793</v>
      </c>
    </row>
    <row r="52" spans="1:6" ht="45.75" hidden="1" thickBot="1">
      <c r="A52" t="str">
        <f>IF(ISNA(INDEX('ID относящиеся у производству'!A:A,MATCH(B52,'ID относящиеся у производству'!A:A,0),1))=TRUE,"НЕТ","ДА")</f>
        <v>НЕТ</v>
      </c>
      <c r="B52" s="4">
        <v>51</v>
      </c>
      <c r="C52" s="4" t="s">
        <v>652</v>
      </c>
      <c r="D52" s="4" t="s">
        <v>558</v>
      </c>
    </row>
    <row r="53" spans="1:6" ht="30.75" hidden="1" thickBot="1">
      <c r="A53" t="str">
        <f>IF(ISNA(INDEX('ID относящиеся у производству'!A:A,MATCH(B53,'ID относящиеся у производству'!A:A,0),1))=TRUE,"НЕТ","ДА")</f>
        <v>НЕТ</v>
      </c>
      <c r="B53" s="4">
        <v>52</v>
      </c>
      <c r="C53" s="4" t="s">
        <v>153</v>
      </c>
      <c r="D53" s="4" t="s">
        <v>154</v>
      </c>
    </row>
    <row r="54" spans="1:6" ht="30.75" hidden="1" thickBot="1">
      <c r="A54" t="str">
        <f>IF(ISNA(INDEX('ID относящиеся у производству'!A:A,MATCH(B54,'ID относящиеся у производству'!A:A,0),1))=TRUE,"НЕТ","ДА")</f>
        <v>ДА</v>
      </c>
      <c r="B54" s="4">
        <v>53</v>
      </c>
      <c r="C54" s="4" t="s">
        <v>67</v>
      </c>
      <c r="D54" s="4" t="s">
        <v>665</v>
      </c>
    </row>
    <row r="55" spans="1:6" ht="30.75" hidden="1" thickBot="1">
      <c r="A55" t="str">
        <f>IF(ISNA(INDEX('ID относящиеся у производству'!A:A,MATCH(B55,'ID относящиеся у производству'!A:A,0),1))=TRUE,"НЕТ","ДА")</f>
        <v>НЕТ</v>
      </c>
      <c r="B55" s="4">
        <v>54</v>
      </c>
      <c r="C55" s="4" t="s">
        <v>247</v>
      </c>
      <c r="D55" s="4" t="s">
        <v>158</v>
      </c>
    </row>
    <row r="56" spans="1:6" ht="30.75" thickBot="1">
      <c r="A56" t="str">
        <f>IF(ISNA(INDEX('ID относящиеся у производству'!A:A,MATCH(B56,'ID относящиеся у производству'!A:A,0),1))=TRUE,"НЕТ","ДА")</f>
        <v>ДА</v>
      </c>
      <c r="B56" s="4">
        <v>55</v>
      </c>
      <c r="C56" s="4" t="s">
        <v>193</v>
      </c>
      <c r="D56" s="4" t="s">
        <v>682</v>
      </c>
      <c r="E56" s="8" t="s">
        <v>3794</v>
      </c>
      <c r="F56" s="9" t="s">
        <v>3793</v>
      </c>
    </row>
    <row r="57" spans="1:6" ht="45.75" hidden="1" thickBot="1">
      <c r="A57" t="str">
        <f>IF(ISNA(INDEX('ID относящиеся у производству'!A:A,MATCH(B57,'ID относящиеся у производству'!A:A,0),1))=TRUE,"НЕТ","ДА")</f>
        <v>НЕТ</v>
      </c>
      <c r="B57" s="4">
        <v>56</v>
      </c>
      <c r="C57" s="4" t="s">
        <v>687</v>
      </c>
      <c r="D57" s="4" t="s">
        <v>558</v>
      </c>
    </row>
    <row r="58" spans="1:6" ht="30.75" thickBot="1">
      <c r="A58" t="str">
        <f>IF(ISNA(INDEX('ID относящиеся у производству'!A:A,MATCH(B58,'ID относящиеся у производству'!A:A,0),1))=TRUE,"НЕТ","ДА")</f>
        <v>ДА</v>
      </c>
      <c r="B58" s="4">
        <v>57</v>
      </c>
      <c r="C58" s="4" t="s">
        <v>193</v>
      </c>
      <c r="D58" s="4" t="s">
        <v>598</v>
      </c>
      <c r="E58" s="8" t="s">
        <v>3794</v>
      </c>
      <c r="F58" s="9" t="s">
        <v>3793</v>
      </c>
    </row>
    <row r="59" spans="1:6" ht="30.75" hidden="1" thickBot="1">
      <c r="A59" t="str">
        <f>IF(ISNA(INDEX('ID относящиеся у производству'!A:A,MATCH(B59,'ID относящиеся у производству'!A:A,0),1))=TRUE,"НЕТ","ДА")</f>
        <v>НЕТ</v>
      </c>
      <c r="B59" s="4">
        <v>58</v>
      </c>
      <c r="C59" s="4" t="s">
        <v>153</v>
      </c>
      <c r="D59" s="4" t="s">
        <v>205</v>
      </c>
    </row>
    <row r="60" spans="1:6" ht="30.75" hidden="1" thickBot="1">
      <c r="A60" t="str">
        <f>IF(ISNA(INDEX('ID относящиеся у производству'!A:A,MATCH(B60,'ID относящиеся у производству'!A:A,0),1))=TRUE,"НЕТ","ДА")</f>
        <v>НЕТ</v>
      </c>
      <c r="B60" s="4">
        <v>59</v>
      </c>
      <c r="C60" s="4" t="s">
        <v>153</v>
      </c>
      <c r="D60" s="4" t="s">
        <v>154</v>
      </c>
    </row>
    <row r="61" spans="1:6" ht="30.75" hidden="1" thickBot="1">
      <c r="A61" t="str">
        <f>IF(ISNA(INDEX('ID относящиеся у производству'!A:A,MATCH(B61,'ID относящиеся у производству'!A:A,0),1))=TRUE,"НЕТ","ДА")</f>
        <v>НЕТ</v>
      </c>
      <c r="B61" s="4">
        <v>60</v>
      </c>
      <c r="C61" s="4" t="s">
        <v>67</v>
      </c>
      <c r="D61" s="4" t="s">
        <v>706</v>
      </c>
    </row>
    <row r="62" spans="1:6" ht="30.75" hidden="1" thickBot="1">
      <c r="A62" t="str">
        <f>IF(ISNA(INDEX('ID относящиеся у производству'!A:A,MATCH(B62,'ID относящиеся у производству'!A:A,0),1))=TRUE,"НЕТ","ДА")</f>
        <v>НЕТ</v>
      </c>
      <c r="B62" s="4">
        <v>61</v>
      </c>
      <c r="C62" s="4" t="s">
        <v>613</v>
      </c>
      <c r="D62" s="4" t="s">
        <v>614</v>
      </c>
    </row>
    <row r="63" spans="1:6" ht="30.75" hidden="1" thickBot="1">
      <c r="A63" t="str">
        <f>IF(ISNA(INDEX('ID относящиеся у производству'!A:A,MATCH(B63,'ID относящиеся у производству'!A:A,0),1))=TRUE,"НЕТ","ДА")</f>
        <v>НЕТ</v>
      </c>
      <c r="B63" s="4">
        <v>62</v>
      </c>
      <c r="C63" s="4" t="s">
        <v>67</v>
      </c>
      <c r="D63" s="4" t="s">
        <v>614</v>
      </c>
    </row>
    <row r="64" spans="1:6" ht="45.75" hidden="1" thickBot="1">
      <c r="A64" t="str">
        <f>IF(ISNA(INDEX('ID относящиеся у производству'!A:A,MATCH(B64,'ID относящиеся у производству'!A:A,0),1))=TRUE,"НЕТ","ДА")</f>
        <v>НЕТ</v>
      </c>
      <c r="B64" s="4">
        <v>63</v>
      </c>
      <c r="C64" s="4" t="s">
        <v>724</v>
      </c>
      <c r="D64" s="4" t="s">
        <v>725</v>
      </c>
    </row>
    <row r="65" spans="1:6" ht="15.75" hidden="1" thickBot="1">
      <c r="A65" t="str">
        <f>IF(ISNA(INDEX('ID относящиеся у производству'!A:A,MATCH(B65,'ID относящиеся у производству'!A:A,0),1))=TRUE,"НЕТ","ДА")</f>
        <v>НЕТ</v>
      </c>
      <c r="B65" s="4">
        <v>64</v>
      </c>
      <c r="C65" s="4" t="s">
        <v>67</v>
      </c>
      <c r="D65" s="4" t="s">
        <v>511</v>
      </c>
    </row>
    <row r="66" spans="1:6" ht="30.75" hidden="1" thickBot="1">
      <c r="A66" t="str">
        <f>IF(ISNA(INDEX('ID относящиеся у производству'!A:A,MATCH(B66,'ID относящиеся у производству'!A:A,0),1))=TRUE,"НЕТ","ДА")</f>
        <v>НЕТ</v>
      </c>
      <c r="B66" s="4">
        <v>65</v>
      </c>
      <c r="C66" s="4" t="s">
        <v>67</v>
      </c>
      <c r="D66" s="4" t="s">
        <v>68</v>
      </c>
    </row>
    <row r="67" spans="1:6" ht="45.75" hidden="1" thickBot="1">
      <c r="A67" t="str">
        <f>IF(ISNA(INDEX('ID относящиеся у производству'!A:A,MATCH(B67,'ID относящиеся у производству'!A:A,0),1))=TRUE,"НЕТ","ДА")</f>
        <v>НЕТ</v>
      </c>
      <c r="B67" s="4">
        <v>66</v>
      </c>
      <c r="C67" s="4" t="s">
        <v>766</v>
      </c>
      <c r="D67" s="4" t="s">
        <v>725</v>
      </c>
    </row>
    <row r="68" spans="1:6" ht="30.75" hidden="1" thickBot="1">
      <c r="A68" t="str">
        <f>IF(ISNA(INDEX('ID относящиеся у производству'!A:A,MATCH(B68,'ID относящиеся у производству'!A:A,0),1))=TRUE,"НЕТ","ДА")</f>
        <v>ДА</v>
      </c>
      <c r="B68" s="4">
        <v>67</v>
      </c>
      <c r="C68" s="4" t="s">
        <v>780</v>
      </c>
      <c r="D68" s="4" t="s">
        <v>781</v>
      </c>
    </row>
    <row r="69" spans="1:6" ht="60.75" hidden="1" thickBot="1">
      <c r="A69" t="str">
        <f>IF(ISNA(INDEX('ID относящиеся у производству'!A:A,MATCH(B69,'ID относящиеся у производству'!A:A,0),1))=TRUE,"НЕТ","ДА")</f>
        <v>НЕТ</v>
      </c>
      <c r="B69" s="4">
        <v>68</v>
      </c>
      <c r="C69" s="4" t="s">
        <v>193</v>
      </c>
      <c r="D69" s="4" t="s">
        <v>790</v>
      </c>
    </row>
    <row r="70" spans="1:6" ht="45.75" hidden="1" thickBot="1">
      <c r="A70" t="str">
        <f>IF(ISNA(INDEX('ID относящиеся у производству'!A:A,MATCH(B70,'ID относящиеся у производству'!A:A,0),1))=TRUE,"НЕТ","ДА")</f>
        <v>НЕТ</v>
      </c>
      <c r="B70" s="4">
        <v>69</v>
      </c>
      <c r="C70" s="4" t="s">
        <v>766</v>
      </c>
      <c r="D70" s="4" t="s">
        <v>725</v>
      </c>
    </row>
    <row r="71" spans="1:6" ht="75.75" hidden="1" thickBot="1">
      <c r="A71" t="str">
        <f>IF(ISNA(INDEX('ID относящиеся у производству'!A:A,MATCH(B71,'ID относящиеся у производству'!A:A,0),1))=TRUE,"НЕТ","ДА")</f>
        <v>НЕТ</v>
      </c>
      <c r="B71" s="4">
        <v>70</v>
      </c>
      <c r="C71" s="4" t="s">
        <v>67</v>
      </c>
      <c r="D71" s="4" t="s">
        <v>805</v>
      </c>
    </row>
    <row r="72" spans="1:6" ht="30.75" thickBot="1">
      <c r="A72" t="str">
        <f>IF(ISNA(INDEX('ID относящиеся у производству'!A:A,MATCH(B72,'ID относящиеся у производству'!A:A,0),1))=TRUE,"НЕТ","ДА")</f>
        <v>ДА</v>
      </c>
      <c r="B72" s="4">
        <v>71</v>
      </c>
      <c r="C72" s="4" t="s">
        <v>193</v>
      </c>
      <c r="D72" s="4" t="s">
        <v>684</v>
      </c>
      <c r="E72" s="8" t="s">
        <v>3794</v>
      </c>
      <c r="F72" s="9" t="s">
        <v>3793</v>
      </c>
    </row>
    <row r="73" spans="1:6" ht="60.75" hidden="1" thickBot="1">
      <c r="A73" t="str">
        <f>IF(ISNA(INDEX('ID относящиеся у производству'!A:A,MATCH(B73,'ID относящиеся у производству'!A:A,0),1))=TRUE,"НЕТ","ДА")</f>
        <v>НЕТ</v>
      </c>
      <c r="B73" s="4">
        <v>72</v>
      </c>
      <c r="C73" s="4" t="s">
        <v>316</v>
      </c>
      <c r="D73" s="4" t="s">
        <v>820</v>
      </c>
    </row>
    <row r="74" spans="1:6" ht="30.75" hidden="1" thickBot="1">
      <c r="A74" t="str">
        <f>IF(ISNA(INDEX('ID относящиеся у производству'!A:A,MATCH(B74,'ID относящиеся у производству'!A:A,0),1))=TRUE,"НЕТ","ДА")</f>
        <v>НЕТ</v>
      </c>
      <c r="B74" s="4">
        <v>73</v>
      </c>
      <c r="C74" s="4" t="s">
        <v>153</v>
      </c>
      <c r="D74" s="4" t="s">
        <v>212</v>
      </c>
    </row>
    <row r="75" spans="1:6" ht="30.75" thickBot="1">
      <c r="A75" t="str">
        <f>IF(ISNA(INDEX('ID относящиеся у производству'!A:A,MATCH(B75,'ID относящиеся у производству'!A:A,0),1))=TRUE,"НЕТ","ДА")</f>
        <v>ДА</v>
      </c>
      <c r="B75" s="4">
        <v>74</v>
      </c>
      <c r="C75" s="4" t="s">
        <v>193</v>
      </c>
      <c r="D75" s="4" t="s">
        <v>40</v>
      </c>
      <c r="E75" s="8" t="s">
        <v>3794</v>
      </c>
      <c r="F75" s="9" t="s">
        <v>3793</v>
      </c>
    </row>
    <row r="76" spans="1:6" ht="60.75" hidden="1" thickBot="1">
      <c r="A76" t="str">
        <f>IF(ISNA(INDEX('ID относящиеся у производству'!A:A,MATCH(B76,'ID относящиеся у производству'!A:A,0),1))=TRUE,"НЕТ","ДА")</f>
        <v>НЕТ</v>
      </c>
      <c r="B76" s="4">
        <v>75</v>
      </c>
      <c r="C76" s="4" t="s">
        <v>454</v>
      </c>
      <c r="D76" s="4" t="s">
        <v>455</v>
      </c>
    </row>
    <row r="77" spans="1:6" ht="45.75" hidden="1" thickBot="1">
      <c r="A77" t="str">
        <f>IF(ISNA(INDEX('ID относящиеся у производству'!A:A,MATCH(B77,'ID относящиеся у производству'!A:A,0),1))=TRUE,"НЕТ","ДА")</f>
        <v>НЕТ</v>
      </c>
      <c r="B77" s="4">
        <v>76</v>
      </c>
      <c r="C77" s="4" t="s">
        <v>385</v>
      </c>
      <c r="D77" s="4" t="s">
        <v>836</v>
      </c>
    </row>
    <row r="78" spans="1:6" ht="30.75" hidden="1" thickBot="1">
      <c r="A78" t="str">
        <f>IF(ISNA(INDEX('ID относящиеся у производству'!A:A,MATCH(B78,'ID относящиеся у производству'!A:A,0),1))=TRUE,"НЕТ","ДА")</f>
        <v>НЕТ</v>
      </c>
      <c r="B78" s="4">
        <v>77</v>
      </c>
      <c r="C78" s="4" t="s">
        <v>67</v>
      </c>
      <c r="D78" s="4" t="s">
        <v>614</v>
      </c>
    </row>
    <row r="79" spans="1:6" ht="90.75" hidden="1" thickBot="1">
      <c r="A79" t="str">
        <f>IF(ISNA(INDEX('ID относящиеся у производству'!A:A,MATCH(B79,'ID относящиеся у производству'!A:A,0),1))=TRUE,"НЕТ","ДА")</f>
        <v>НЕТ</v>
      </c>
      <c r="B79" s="4">
        <v>78</v>
      </c>
      <c r="C79" s="4" t="s">
        <v>851</v>
      </c>
      <c r="D79" s="4" t="s">
        <v>852</v>
      </c>
    </row>
    <row r="80" spans="1:6" ht="45.75" hidden="1" thickBot="1">
      <c r="A80" t="str">
        <f>IF(ISNA(INDEX('ID относящиеся у производству'!A:A,MATCH(B80,'ID относящиеся у производству'!A:A,0),1))=TRUE,"НЕТ","ДА")</f>
        <v>НЕТ</v>
      </c>
      <c r="B80" s="4">
        <v>79</v>
      </c>
      <c r="C80" s="4" t="s">
        <v>385</v>
      </c>
      <c r="D80" s="4" t="s">
        <v>477</v>
      </c>
    </row>
    <row r="81" spans="1:6" ht="30.75" hidden="1" thickBot="1">
      <c r="A81" t="str">
        <f>IF(ISNA(INDEX('ID относящиеся у производству'!A:A,MATCH(B81,'ID относящиеся у производству'!A:A,0),1))=TRUE,"НЕТ","ДА")</f>
        <v>НЕТ</v>
      </c>
      <c r="B81" s="4">
        <v>80</v>
      </c>
      <c r="C81" s="4" t="s">
        <v>307</v>
      </c>
      <c r="D81" s="4" t="s">
        <v>869</v>
      </c>
    </row>
    <row r="82" spans="1:6" ht="45.75" hidden="1" thickBot="1">
      <c r="A82" t="str">
        <f>IF(ISNA(INDEX('ID относящиеся у производству'!A:A,MATCH(B82,'ID относящиеся у производству'!A:A,0),1))=TRUE,"НЕТ","ДА")</f>
        <v>НЕТ</v>
      </c>
      <c r="B82" s="4">
        <v>81</v>
      </c>
      <c r="C82" s="4" t="s">
        <v>280</v>
      </c>
      <c r="D82" s="4" t="s">
        <v>436</v>
      </c>
    </row>
    <row r="83" spans="1:6" ht="30.75" hidden="1" thickBot="1">
      <c r="A83" t="str">
        <f>IF(ISNA(INDEX('ID относящиеся у производству'!A:A,MATCH(B83,'ID относящиеся у производству'!A:A,0),1))=TRUE,"НЕТ","ДА")</f>
        <v>НЕТ</v>
      </c>
      <c r="B83" s="4">
        <v>82</v>
      </c>
      <c r="C83" s="4" t="s">
        <v>403</v>
      </c>
      <c r="D83" s="4" t="s">
        <v>404</v>
      </c>
    </row>
    <row r="84" spans="1:6" ht="45.75" hidden="1" thickBot="1">
      <c r="A84" t="str">
        <f>IF(ISNA(INDEX('ID относящиеся у производству'!A:A,MATCH(B84,'ID относящиеся у производству'!A:A,0),1))=TRUE,"НЕТ","ДА")</f>
        <v>НЕТ</v>
      </c>
      <c r="B84" s="4">
        <v>83</v>
      </c>
      <c r="C84" s="4" t="s">
        <v>416</v>
      </c>
      <c r="D84" s="4" t="s">
        <v>436</v>
      </c>
    </row>
    <row r="85" spans="1:6" ht="45.75" hidden="1" thickBot="1">
      <c r="A85" t="str">
        <f>IF(ISNA(INDEX('ID относящиеся у производству'!A:A,MATCH(B85,'ID относящиеся у производству'!A:A,0),1))=TRUE,"НЕТ","ДА")</f>
        <v>НЕТ</v>
      </c>
      <c r="B85" s="4">
        <v>84</v>
      </c>
      <c r="C85" s="4" t="s">
        <v>84</v>
      </c>
      <c r="D85" s="4" t="s">
        <v>436</v>
      </c>
    </row>
    <row r="86" spans="1:6" ht="45.75" hidden="1" thickBot="1">
      <c r="A86" t="str">
        <f>IF(ISNA(INDEX('ID относящиеся у производству'!A:A,MATCH(B86,'ID относящиеся у производству'!A:A,0),1))=TRUE,"НЕТ","ДА")</f>
        <v>НЕТ</v>
      </c>
      <c r="B86" s="4">
        <v>85</v>
      </c>
      <c r="C86" s="4" t="s">
        <v>316</v>
      </c>
      <c r="D86" s="4" t="s">
        <v>909</v>
      </c>
    </row>
    <row r="87" spans="1:6" ht="30.75" hidden="1" thickBot="1">
      <c r="A87" t="str">
        <f>IF(ISNA(INDEX('ID относящиеся у производству'!A:A,MATCH(B87,'ID относящиеся у производству'!A:A,0),1))=TRUE,"НЕТ","ДА")</f>
        <v>НЕТ</v>
      </c>
      <c r="B87" s="4">
        <v>86</v>
      </c>
      <c r="C87" s="4" t="s">
        <v>928</v>
      </c>
      <c r="D87" s="4" t="s">
        <v>929</v>
      </c>
    </row>
    <row r="88" spans="1:6" ht="45.75" hidden="1" thickBot="1">
      <c r="A88" t="str">
        <f>IF(ISNA(INDEX('ID относящиеся у производству'!A:A,MATCH(B88,'ID относящиеся у производству'!A:A,0),1))=TRUE,"НЕТ","ДА")</f>
        <v>НЕТ</v>
      </c>
      <c r="B88" s="4">
        <v>87</v>
      </c>
      <c r="C88" s="4" t="s">
        <v>942</v>
      </c>
      <c r="D88" s="4" t="s">
        <v>558</v>
      </c>
    </row>
    <row r="89" spans="1:6" ht="30.75" hidden="1" thickBot="1">
      <c r="A89" t="str">
        <f>IF(ISNA(INDEX('ID относящиеся у производству'!A:A,MATCH(B89,'ID относящиеся у производству'!A:A,0),1))=TRUE,"НЕТ","ДА")</f>
        <v>НЕТ</v>
      </c>
      <c r="B89" s="4">
        <v>88</v>
      </c>
      <c r="C89" s="4" t="s">
        <v>280</v>
      </c>
      <c r="D89" s="4" t="s">
        <v>951</v>
      </c>
    </row>
    <row r="90" spans="1:6" ht="30.75" thickBot="1">
      <c r="A90" t="str">
        <f>IF(ISNA(INDEX('ID относящиеся у производству'!A:A,MATCH(B90,'ID относящиеся у производству'!A:A,0),1))=TRUE,"НЕТ","ДА")</f>
        <v>ДА</v>
      </c>
      <c r="B90" s="4">
        <v>89</v>
      </c>
      <c r="C90" s="4" t="s">
        <v>193</v>
      </c>
      <c r="D90" s="4" t="s">
        <v>962</v>
      </c>
      <c r="E90" s="8" t="s">
        <v>3794</v>
      </c>
      <c r="F90" s="9" t="s">
        <v>3793</v>
      </c>
    </row>
    <row r="91" spans="1:6" ht="30.75" hidden="1" thickBot="1">
      <c r="A91" t="str">
        <f>IF(ISNA(INDEX('ID относящиеся у производству'!A:A,MATCH(B91,'ID относящиеся у производству'!A:A,0),1))=TRUE,"НЕТ","ДА")</f>
        <v>НЕТ</v>
      </c>
      <c r="B91" s="4">
        <v>90</v>
      </c>
      <c r="C91" s="4" t="s">
        <v>280</v>
      </c>
      <c r="D91" s="4" t="s">
        <v>951</v>
      </c>
    </row>
    <row r="92" spans="1:6" ht="30.75" hidden="1" thickBot="1">
      <c r="A92" t="str">
        <f>IF(ISNA(INDEX('ID относящиеся у производству'!A:A,MATCH(B92,'ID относящиеся у производству'!A:A,0),1))=TRUE,"НЕТ","ДА")</f>
        <v>ДА</v>
      </c>
      <c r="B92" s="4">
        <v>91</v>
      </c>
      <c r="C92" s="4" t="s">
        <v>88</v>
      </c>
      <c r="D92" s="4" t="s">
        <v>781</v>
      </c>
    </row>
    <row r="93" spans="1:6" ht="30.75" thickBot="1">
      <c r="A93" t="str">
        <f>IF(ISNA(INDEX('ID относящиеся у производству'!A:A,MATCH(B93,'ID относящиеся у производству'!A:A,0),1))=TRUE,"НЕТ","ДА")</f>
        <v>ДА</v>
      </c>
      <c r="B93" s="4">
        <v>92</v>
      </c>
      <c r="C93" s="4" t="s">
        <v>193</v>
      </c>
      <c r="D93" s="4" t="s">
        <v>981</v>
      </c>
      <c r="E93" s="8" t="s">
        <v>3794</v>
      </c>
      <c r="F93" s="9" t="s">
        <v>3793</v>
      </c>
    </row>
    <row r="94" spans="1:6" ht="30.75" hidden="1" thickBot="1">
      <c r="A94" t="str">
        <f>IF(ISNA(INDEX('ID относящиеся у производству'!A:A,MATCH(B94,'ID относящиеся у производству'!A:A,0),1))=TRUE,"НЕТ","ДА")</f>
        <v>НЕТ</v>
      </c>
      <c r="B94" s="4">
        <v>93</v>
      </c>
      <c r="C94" s="4" t="s">
        <v>157</v>
      </c>
      <c r="D94" s="4" t="s">
        <v>158</v>
      </c>
    </row>
    <row r="95" spans="1:6" ht="75.75" hidden="1" thickBot="1">
      <c r="A95" t="str">
        <f>IF(ISNA(INDEX('ID относящиеся у производству'!A:A,MATCH(B95,'ID относящиеся у производству'!A:A,0),1))=TRUE,"НЕТ","ДА")</f>
        <v>НЕТ</v>
      </c>
      <c r="B95" s="4">
        <v>94</v>
      </c>
      <c r="C95" s="4" t="s">
        <v>67</v>
      </c>
      <c r="D95" s="4" t="s">
        <v>1001</v>
      </c>
    </row>
    <row r="96" spans="1:6" ht="30.75" hidden="1" thickBot="1">
      <c r="A96" t="str">
        <f>IF(ISNA(INDEX('ID относящиеся у производству'!A:A,MATCH(B96,'ID относящиеся у производству'!A:A,0),1))=TRUE,"НЕТ","ДА")</f>
        <v>НЕТ</v>
      </c>
      <c r="B96" s="4">
        <v>95</v>
      </c>
      <c r="C96" s="4" t="s">
        <v>389</v>
      </c>
      <c r="D96" s="4" t="s">
        <v>386</v>
      </c>
    </row>
    <row r="97" spans="1:6" ht="30.75" hidden="1" thickBot="1">
      <c r="A97" t="str">
        <f>IF(ISNA(INDEX('ID относящиеся у производству'!A:A,MATCH(B97,'ID относящиеся у производству'!A:A,0),1))=TRUE,"НЕТ","ДА")</f>
        <v>НЕТ</v>
      </c>
      <c r="B97" s="4">
        <v>96</v>
      </c>
      <c r="C97" s="4" t="s">
        <v>416</v>
      </c>
      <c r="D97" s="4" t="s">
        <v>417</v>
      </c>
    </row>
    <row r="98" spans="1:6" ht="30.75" hidden="1" thickBot="1">
      <c r="A98" t="str">
        <f>IF(ISNA(INDEX('ID относящиеся у производству'!A:A,MATCH(B98,'ID относящиеся у производству'!A:A,0),1))=TRUE,"НЕТ","ДА")</f>
        <v>НЕТ</v>
      </c>
      <c r="B98" s="4">
        <v>97</v>
      </c>
      <c r="C98" s="4" t="s">
        <v>280</v>
      </c>
      <c r="D98" s="4" t="s">
        <v>951</v>
      </c>
    </row>
    <row r="99" spans="1:6" ht="45.75" hidden="1" thickBot="1">
      <c r="A99" t="str">
        <f>IF(ISNA(INDEX('ID относящиеся у производству'!A:A,MATCH(B99,'ID относящиеся у производству'!A:A,0),1))=TRUE,"НЕТ","ДА")</f>
        <v>НЕТ</v>
      </c>
      <c r="B99" s="4">
        <v>98</v>
      </c>
      <c r="C99" s="4" t="s">
        <v>193</v>
      </c>
      <c r="D99" s="4" t="s">
        <v>300</v>
      </c>
    </row>
    <row r="100" spans="1:6" ht="45.75" thickBot="1">
      <c r="A100" t="str">
        <f>IF(ISNA(INDEX('ID относящиеся у производству'!A:A,MATCH(B100,'ID относящиеся у производству'!A:A,0),1))=TRUE,"НЕТ","ДА")</f>
        <v>ДА</v>
      </c>
      <c r="B100" s="4">
        <v>99</v>
      </c>
      <c r="C100" s="4" t="s">
        <v>193</v>
      </c>
      <c r="D100" s="4" t="s">
        <v>1046</v>
      </c>
      <c r="E100" s="8" t="s">
        <v>3794</v>
      </c>
      <c r="F100" s="9" t="s">
        <v>3793</v>
      </c>
    </row>
    <row r="101" spans="1:6" ht="60.75" hidden="1" thickBot="1">
      <c r="A101" t="str">
        <f>IF(ISNA(INDEX('ID относящиеся у производству'!A:A,MATCH(B101,'ID относящиеся у производству'!A:A,0),1))=TRUE,"НЕТ","ДА")</f>
        <v>НЕТ</v>
      </c>
      <c r="B101" s="4">
        <v>100</v>
      </c>
      <c r="C101" s="4" t="s">
        <v>316</v>
      </c>
      <c r="D101" s="4" t="s">
        <v>820</v>
      </c>
    </row>
    <row r="102" spans="1:6" ht="60.75" hidden="1" thickBot="1">
      <c r="A102" t="str">
        <f>IF(ISNA(INDEX('ID относящиеся у производству'!A:A,MATCH(B102,'ID относящиеся у производству'!A:A,0),1))=TRUE,"НЕТ","ДА")</f>
        <v>НЕТ</v>
      </c>
      <c r="B102" s="4">
        <v>101</v>
      </c>
      <c r="C102" s="4" t="s">
        <v>316</v>
      </c>
      <c r="D102" s="4" t="s">
        <v>1056</v>
      </c>
    </row>
    <row r="103" spans="1:6" ht="45.75" hidden="1" thickBot="1">
      <c r="A103" t="str">
        <f>IF(ISNA(INDEX('ID относящиеся у производству'!A:A,MATCH(B103,'ID относящиеся у производству'!A:A,0),1))=TRUE,"НЕТ","ДА")</f>
        <v>НЕТ</v>
      </c>
      <c r="B103" s="4">
        <v>102</v>
      </c>
      <c r="C103" s="4" t="s">
        <v>724</v>
      </c>
      <c r="D103" s="4" t="s">
        <v>725</v>
      </c>
    </row>
    <row r="104" spans="1:6" ht="75.75" hidden="1" thickBot="1">
      <c r="A104" t="str">
        <f>IF(ISNA(INDEX('ID относящиеся у производству'!A:A,MATCH(B104,'ID относящиеся у производству'!A:A,0),1))=TRUE,"НЕТ","ДА")</f>
        <v>НЕТ</v>
      </c>
      <c r="B104" s="4">
        <v>103</v>
      </c>
      <c r="C104" s="4" t="s">
        <v>67</v>
      </c>
      <c r="D104" s="4" t="s">
        <v>1073</v>
      </c>
    </row>
    <row r="105" spans="1:6" ht="30.75" hidden="1" thickBot="1">
      <c r="A105" t="str">
        <f>IF(ISNA(INDEX('ID относящиеся у производству'!A:A,MATCH(B105,'ID относящиеся у производству'!A:A,0),1))=TRUE,"НЕТ","ДА")</f>
        <v>НЕТ</v>
      </c>
      <c r="B105" s="4">
        <v>104</v>
      </c>
      <c r="C105" s="4" t="s">
        <v>385</v>
      </c>
      <c r="D105" s="4" t="s">
        <v>1074</v>
      </c>
    </row>
    <row r="106" spans="1:6" ht="45.75" hidden="1" thickBot="1">
      <c r="A106" t="str">
        <f>IF(ISNA(INDEX('ID относящиеся у производству'!A:A,MATCH(B106,'ID относящиеся у производству'!A:A,0),1))=TRUE,"НЕТ","ДА")</f>
        <v>НЕТ</v>
      </c>
      <c r="B106" s="4">
        <v>105</v>
      </c>
      <c r="C106" s="4" t="s">
        <v>116</v>
      </c>
      <c r="D106" s="4" t="s">
        <v>117</v>
      </c>
    </row>
    <row r="107" spans="1:6" ht="30.75" hidden="1" thickBot="1">
      <c r="A107" t="str">
        <f>IF(ISNA(INDEX('ID относящиеся у производству'!A:A,MATCH(B107,'ID относящиеся у производству'!A:A,0),1))=TRUE,"НЕТ","ДА")</f>
        <v>НЕТ</v>
      </c>
      <c r="B107" s="4">
        <v>106</v>
      </c>
      <c r="C107" s="4" t="s">
        <v>217</v>
      </c>
      <c r="D107" s="4" t="s">
        <v>158</v>
      </c>
    </row>
    <row r="108" spans="1:6" ht="45.75" thickBot="1">
      <c r="A108" t="str">
        <f>IF(ISNA(INDEX('ID относящиеся у производству'!A:A,MATCH(B108,'ID относящиеся у производству'!A:A,0),1))=TRUE,"НЕТ","ДА")</f>
        <v>ДА</v>
      </c>
      <c r="B108" s="4">
        <v>107</v>
      </c>
      <c r="C108" s="4" t="s">
        <v>239</v>
      </c>
      <c r="D108" s="4" t="s">
        <v>1102</v>
      </c>
      <c r="E108" s="8" t="s">
        <v>3795</v>
      </c>
      <c r="F108" s="9" t="s">
        <v>3793</v>
      </c>
    </row>
    <row r="109" spans="1:6" ht="45.75" hidden="1" thickBot="1">
      <c r="A109" t="str">
        <f>IF(ISNA(INDEX('ID относящиеся у производству'!A:A,MATCH(B109,'ID относящиеся у производству'!A:A,0),1))=TRUE,"НЕТ","ДА")</f>
        <v>НЕТ</v>
      </c>
      <c r="B109" s="4">
        <v>108</v>
      </c>
      <c r="C109" s="4" t="s">
        <v>67</v>
      </c>
      <c r="D109" s="4" t="s">
        <v>85</v>
      </c>
    </row>
    <row r="110" spans="1:6" ht="45.75" hidden="1" thickBot="1">
      <c r="A110" t="str">
        <f>IF(ISNA(INDEX('ID относящиеся у производству'!A:A,MATCH(B110,'ID относящиеся у производству'!A:A,0),1))=TRUE,"НЕТ","ДА")</f>
        <v>НЕТ</v>
      </c>
      <c r="B110" s="4">
        <v>109</v>
      </c>
      <c r="C110" s="4" t="s">
        <v>67</v>
      </c>
      <c r="D110" s="4" t="s">
        <v>85</v>
      </c>
    </row>
    <row r="111" spans="1:6" ht="30.75" hidden="1" thickBot="1">
      <c r="A111" t="str">
        <f>IF(ISNA(INDEX('ID относящиеся у производству'!A:A,MATCH(B111,'ID относящиеся у производству'!A:A,0),1))=TRUE,"НЕТ","ДА")</f>
        <v>НЕТ</v>
      </c>
      <c r="B111" s="4">
        <v>110</v>
      </c>
      <c r="C111" s="4" t="s">
        <v>280</v>
      </c>
      <c r="D111" s="4" t="s">
        <v>474</v>
      </c>
    </row>
    <row r="112" spans="1:6" ht="60.75" hidden="1" thickBot="1">
      <c r="A112" t="str">
        <f>IF(ISNA(INDEX('ID относящиеся у производству'!A:A,MATCH(B112,'ID относящиеся у производству'!A:A,0),1))=TRUE,"НЕТ","ДА")</f>
        <v>НЕТ</v>
      </c>
      <c r="B112" s="4">
        <v>111</v>
      </c>
      <c r="C112" s="4" t="s">
        <v>385</v>
      </c>
      <c r="D112" s="4" t="s">
        <v>99</v>
      </c>
    </row>
    <row r="113" spans="1:6" ht="45.75" hidden="1" thickBot="1">
      <c r="A113" t="str">
        <f>IF(ISNA(INDEX('ID относящиеся у производству'!A:A,MATCH(B113,'ID относящиеся у производству'!A:A,0),1))=TRUE,"НЕТ","ДА")</f>
        <v>НЕТ</v>
      </c>
      <c r="B113" s="4">
        <v>112</v>
      </c>
      <c r="C113" s="4" t="s">
        <v>102</v>
      </c>
      <c r="D113" s="4" t="s">
        <v>103</v>
      </c>
    </row>
    <row r="114" spans="1:6" ht="60.75" hidden="1" thickBot="1">
      <c r="A114" t="str">
        <f>IF(ISNA(INDEX('ID относящиеся у производству'!A:A,MATCH(B114,'ID относящиеся у производству'!A:A,0),1))=TRUE,"НЕТ","ДА")</f>
        <v>НЕТ</v>
      </c>
      <c r="B114" s="4">
        <v>113</v>
      </c>
      <c r="C114" s="4" t="s">
        <v>316</v>
      </c>
      <c r="D114" s="4" t="s">
        <v>349</v>
      </c>
    </row>
    <row r="115" spans="1:6" ht="75.75" hidden="1" thickBot="1">
      <c r="A115" t="str">
        <f>IF(ISNA(INDEX('ID относящиеся у производству'!A:A,MATCH(B115,'ID относящиеся у производству'!A:A,0),1))=TRUE,"НЕТ","ДА")</f>
        <v>НЕТ</v>
      </c>
      <c r="B115" s="4">
        <v>114</v>
      </c>
      <c r="C115" s="4" t="s">
        <v>454</v>
      </c>
      <c r="D115" s="4" t="s">
        <v>1144</v>
      </c>
    </row>
    <row r="116" spans="1:6" ht="30.75" thickBot="1">
      <c r="A116" t="str">
        <f>IF(ISNA(INDEX('ID относящиеся у производству'!A:A,MATCH(B116,'ID относящиеся у производству'!A:A,0),1))=TRUE,"НЕТ","ДА")</f>
        <v>ДА</v>
      </c>
      <c r="B116" s="4">
        <v>115</v>
      </c>
      <c r="C116" s="4" t="s">
        <v>193</v>
      </c>
      <c r="D116" s="4" t="s">
        <v>1151</v>
      </c>
      <c r="E116" s="8" t="s">
        <v>3794</v>
      </c>
      <c r="F116" s="9" t="s">
        <v>3793</v>
      </c>
    </row>
    <row r="117" spans="1:6" ht="30.75" hidden="1" thickBot="1">
      <c r="A117" t="str">
        <f>IF(ISNA(INDEX('ID относящиеся у производству'!A:A,MATCH(B117,'ID относящиеся у производству'!A:A,0),1))=TRUE,"НЕТ","ДА")</f>
        <v>НЕТ</v>
      </c>
      <c r="B117" s="4">
        <v>116</v>
      </c>
      <c r="C117" s="4" t="s">
        <v>1152</v>
      </c>
      <c r="D117" s="4" t="s">
        <v>1153</v>
      </c>
    </row>
    <row r="118" spans="1:6" ht="75.75" hidden="1" thickBot="1">
      <c r="A118" t="str">
        <f>IF(ISNA(INDEX('ID относящиеся у производству'!A:A,MATCH(B118,'ID относящиеся у производству'!A:A,0),1))=TRUE,"НЕТ","ДА")</f>
        <v>НЕТ</v>
      </c>
      <c r="B118" s="4">
        <v>117</v>
      </c>
      <c r="C118" s="4" t="s">
        <v>458</v>
      </c>
      <c r="D118" s="4" t="s">
        <v>1144</v>
      </c>
    </row>
    <row r="119" spans="1:6" ht="45.75" hidden="1" thickBot="1">
      <c r="A119" t="str">
        <f>IF(ISNA(INDEX('ID относящиеся у производству'!A:A,MATCH(B119,'ID относящиеся у производству'!A:A,0),1))=TRUE,"НЕТ","ДА")</f>
        <v>НЕТ</v>
      </c>
      <c r="B119" s="4">
        <v>118</v>
      </c>
      <c r="C119" s="4" t="s">
        <v>724</v>
      </c>
      <c r="D119" s="4" t="s">
        <v>725</v>
      </c>
    </row>
    <row r="120" spans="1:6" ht="45.75" hidden="1" thickBot="1">
      <c r="A120" t="str">
        <f>IF(ISNA(INDEX('ID относящиеся у производству'!A:A,MATCH(B120,'ID относящиеся у производству'!A:A,0),1))=TRUE,"НЕТ","ДА")</f>
        <v>НЕТ</v>
      </c>
      <c r="B120" s="4">
        <v>119</v>
      </c>
      <c r="C120" s="4" t="s">
        <v>84</v>
      </c>
      <c r="D120" s="4" t="s">
        <v>85</v>
      </c>
    </row>
    <row r="121" spans="1:6" ht="60.75" hidden="1" thickBot="1">
      <c r="A121" t="str">
        <f>IF(ISNA(INDEX('ID относящиеся у производству'!A:A,MATCH(B121,'ID относящиеся у производству'!A:A,0),1))=TRUE,"НЕТ","ДА")</f>
        <v>НЕТ</v>
      </c>
      <c r="B121" s="4">
        <v>120</v>
      </c>
      <c r="C121" s="4" t="s">
        <v>67</v>
      </c>
      <c r="D121" s="4" t="s">
        <v>99</v>
      </c>
    </row>
    <row r="122" spans="1:6" ht="60.75" hidden="1" thickBot="1">
      <c r="A122" t="str">
        <f>IF(ISNA(INDEX('ID относящиеся у производству'!A:A,MATCH(B122,'ID относящиеся у производству'!A:A,0),1))=TRUE,"НЕТ","ДА")</f>
        <v>НЕТ</v>
      </c>
      <c r="B122" s="4">
        <v>121</v>
      </c>
      <c r="C122" s="4" t="s">
        <v>316</v>
      </c>
      <c r="D122" s="4" t="s">
        <v>1203</v>
      </c>
    </row>
    <row r="123" spans="1:6" ht="30.75" hidden="1" thickBot="1">
      <c r="A123" t="str">
        <f>IF(ISNA(INDEX('ID относящиеся у производству'!A:A,MATCH(B123,'ID относящиеся у производству'!A:A,0),1))=TRUE,"НЕТ","ДА")</f>
        <v>НЕТ</v>
      </c>
      <c r="B123" s="4">
        <v>122</v>
      </c>
      <c r="C123" s="4" t="s">
        <v>385</v>
      </c>
      <c r="D123" s="4" t="s">
        <v>404</v>
      </c>
    </row>
    <row r="124" spans="1:6" ht="45.75" hidden="1" thickBot="1">
      <c r="A124" t="str">
        <f>IF(ISNA(INDEX('ID относящиеся у производству'!A:A,MATCH(B124,'ID относящиеся у производству'!A:A,0),1))=TRUE,"НЕТ","ДА")</f>
        <v>НЕТ</v>
      </c>
      <c r="B124" s="4">
        <v>123</v>
      </c>
      <c r="C124" s="4" t="s">
        <v>193</v>
      </c>
      <c r="D124" s="4" t="s">
        <v>436</v>
      </c>
    </row>
    <row r="125" spans="1:6" ht="60.75" hidden="1" thickBot="1">
      <c r="A125" t="str">
        <f>IF(ISNA(INDEX('ID относящиеся у производству'!A:A,MATCH(B125,'ID относящиеся у производству'!A:A,0),1))=TRUE,"НЕТ","ДА")</f>
        <v>НЕТ</v>
      </c>
      <c r="B125" s="4">
        <v>124</v>
      </c>
      <c r="C125" s="4" t="s">
        <v>385</v>
      </c>
      <c r="D125" s="4" t="s">
        <v>99</v>
      </c>
    </row>
    <row r="126" spans="1:6" ht="60.75" hidden="1" thickBot="1">
      <c r="A126" t="str">
        <f>IF(ISNA(INDEX('ID относящиеся у производству'!A:A,MATCH(B126,'ID относящиеся у производству'!A:A,0),1))=TRUE,"НЕТ","ДА")</f>
        <v>НЕТ</v>
      </c>
      <c r="B126" s="4">
        <v>125</v>
      </c>
      <c r="C126" s="4" t="s">
        <v>44</v>
      </c>
      <c r="D126" s="4" t="s">
        <v>790</v>
      </c>
    </row>
    <row r="127" spans="1:6" ht="60.75" hidden="1" thickBot="1">
      <c r="A127" t="str">
        <f>IF(ISNA(INDEX('ID относящиеся у производству'!A:A,MATCH(B127,'ID относящиеся у производству'!A:A,0),1))=TRUE,"НЕТ","ДА")</f>
        <v>НЕТ</v>
      </c>
      <c r="B127" s="4">
        <v>126</v>
      </c>
      <c r="C127" s="4" t="s">
        <v>316</v>
      </c>
      <c r="D127" s="4" t="s">
        <v>1203</v>
      </c>
    </row>
    <row r="128" spans="1:6" ht="60.75" thickBot="1">
      <c r="A128" t="str">
        <f>IF(ISNA(INDEX('ID относящиеся у производству'!A:A,MATCH(B128,'ID относящиеся у производству'!A:A,0),1))=TRUE,"НЕТ","ДА")</f>
        <v>ДА</v>
      </c>
      <c r="B128" s="4">
        <v>127</v>
      </c>
      <c r="C128" s="4" t="s">
        <v>280</v>
      </c>
      <c r="D128" s="4" t="s">
        <v>1241</v>
      </c>
      <c r="E128" s="8" t="s">
        <v>3796</v>
      </c>
      <c r="F128" s="9" t="s">
        <v>3793</v>
      </c>
    </row>
    <row r="129" spans="1:6" ht="15.75" hidden="1" thickBot="1">
      <c r="A129" t="str">
        <f>IF(ISNA(INDEX('ID относящиеся у производству'!A:A,MATCH(B129,'ID относящиеся у производству'!A:A,0),1))=TRUE,"НЕТ","ДА")</f>
        <v>НЕТ</v>
      </c>
      <c r="B129" s="4">
        <v>128</v>
      </c>
      <c r="C129" s="4" t="s">
        <v>1252</v>
      </c>
      <c r="D129" s="4" t="s">
        <v>1253</v>
      </c>
    </row>
    <row r="130" spans="1:6" ht="45.75" hidden="1" thickBot="1">
      <c r="A130" t="str">
        <f>IF(ISNA(INDEX('ID относящиеся у производству'!A:A,MATCH(B130,'ID относящиеся у производству'!A:A,0),1))=TRUE,"НЕТ","ДА")</f>
        <v>НЕТ</v>
      </c>
      <c r="B130" s="4">
        <v>129</v>
      </c>
      <c r="C130" s="4" t="s">
        <v>1268</v>
      </c>
      <c r="D130" s="4" t="s">
        <v>1269</v>
      </c>
    </row>
    <row r="131" spans="1:6" ht="30.75" thickBot="1">
      <c r="A131" t="str">
        <f>IF(ISNA(INDEX('ID относящиеся у производству'!A:A,MATCH(B131,'ID относящиеся у производству'!A:A,0),1))=TRUE,"НЕТ","ДА")</f>
        <v>ДА</v>
      </c>
      <c r="B131" s="4">
        <v>130</v>
      </c>
      <c r="C131" s="4" t="s">
        <v>39</v>
      </c>
      <c r="D131" s="4" t="s">
        <v>1275</v>
      </c>
      <c r="E131" s="8" t="s">
        <v>3792</v>
      </c>
      <c r="F131" s="9" t="s">
        <v>3793</v>
      </c>
    </row>
    <row r="132" spans="1:6" ht="30.75" hidden="1" thickBot="1">
      <c r="A132" t="str">
        <f>IF(ISNA(INDEX('ID относящиеся у производству'!A:A,MATCH(B132,'ID относящиеся у производству'!A:A,0),1))=TRUE,"НЕТ","ДА")</f>
        <v>НЕТ</v>
      </c>
      <c r="B132" s="4">
        <v>131</v>
      </c>
      <c r="C132" s="4" t="s">
        <v>88</v>
      </c>
      <c r="D132" s="4" t="s">
        <v>951</v>
      </c>
    </row>
    <row r="133" spans="1:6" ht="60.75" hidden="1" thickBot="1">
      <c r="A133" t="str">
        <f>IF(ISNA(INDEX('ID относящиеся у производству'!A:A,MATCH(B133,'ID относящиеся у производству'!A:A,0),1))=TRUE,"НЕТ","ДА")</f>
        <v>НЕТ</v>
      </c>
      <c r="B133" s="4">
        <v>132</v>
      </c>
      <c r="C133" s="4" t="s">
        <v>1290</v>
      </c>
      <c r="D133" s="4" t="s">
        <v>1203</v>
      </c>
    </row>
    <row r="134" spans="1:6" ht="45.75" hidden="1" thickBot="1">
      <c r="A134" t="str">
        <f>IF(ISNA(INDEX('ID относящиеся у производству'!A:A,MATCH(B134,'ID относящиеся у производству'!A:A,0),1))=TRUE,"НЕТ","ДА")</f>
        <v>НЕТ</v>
      </c>
      <c r="B134" s="4">
        <v>133</v>
      </c>
      <c r="C134" s="4" t="s">
        <v>1297</v>
      </c>
      <c r="D134" s="4" t="s">
        <v>436</v>
      </c>
    </row>
    <row r="135" spans="1:6" ht="30.75" hidden="1" thickBot="1">
      <c r="A135" t="str">
        <f>IF(ISNA(INDEX('ID относящиеся у производству'!A:A,MATCH(B135,'ID относящиеся у производству'!A:A,0),1))=TRUE,"НЕТ","ДА")</f>
        <v>НЕТ</v>
      </c>
      <c r="B135" s="4">
        <v>134</v>
      </c>
      <c r="C135" s="4" t="s">
        <v>280</v>
      </c>
      <c r="D135" s="4" t="s">
        <v>951</v>
      </c>
    </row>
    <row r="136" spans="1:6" ht="15.75" hidden="1" thickBot="1">
      <c r="A136" t="str">
        <f>IF(ISNA(INDEX('ID относящиеся у производству'!A:A,MATCH(B136,'ID относящиеся у производству'!A:A,0),1))=TRUE,"НЕТ","ДА")</f>
        <v>НЕТ</v>
      </c>
      <c r="B136" s="4">
        <v>135</v>
      </c>
      <c r="C136" s="4" t="s">
        <v>67</v>
      </c>
      <c r="D136" s="4" t="s">
        <v>511</v>
      </c>
    </row>
    <row r="137" spans="1:6" ht="30.75" hidden="1" thickBot="1">
      <c r="A137" t="str">
        <f>IF(ISNA(INDEX('ID относящиеся у производству'!A:A,MATCH(B137,'ID относящиеся у производству'!A:A,0),1))=TRUE,"НЕТ","ДА")</f>
        <v>НЕТ</v>
      </c>
      <c r="B137" s="4">
        <v>136</v>
      </c>
      <c r="C137" s="4" t="s">
        <v>307</v>
      </c>
      <c r="D137" s="4" t="s">
        <v>1328</v>
      </c>
    </row>
    <row r="138" spans="1:6" ht="45.75" hidden="1" thickBot="1">
      <c r="A138" t="str">
        <f>IF(ISNA(INDEX('ID относящиеся у производству'!A:A,MATCH(B138,'ID относящиеся у производству'!A:A,0),1))=TRUE,"НЕТ","ДА")</f>
        <v>НЕТ</v>
      </c>
      <c r="B138" s="4">
        <v>137</v>
      </c>
      <c r="C138" s="4" t="s">
        <v>84</v>
      </c>
      <c r="D138" s="4" t="s">
        <v>117</v>
      </c>
    </row>
    <row r="139" spans="1:6" ht="45.75" hidden="1" thickBot="1">
      <c r="A139" t="str">
        <f>IF(ISNA(INDEX('ID относящиеся у производству'!A:A,MATCH(B139,'ID относящиеся у производству'!A:A,0),1))=TRUE,"НЕТ","ДА")</f>
        <v>НЕТ</v>
      </c>
      <c r="B139" s="4">
        <v>138</v>
      </c>
      <c r="C139" s="4" t="s">
        <v>67</v>
      </c>
      <c r="D139" s="4" t="s">
        <v>1347</v>
      </c>
    </row>
    <row r="140" spans="1:6" ht="30.75" hidden="1" thickBot="1">
      <c r="A140" t="str">
        <f>IF(ISNA(INDEX('ID относящиеся у производству'!A:A,MATCH(B140,'ID относящиеся у производству'!A:A,0),1))=TRUE,"НЕТ","ДА")</f>
        <v>НЕТ</v>
      </c>
      <c r="B140" s="4">
        <v>139</v>
      </c>
      <c r="C140" s="4" t="s">
        <v>385</v>
      </c>
      <c r="D140" s="4" t="s">
        <v>1362</v>
      </c>
    </row>
    <row r="141" spans="1:6" ht="60.75" hidden="1" thickBot="1">
      <c r="A141" t="str">
        <f>IF(ISNA(INDEX('ID относящиеся у производству'!A:A,MATCH(B141,'ID относящиеся у производству'!A:A,0),1))=TRUE,"НЕТ","ДА")</f>
        <v>НЕТ</v>
      </c>
      <c r="B141" s="4">
        <v>140</v>
      </c>
      <c r="C141" s="4" t="s">
        <v>1377</v>
      </c>
      <c r="D141" s="4" t="s">
        <v>143</v>
      </c>
    </row>
    <row r="142" spans="1:6" ht="30.75" hidden="1" thickBot="1">
      <c r="A142" t="str">
        <f>IF(ISNA(INDEX('ID относящиеся у производству'!A:A,MATCH(B142,'ID относящиеся у производству'!A:A,0),1))=TRUE,"НЕТ","ДА")</f>
        <v>НЕТ</v>
      </c>
      <c r="B142" s="4">
        <v>141</v>
      </c>
      <c r="C142" s="4" t="s">
        <v>67</v>
      </c>
      <c r="D142" s="4" t="s">
        <v>1381</v>
      </c>
    </row>
    <row r="143" spans="1:6" ht="60.75" thickBot="1">
      <c r="A143" t="str">
        <f>IF(ISNA(INDEX('ID относящиеся у производству'!A:A,MATCH(B143,'ID относящиеся у производству'!A:A,0),1))=TRUE,"НЕТ","ДА")</f>
        <v>ДА</v>
      </c>
      <c r="B143" s="4">
        <v>142</v>
      </c>
      <c r="C143" s="4" t="s">
        <v>239</v>
      </c>
      <c r="D143" s="4" t="s">
        <v>1397</v>
      </c>
      <c r="E143" s="8" t="s">
        <v>3795</v>
      </c>
      <c r="F143" s="9" t="s">
        <v>3793</v>
      </c>
    </row>
    <row r="144" spans="1:6" ht="30.75" hidden="1" thickBot="1">
      <c r="A144" t="str">
        <f>IF(ISNA(INDEX('ID относящиеся у производству'!A:A,MATCH(B144,'ID относящиеся у производству'!A:A,0),1))=TRUE,"НЕТ","ДА")</f>
        <v>НЕТ</v>
      </c>
      <c r="B144" s="4">
        <v>143</v>
      </c>
      <c r="C144" s="4" t="s">
        <v>247</v>
      </c>
      <c r="D144" s="4" t="s">
        <v>158</v>
      </c>
    </row>
    <row r="145" spans="1:6" ht="30.75" hidden="1" thickBot="1">
      <c r="A145" t="str">
        <f>IF(ISNA(INDEX('ID относящиеся у производству'!A:A,MATCH(B145,'ID относящиеся у производству'!A:A,0),1))=TRUE,"НЕТ","ДА")</f>
        <v>НЕТ</v>
      </c>
      <c r="B145" s="4">
        <v>144</v>
      </c>
      <c r="C145" s="4" t="s">
        <v>514</v>
      </c>
      <c r="D145" s="4" t="s">
        <v>614</v>
      </c>
    </row>
    <row r="146" spans="1:6" ht="60.75" hidden="1" thickBot="1">
      <c r="A146" t="str">
        <f>IF(ISNA(INDEX('ID относящиеся у производству'!A:A,MATCH(B146,'ID относящиеся у производству'!A:A,0),1))=TRUE,"НЕТ","ДА")</f>
        <v>НЕТ</v>
      </c>
      <c r="B146" s="4">
        <v>145</v>
      </c>
      <c r="C146" s="4" t="s">
        <v>454</v>
      </c>
      <c r="D146" s="4" t="s">
        <v>455</v>
      </c>
    </row>
    <row r="147" spans="1:6" ht="30.75" hidden="1" thickBot="1">
      <c r="A147" t="str">
        <f>IF(ISNA(INDEX('ID относящиеся у производству'!A:A,MATCH(B147,'ID относящиеся у производству'!A:A,0),1))=TRUE,"НЕТ","ДА")</f>
        <v>НЕТ</v>
      </c>
      <c r="B147" s="4">
        <v>146</v>
      </c>
      <c r="C147" s="4" t="s">
        <v>407</v>
      </c>
      <c r="D147" s="4" t="s">
        <v>404</v>
      </c>
    </row>
    <row r="148" spans="1:6" ht="30.75" thickBot="1">
      <c r="A148" t="str">
        <f>IF(ISNA(INDEX('ID относящиеся у производству'!A:A,MATCH(B148,'ID относящиеся у производству'!A:A,0),1))=TRUE,"НЕТ","ДА")</f>
        <v>ДА</v>
      </c>
      <c r="B148" s="4">
        <v>147</v>
      </c>
      <c r="C148" s="4" t="s">
        <v>193</v>
      </c>
      <c r="D148" s="4" t="s">
        <v>1442</v>
      </c>
      <c r="E148" s="8" t="s">
        <v>3794</v>
      </c>
      <c r="F148" s="9" t="s">
        <v>3793</v>
      </c>
    </row>
    <row r="149" spans="1:6" ht="30.75" thickBot="1">
      <c r="A149" t="str">
        <f>IF(ISNA(INDEX('ID относящиеся у производству'!A:A,MATCH(B149,'ID относящиеся у производству'!A:A,0),1))=TRUE,"НЕТ","ДА")</f>
        <v>ДА</v>
      </c>
      <c r="B149" s="4">
        <v>148</v>
      </c>
      <c r="C149" s="4" t="s">
        <v>193</v>
      </c>
      <c r="D149" s="4" t="s">
        <v>1450</v>
      </c>
      <c r="E149" s="8" t="s">
        <v>3794</v>
      </c>
      <c r="F149" s="9" t="s">
        <v>3793</v>
      </c>
    </row>
    <row r="150" spans="1:6" ht="15.75" hidden="1" thickBot="1">
      <c r="A150" t="str">
        <f>IF(ISNA(INDEX('ID относящиеся у производству'!A:A,MATCH(B150,'ID относящиеся у производству'!A:A,0),1))=TRUE,"НЕТ","ДА")</f>
        <v>НЕТ</v>
      </c>
      <c r="B150" s="4">
        <v>149</v>
      </c>
      <c r="C150" s="4" t="s">
        <v>514</v>
      </c>
      <c r="D150" s="4" t="s">
        <v>1451</v>
      </c>
    </row>
    <row r="151" spans="1:6" ht="45.75" hidden="1" thickBot="1">
      <c r="A151" t="str">
        <f>IF(ISNA(INDEX('ID относящиеся у производству'!A:A,MATCH(B151,'ID относящиеся у производству'!A:A,0),1))=TRUE,"НЕТ","ДА")</f>
        <v>НЕТ</v>
      </c>
      <c r="B151" s="4">
        <v>150</v>
      </c>
      <c r="C151" s="4" t="s">
        <v>84</v>
      </c>
      <c r="D151" s="4" t="s">
        <v>117</v>
      </c>
    </row>
    <row r="152" spans="1:6" ht="45.75" hidden="1" thickBot="1">
      <c r="A152" t="str">
        <f>IF(ISNA(INDEX('ID относящиеся у производству'!A:A,MATCH(B152,'ID относящиеся у производству'!A:A,0),1))=TRUE,"НЕТ","ДА")</f>
        <v>НЕТ</v>
      </c>
      <c r="B152" s="4">
        <v>151</v>
      </c>
      <c r="C152" s="4" t="s">
        <v>1487</v>
      </c>
      <c r="D152" s="4" t="s">
        <v>1488</v>
      </c>
    </row>
    <row r="153" spans="1:6" ht="45.75" thickBot="1">
      <c r="A153" t="str">
        <f>IF(ISNA(INDEX('ID относящиеся у производству'!A:A,MATCH(B153,'ID относящиеся у производству'!A:A,0),1))=TRUE,"НЕТ","ДА")</f>
        <v>ДА</v>
      </c>
      <c r="B153" s="4">
        <v>152</v>
      </c>
      <c r="C153" s="4" t="s">
        <v>239</v>
      </c>
      <c r="D153" s="4" t="s">
        <v>1503</v>
      </c>
      <c r="E153" s="8" t="s">
        <v>3795</v>
      </c>
      <c r="F153" s="9" t="s">
        <v>3793</v>
      </c>
    </row>
    <row r="154" spans="1:6" ht="15.75" hidden="1" thickBot="1">
      <c r="A154" t="str">
        <f>IF(ISNA(INDEX('ID относящиеся у производству'!A:A,MATCH(B154,'ID относящиеся у производству'!A:A,0),1))=TRUE,"НЕТ","ДА")</f>
        <v>НЕТ</v>
      </c>
      <c r="B154" s="4">
        <v>153</v>
      </c>
      <c r="C154" s="4" t="s">
        <v>872</v>
      </c>
      <c r="D154" s="4" t="s">
        <v>873</v>
      </c>
    </row>
    <row r="155" spans="1:6" ht="45.75" hidden="1" thickBot="1">
      <c r="A155" t="str">
        <f>IF(ISNA(INDEX('ID относящиеся у производству'!A:A,MATCH(B155,'ID относящиеся у производству'!A:A,0),1))=TRUE,"НЕТ","ДА")</f>
        <v>НЕТ</v>
      </c>
      <c r="B155" s="4">
        <v>154</v>
      </c>
      <c r="C155" s="4" t="s">
        <v>942</v>
      </c>
      <c r="D155" s="4" t="s">
        <v>558</v>
      </c>
    </row>
    <row r="156" spans="1:6" ht="15.75" hidden="1" thickBot="1">
      <c r="A156" t="str">
        <f>IF(ISNA(INDEX('ID относящиеся у производству'!A:A,MATCH(B156,'ID относящиеся у производству'!A:A,0),1))=TRUE,"НЕТ","ДА")</f>
        <v>НЕТ</v>
      </c>
      <c r="B156" s="4">
        <v>155</v>
      </c>
      <c r="C156" s="4" t="s">
        <v>1525</v>
      </c>
      <c r="D156" s="4" t="s">
        <v>1451</v>
      </c>
    </row>
    <row r="157" spans="1:6" ht="30.75" hidden="1" thickBot="1">
      <c r="A157" t="str">
        <f>IF(ISNA(INDEX('ID относящиеся у производству'!A:A,MATCH(B157,'ID относящиеся у производству'!A:A,0),1))=TRUE,"НЕТ","ДА")</f>
        <v>НЕТ</v>
      </c>
      <c r="B157" s="4">
        <v>156</v>
      </c>
      <c r="C157" s="4" t="s">
        <v>67</v>
      </c>
      <c r="D157" s="4" t="s">
        <v>1540</v>
      </c>
    </row>
    <row r="158" spans="1:6" ht="30.75" hidden="1" thickBot="1">
      <c r="A158" t="str">
        <f>IF(ISNA(INDEX('ID относящиеся у производству'!A:A,MATCH(B158,'ID относящиеся у производству'!A:A,0),1))=TRUE,"НЕТ","ДА")</f>
        <v>НЕТ</v>
      </c>
      <c r="B158" s="4">
        <v>157</v>
      </c>
      <c r="C158" s="4" t="s">
        <v>385</v>
      </c>
      <c r="D158" s="4" t="s">
        <v>1554</v>
      </c>
    </row>
    <row r="159" spans="1:6" ht="45.75" hidden="1" thickBot="1">
      <c r="A159" t="str">
        <f>IF(ISNA(INDEX('ID относящиеся у производству'!A:A,MATCH(B159,'ID относящиеся у производству'!A:A,0),1))=TRUE,"НЕТ","ДА")</f>
        <v>НЕТ</v>
      </c>
      <c r="B159" s="4">
        <v>158</v>
      </c>
      <c r="C159" s="4" t="s">
        <v>116</v>
      </c>
      <c r="D159" s="4" t="s">
        <v>436</v>
      </c>
    </row>
    <row r="160" spans="1:6" ht="45.75" hidden="1" thickBot="1">
      <c r="A160" t="str">
        <f>IF(ISNA(INDEX('ID относящиеся у производству'!A:A,MATCH(B160,'ID относящиеся у производству'!A:A,0),1))=TRUE,"НЕТ","ДА")</f>
        <v>НЕТ</v>
      </c>
      <c r="B160" s="4">
        <v>159</v>
      </c>
      <c r="C160" s="4" t="s">
        <v>67</v>
      </c>
      <c r="D160" s="4" t="s">
        <v>1269</v>
      </c>
    </row>
    <row r="161" spans="1:6" ht="45.75" hidden="1" thickBot="1">
      <c r="A161" t="str">
        <f>IF(ISNA(INDEX('ID относящиеся у производству'!A:A,MATCH(B161,'ID относящиеся у производству'!A:A,0),1))=TRUE,"НЕТ","ДА")</f>
        <v>НЕТ</v>
      </c>
      <c r="B161" s="4">
        <v>160</v>
      </c>
      <c r="C161" s="4" t="s">
        <v>766</v>
      </c>
      <c r="D161" s="4" t="s">
        <v>725</v>
      </c>
    </row>
    <row r="162" spans="1:6" ht="30.75" thickBot="1">
      <c r="A162" t="str">
        <f>IF(ISNA(INDEX('ID относящиеся у производству'!A:A,MATCH(B162,'ID относящиеся у производству'!A:A,0),1))=TRUE,"НЕТ","ДА")</f>
        <v>ДА</v>
      </c>
      <c r="B162" s="4">
        <v>161</v>
      </c>
      <c r="C162" s="4" t="s">
        <v>39</v>
      </c>
      <c r="D162" s="4" t="s">
        <v>981</v>
      </c>
      <c r="E162" s="8" t="s">
        <v>3792</v>
      </c>
      <c r="F162" s="9" t="s">
        <v>3793</v>
      </c>
    </row>
    <row r="163" spans="1:6" ht="30.75" thickBot="1">
      <c r="A163" t="str">
        <f>IF(ISNA(INDEX('ID относящиеся у производству'!A:A,MATCH(B163,'ID относящиеся у производству'!A:A,0),1))=TRUE,"НЕТ","ДА")</f>
        <v>ДА</v>
      </c>
      <c r="B163" s="4">
        <v>162</v>
      </c>
      <c r="C163" s="4" t="s">
        <v>280</v>
      </c>
      <c r="D163" s="4" t="s">
        <v>1587</v>
      </c>
      <c r="E163" s="8" t="s">
        <v>3796</v>
      </c>
      <c r="F163" s="9" t="s">
        <v>3793</v>
      </c>
    </row>
    <row r="164" spans="1:6" ht="30.75" hidden="1" thickBot="1">
      <c r="A164" t="str">
        <f>IF(ISNA(INDEX('ID относящиеся у производству'!A:A,MATCH(B164,'ID относящиеся у производству'!A:A,0),1))=TRUE,"НЕТ","ДА")</f>
        <v>НЕТ</v>
      </c>
      <c r="B164" s="4">
        <v>163</v>
      </c>
      <c r="C164" s="4" t="s">
        <v>385</v>
      </c>
      <c r="D164" s="4" t="s">
        <v>1554</v>
      </c>
    </row>
    <row r="165" spans="1:6" ht="30.75" thickBot="1">
      <c r="A165" t="str">
        <f>IF(ISNA(INDEX('ID относящиеся у производству'!A:A,MATCH(B165,'ID относящиеся у производству'!A:A,0),1))=TRUE,"НЕТ","ДА")</f>
        <v>ДА</v>
      </c>
      <c r="B165" s="4">
        <v>164</v>
      </c>
      <c r="C165" s="4" t="s">
        <v>239</v>
      </c>
      <c r="D165" s="4" t="s">
        <v>1611</v>
      </c>
      <c r="E165" s="8" t="s">
        <v>3795</v>
      </c>
      <c r="F165" s="9" t="s">
        <v>3793</v>
      </c>
    </row>
    <row r="166" spans="1:6" ht="30.75" thickBot="1">
      <c r="A166" t="str">
        <f>IF(ISNA(INDEX('ID относящиеся у производству'!A:A,MATCH(B166,'ID относящиеся у производству'!A:A,0),1))=TRUE,"НЕТ","ДА")</f>
        <v>ДА</v>
      </c>
      <c r="B166" s="4">
        <v>165</v>
      </c>
      <c r="C166" s="4" t="s">
        <v>39</v>
      </c>
      <c r="D166" s="4" t="s">
        <v>684</v>
      </c>
      <c r="E166" s="8" t="s">
        <v>3792</v>
      </c>
      <c r="F166" s="9" t="s">
        <v>3793</v>
      </c>
    </row>
    <row r="167" spans="1:6" ht="60.75" hidden="1" thickBot="1">
      <c r="A167" t="str">
        <f>IF(ISNA(INDEX('ID относящиеся у производству'!A:A,MATCH(B167,'ID относящиеся у производству'!A:A,0),1))=TRUE,"НЕТ","ДА")</f>
        <v>НЕТ</v>
      </c>
      <c r="B167" s="4">
        <v>166</v>
      </c>
      <c r="C167" s="4" t="s">
        <v>316</v>
      </c>
      <c r="D167" s="4" t="s">
        <v>1203</v>
      </c>
    </row>
    <row r="168" spans="1:6" ht="30.75" thickBot="1">
      <c r="A168" t="str">
        <f>IF(ISNA(INDEX('ID относящиеся у производству'!A:A,MATCH(B168,'ID относящиеся у производству'!A:A,0),1))=TRUE,"НЕТ","ДА")</f>
        <v>ДА</v>
      </c>
      <c r="B168" s="4">
        <v>167</v>
      </c>
      <c r="C168" s="4" t="s">
        <v>39</v>
      </c>
      <c r="D168" s="4" t="s">
        <v>1620</v>
      </c>
      <c r="E168" s="8" t="s">
        <v>3792</v>
      </c>
      <c r="F168" s="9" t="s">
        <v>3793</v>
      </c>
    </row>
    <row r="169" spans="1:6" ht="30.75" thickBot="1">
      <c r="A169" t="str">
        <f>IF(ISNA(INDEX('ID относящиеся у производству'!A:A,MATCH(B169,'ID относящиеся у производству'!A:A,0),1))=TRUE,"НЕТ","ДА")</f>
        <v>ДА</v>
      </c>
      <c r="B169" s="4">
        <v>168</v>
      </c>
      <c r="C169" s="4" t="s">
        <v>193</v>
      </c>
      <c r="D169" s="4" t="s">
        <v>1275</v>
      </c>
      <c r="E169" s="8" t="s">
        <v>3794</v>
      </c>
      <c r="F169" s="9" t="s">
        <v>3793</v>
      </c>
    </row>
    <row r="170" spans="1:6" ht="45.75" hidden="1" thickBot="1">
      <c r="A170" t="str">
        <f>IF(ISNA(INDEX('ID относящиеся у производству'!A:A,MATCH(B170,'ID относящиеся у производству'!A:A,0),1))=TRUE,"НЕТ","ДА")</f>
        <v>НЕТ</v>
      </c>
      <c r="B170" s="4">
        <v>169</v>
      </c>
      <c r="C170" s="4" t="s">
        <v>193</v>
      </c>
      <c r="D170" s="4" t="s">
        <v>300</v>
      </c>
    </row>
    <row r="171" spans="1:6" ht="30.75" thickBot="1">
      <c r="A171" t="str">
        <f>IF(ISNA(INDEX('ID относящиеся у производству'!A:A,MATCH(B171,'ID относящиеся у производству'!A:A,0),1))=TRUE,"НЕТ","ДА")</f>
        <v>ДА</v>
      </c>
      <c r="B171" s="4">
        <v>170</v>
      </c>
      <c r="C171" s="4" t="s">
        <v>193</v>
      </c>
      <c r="D171" s="4" t="s">
        <v>1625</v>
      </c>
      <c r="E171" s="8" t="s">
        <v>3794</v>
      </c>
      <c r="F171" s="9" t="s">
        <v>3793</v>
      </c>
    </row>
    <row r="172" spans="1:6" ht="30.75" thickBot="1">
      <c r="A172" t="str">
        <f>IF(ISNA(INDEX('ID относящиеся у производству'!A:A,MATCH(B172,'ID относящиеся у производству'!A:A,0),1))=TRUE,"НЕТ","ДА")</f>
        <v>ДА</v>
      </c>
      <c r="B172" s="4">
        <v>171</v>
      </c>
      <c r="C172" s="4" t="s">
        <v>577</v>
      </c>
      <c r="D172" s="4" t="s">
        <v>45</v>
      </c>
      <c r="E172" s="8" t="s">
        <v>3797</v>
      </c>
      <c r="F172" s="9" t="s">
        <v>3793</v>
      </c>
    </row>
    <row r="173" spans="1:6" ht="45.75" hidden="1" thickBot="1">
      <c r="A173" t="str">
        <f>IF(ISNA(INDEX('ID относящиеся у производству'!A:A,MATCH(B173,'ID относящиеся у производству'!A:A,0),1))=TRUE,"НЕТ","ДА")</f>
        <v>НЕТ</v>
      </c>
      <c r="B173" s="4">
        <v>172</v>
      </c>
      <c r="C173" s="4" t="s">
        <v>84</v>
      </c>
      <c r="D173" s="4" t="s">
        <v>85</v>
      </c>
    </row>
    <row r="174" spans="1:6" ht="45.75" hidden="1" thickBot="1">
      <c r="A174" t="str">
        <f>IF(ISNA(INDEX('ID относящиеся у производству'!A:A,MATCH(B174,'ID относящиеся у производству'!A:A,0),1))=TRUE,"НЕТ","ДА")</f>
        <v>НЕТ</v>
      </c>
      <c r="B174" s="4">
        <v>173</v>
      </c>
      <c r="C174" s="4" t="s">
        <v>766</v>
      </c>
      <c r="D174" s="4" t="s">
        <v>725</v>
      </c>
    </row>
    <row r="175" spans="1:6" ht="45.75" hidden="1" thickBot="1">
      <c r="A175" t="str">
        <f>IF(ISNA(INDEX('ID относящиеся у производству'!A:A,MATCH(B175,'ID относящиеся у производству'!A:A,0),1))=TRUE,"НЕТ","ДА")</f>
        <v>НЕТ</v>
      </c>
      <c r="B175" s="4">
        <v>174</v>
      </c>
      <c r="C175" s="4" t="s">
        <v>67</v>
      </c>
      <c r="D175" s="4" t="s">
        <v>85</v>
      </c>
    </row>
    <row r="176" spans="1:6" ht="30.75" hidden="1" thickBot="1">
      <c r="A176" t="str">
        <f>IF(ISNA(INDEX('ID относящиеся у производству'!A:A,MATCH(B176,'ID относящиеся у производству'!A:A,0),1))=TRUE,"НЕТ","ДА")</f>
        <v>НЕТ</v>
      </c>
      <c r="B176" s="4">
        <v>175</v>
      </c>
      <c r="C176" s="4" t="s">
        <v>1639</v>
      </c>
      <c r="D176" s="4" t="s">
        <v>1640</v>
      </c>
    </row>
    <row r="177" spans="1:6" ht="30.75" hidden="1" thickBot="1">
      <c r="A177" t="str">
        <f>IF(ISNA(INDEX('ID относящиеся у производству'!A:A,MATCH(B177,'ID относящиеся у производству'!A:A,0),1))=TRUE,"НЕТ","ДА")</f>
        <v>ДА</v>
      </c>
      <c r="B177" s="4">
        <v>176</v>
      </c>
      <c r="C177" s="4" t="s">
        <v>780</v>
      </c>
      <c r="D177" s="4" t="s">
        <v>781</v>
      </c>
    </row>
    <row r="178" spans="1:6" ht="45.75" hidden="1" thickBot="1">
      <c r="A178" t="str">
        <f>IF(ISNA(INDEX('ID относящиеся у производству'!A:A,MATCH(B178,'ID относящиеся у производству'!A:A,0),1))=TRUE,"НЕТ","ДА")</f>
        <v>НЕТ</v>
      </c>
      <c r="B178" s="4">
        <v>177</v>
      </c>
      <c r="C178" s="4" t="s">
        <v>727</v>
      </c>
      <c r="D178" s="4" t="s">
        <v>725</v>
      </c>
    </row>
    <row r="179" spans="1:6" ht="30.75" thickBot="1">
      <c r="A179" t="str">
        <f>IF(ISNA(INDEX('ID относящиеся у производству'!A:A,MATCH(B179,'ID относящиеся у производству'!A:A,0),1))=TRUE,"НЕТ","ДА")</f>
        <v>ДА</v>
      </c>
      <c r="B179" s="4">
        <v>178</v>
      </c>
      <c r="C179" s="4" t="s">
        <v>1670</v>
      </c>
      <c r="D179" s="4" t="s">
        <v>241</v>
      </c>
      <c r="E179" s="8" t="s">
        <v>3798</v>
      </c>
      <c r="F179" s="9" t="s">
        <v>3793</v>
      </c>
    </row>
    <row r="180" spans="1:6" ht="45.75" hidden="1" thickBot="1">
      <c r="A180" t="str">
        <f>IF(ISNA(INDEX('ID относящиеся у производству'!A:A,MATCH(B180,'ID относящиеся у производству'!A:A,0),1))=TRUE,"НЕТ","ДА")</f>
        <v>НЕТ</v>
      </c>
      <c r="B180" s="4">
        <v>179</v>
      </c>
      <c r="C180" s="4" t="s">
        <v>687</v>
      </c>
      <c r="D180" s="4" t="s">
        <v>558</v>
      </c>
    </row>
    <row r="181" spans="1:6" ht="30.75" hidden="1" thickBot="1">
      <c r="A181" t="str">
        <f>IF(ISNA(INDEX('ID относящиеся у производству'!A:A,MATCH(B181,'ID относящиеся у производству'!A:A,0),1))=TRUE,"НЕТ","ДА")</f>
        <v>НЕТ</v>
      </c>
      <c r="B181" s="4">
        <v>180</v>
      </c>
      <c r="C181" s="4" t="s">
        <v>67</v>
      </c>
      <c r="D181" s="4" t="s">
        <v>68</v>
      </c>
    </row>
    <row r="182" spans="1:6" ht="30.75" thickBot="1">
      <c r="A182" t="str">
        <f>IF(ISNA(INDEX('ID относящиеся у производству'!A:A,MATCH(B182,'ID относящиеся у производству'!A:A,0),1))=TRUE,"НЕТ","ДА")</f>
        <v>ДА</v>
      </c>
      <c r="B182" s="4">
        <v>181</v>
      </c>
      <c r="C182" s="4" t="s">
        <v>239</v>
      </c>
      <c r="D182" s="4" t="s">
        <v>1700</v>
      </c>
      <c r="E182" s="8" t="s">
        <v>3795</v>
      </c>
      <c r="F182" s="9" t="s">
        <v>3793</v>
      </c>
    </row>
    <row r="183" spans="1:6" ht="60.75" hidden="1" thickBot="1">
      <c r="A183" t="str">
        <f>IF(ISNA(INDEX('ID относящиеся у производству'!A:A,MATCH(B183,'ID относящиеся у производству'!A:A,0),1))=TRUE,"НЕТ","ДА")</f>
        <v>НЕТ</v>
      </c>
      <c r="B183" s="4">
        <v>182</v>
      </c>
      <c r="C183" s="4" t="s">
        <v>458</v>
      </c>
      <c r="D183" s="4" t="s">
        <v>459</v>
      </c>
    </row>
    <row r="184" spans="1:6" ht="45.75" hidden="1" thickBot="1">
      <c r="A184" t="str">
        <f>IF(ISNA(INDEX('ID относящиеся у производству'!A:A,MATCH(B184,'ID относящиеся у производству'!A:A,0),1))=TRUE,"НЕТ","ДА")</f>
        <v>НЕТ</v>
      </c>
      <c r="B184" s="4">
        <v>183</v>
      </c>
      <c r="C184" s="4" t="s">
        <v>44</v>
      </c>
      <c r="D184" s="4" t="s">
        <v>436</v>
      </c>
    </row>
    <row r="185" spans="1:6" ht="30.75" hidden="1" thickBot="1">
      <c r="A185" t="str">
        <f>IF(ISNA(INDEX('ID относящиеся у производству'!A:A,MATCH(B185,'ID относящиеся у производству'!A:A,0),1))=TRUE,"НЕТ","ДА")</f>
        <v>НЕТ</v>
      </c>
      <c r="B185" s="4">
        <v>184</v>
      </c>
      <c r="C185" s="4" t="s">
        <v>280</v>
      </c>
      <c r="D185" s="4" t="s">
        <v>951</v>
      </c>
    </row>
    <row r="186" spans="1:6" ht="15.75" hidden="1" thickBot="1">
      <c r="A186" t="str">
        <f>IF(ISNA(INDEX('ID относящиеся у производству'!A:A,MATCH(B186,'ID относящиеся у производству'!A:A,0),1))=TRUE,"НЕТ","ДА")</f>
        <v>НЕТ</v>
      </c>
      <c r="B186" s="4">
        <v>185</v>
      </c>
      <c r="C186" s="4" t="s">
        <v>1525</v>
      </c>
      <c r="D186" s="4" t="s">
        <v>1451</v>
      </c>
    </row>
    <row r="187" spans="1:6" ht="45.75" hidden="1" thickBot="1">
      <c r="A187" t="str">
        <f>IF(ISNA(INDEX('ID относящиеся у производству'!A:A,MATCH(B187,'ID относящиеся у производству'!A:A,0),1))=TRUE,"НЕТ","ДА")</f>
        <v>НЕТ</v>
      </c>
      <c r="B187" s="4">
        <v>186</v>
      </c>
      <c r="C187" s="4" t="s">
        <v>912</v>
      </c>
      <c r="D187" s="4" t="s">
        <v>913</v>
      </c>
    </row>
    <row r="188" spans="1:6" ht="75.75" hidden="1" thickBot="1">
      <c r="A188" t="str">
        <f>IF(ISNA(INDEX('ID относящиеся у производству'!A:A,MATCH(B188,'ID относящиеся у производству'!A:A,0),1))=TRUE,"НЕТ","ДА")</f>
        <v>НЕТ</v>
      </c>
      <c r="B188" s="4">
        <v>187</v>
      </c>
      <c r="C188" s="4" t="s">
        <v>67</v>
      </c>
      <c r="D188" s="4" t="s">
        <v>1144</v>
      </c>
    </row>
    <row r="189" spans="1:6" ht="30.75" thickBot="1">
      <c r="A189" t="str">
        <f>IF(ISNA(INDEX('ID относящиеся у производству'!A:A,MATCH(B189,'ID относящиеся у производству'!A:A,0),1))=TRUE,"НЕТ","ДА")</f>
        <v>ДА</v>
      </c>
      <c r="B189" s="4">
        <v>188</v>
      </c>
      <c r="C189" s="4" t="s">
        <v>577</v>
      </c>
      <c r="D189" s="4" t="s">
        <v>241</v>
      </c>
      <c r="E189" s="8" t="s">
        <v>3797</v>
      </c>
      <c r="F189" s="9" t="s">
        <v>3793</v>
      </c>
    </row>
    <row r="190" spans="1:6" ht="30.75" hidden="1" thickBot="1">
      <c r="A190" t="str">
        <f>IF(ISNA(INDEX('ID относящиеся у производству'!A:A,MATCH(B190,'ID относящиеся у производству'!A:A,0),1))=TRUE,"НЕТ","ДА")</f>
        <v>НЕТ</v>
      </c>
      <c r="B190" s="4">
        <v>189</v>
      </c>
      <c r="C190" s="4" t="s">
        <v>385</v>
      </c>
      <c r="D190" s="4" t="s">
        <v>1754</v>
      </c>
    </row>
    <row r="191" spans="1:6" ht="30.75" hidden="1" thickBot="1">
      <c r="A191" t="str">
        <f>IF(ISNA(INDEX('ID относящиеся у производству'!A:A,MATCH(B191,'ID относящиеся у производству'!A:A,0),1))=TRUE,"НЕТ","ДА")</f>
        <v>ДА</v>
      </c>
      <c r="B191" s="4">
        <v>190</v>
      </c>
      <c r="C191" s="4" t="s">
        <v>67</v>
      </c>
      <c r="D191" s="4" t="s">
        <v>506</v>
      </c>
    </row>
    <row r="192" spans="1:6" ht="45.75" hidden="1" thickBot="1">
      <c r="A192" t="str">
        <f>IF(ISNA(INDEX('ID относящиеся у производству'!A:A,MATCH(B192,'ID относящиеся у производству'!A:A,0),1))=TRUE,"НЕТ","ДА")</f>
        <v>НЕТ</v>
      </c>
      <c r="B192" s="4">
        <v>191</v>
      </c>
      <c r="C192" s="4" t="s">
        <v>67</v>
      </c>
      <c r="D192" s="4" t="s">
        <v>913</v>
      </c>
    </row>
    <row r="193" spans="1:6" ht="60.75" hidden="1" thickBot="1">
      <c r="A193" t="str">
        <f>IF(ISNA(INDEX('ID относящиеся у производству'!A:A,MATCH(B193,'ID относящиеся у производству'!A:A,0),1))=TRUE,"НЕТ","ДА")</f>
        <v>НЕТ</v>
      </c>
      <c r="B193" s="4">
        <v>192</v>
      </c>
      <c r="C193" s="4" t="s">
        <v>316</v>
      </c>
      <c r="D193" s="4" t="s">
        <v>1203</v>
      </c>
    </row>
    <row r="194" spans="1:6" ht="30.75" hidden="1" thickBot="1">
      <c r="A194" t="str">
        <f>IF(ISNA(INDEX('ID относящиеся у производству'!A:A,MATCH(B194,'ID относящиеся у производству'!A:A,0),1))=TRUE,"НЕТ","ДА")</f>
        <v>НЕТ</v>
      </c>
      <c r="B194" s="4">
        <v>193</v>
      </c>
      <c r="C194" s="4" t="s">
        <v>385</v>
      </c>
      <c r="D194" s="4" t="s">
        <v>1153</v>
      </c>
    </row>
    <row r="195" spans="1:6" ht="75.75" hidden="1" thickBot="1">
      <c r="A195" t="str">
        <f>IF(ISNA(INDEX('ID относящиеся у производству'!A:A,MATCH(B195,'ID относящиеся у производству'!A:A,0),1))=TRUE,"НЕТ","ДА")</f>
        <v>НЕТ</v>
      </c>
      <c r="B195" s="4">
        <v>194</v>
      </c>
      <c r="C195" s="4" t="s">
        <v>1782</v>
      </c>
      <c r="D195" s="4" t="s">
        <v>1001</v>
      </c>
    </row>
    <row r="196" spans="1:6" ht="45.75" thickBot="1">
      <c r="A196" t="str">
        <f>IF(ISNA(INDEX('ID относящиеся у производству'!A:A,MATCH(B196,'ID относящиеся у производству'!A:A,0),1))=TRUE,"НЕТ","ДА")</f>
        <v>ДА</v>
      </c>
      <c r="B196" s="4">
        <v>195</v>
      </c>
      <c r="C196" s="4" t="s">
        <v>239</v>
      </c>
      <c r="D196" s="4" t="s">
        <v>1785</v>
      </c>
      <c r="E196" s="8" t="s">
        <v>3795</v>
      </c>
      <c r="F196" s="9" t="s">
        <v>3793</v>
      </c>
    </row>
    <row r="197" spans="1:6" ht="60.75" hidden="1" thickBot="1">
      <c r="A197" t="str">
        <f>IF(ISNA(INDEX('ID относящиеся у производству'!A:A,MATCH(B197,'ID относящиеся у производству'!A:A,0),1))=TRUE,"НЕТ","ДА")</f>
        <v>НЕТ</v>
      </c>
      <c r="B197" s="4">
        <v>196</v>
      </c>
      <c r="C197" s="4" t="s">
        <v>316</v>
      </c>
      <c r="D197" s="4" t="s">
        <v>320</v>
      </c>
    </row>
    <row r="198" spans="1:6" ht="30.75" hidden="1" thickBot="1">
      <c r="A198" t="str">
        <f>IF(ISNA(INDEX('ID относящиеся у производству'!A:A,MATCH(B198,'ID относящиеся у производству'!A:A,0),1))=TRUE,"НЕТ","ДА")</f>
        <v>НЕТ</v>
      </c>
      <c r="B198" s="4">
        <v>197</v>
      </c>
      <c r="C198" s="4" t="s">
        <v>1557</v>
      </c>
      <c r="D198" s="4" t="s">
        <v>1554</v>
      </c>
    </row>
    <row r="199" spans="1:6" ht="45.75" hidden="1" thickBot="1">
      <c r="A199" t="str">
        <f>IF(ISNA(INDEX('ID относящиеся у производству'!A:A,MATCH(B199,'ID относящиеся у производству'!A:A,0),1))=TRUE,"НЕТ","ДА")</f>
        <v>НЕТ</v>
      </c>
      <c r="B199" s="4">
        <v>198</v>
      </c>
      <c r="C199" s="4" t="s">
        <v>385</v>
      </c>
      <c r="D199" s="4" t="s">
        <v>477</v>
      </c>
    </row>
    <row r="200" spans="1:6" ht="75.75" hidden="1" thickBot="1">
      <c r="A200" t="str">
        <f>IF(ISNA(INDEX('ID относящиеся у производству'!A:A,MATCH(B200,'ID относящиеся у производству'!A:A,0),1))=TRUE,"НЕТ","ДА")</f>
        <v>НЕТ</v>
      </c>
      <c r="B200" s="4">
        <v>199</v>
      </c>
      <c r="C200" s="4" t="s">
        <v>454</v>
      </c>
      <c r="D200" s="4" t="s">
        <v>1822</v>
      </c>
    </row>
    <row r="201" spans="1:6" ht="60.75" hidden="1" thickBot="1">
      <c r="A201" t="str">
        <f>IF(ISNA(INDEX('ID относящиеся у производству'!A:A,MATCH(B201,'ID относящиеся у производству'!A:A,0),1))=TRUE,"НЕТ","ДА")</f>
        <v>НЕТ</v>
      </c>
      <c r="B201" s="4">
        <v>200</v>
      </c>
      <c r="C201" s="4" t="s">
        <v>316</v>
      </c>
      <c r="D201" s="4" t="s">
        <v>320</v>
      </c>
    </row>
    <row r="202" spans="1:6" ht="60.75" hidden="1" thickBot="1">
      <c r="A202" t="str">
        <f>IF(ISNA(INDEX('ID относящиеся у производству'!A:A,MATCH(B202,'ID относящиеся у производству'!A:A,0),1))=TRUE,"НЕТ","ДА")</f>
        <v>НЕТ</v>
      </c>
      <c r="B202" s="4">
        <v>201</v>
      </c>
      <c r="C202" s="4" t="s">
        <v>67</v>
      </c>
      <c r="D202" s="4" t="s">
        <v>459</v>
      </c>
    </row>
    <row r="203" spans="1:6" ht="45.75" hidden="1" thickBot="1">
      <c r="A203" t="str">
        <f>IF(ISNA(INDEX('ID относящиеся у производству'!A:A,MATCH(B203,'ID относящиеся у производству'!A:A,0),1))=TRUE,"НЕТ","ДА")</f>
        <v>НЕТ</v>
      </c>
      <c r="B203" s="4">
        <v>202</v>
      </c>
      <c r="C203" s="4" t="s">
        <v>84</v>
      </c>
      <c r="D203" s="4" t="s">
        <v>85</v>
      </c>
    </row>
    <row r="204" spans="1:6" ht="60.75" hidden="1" thickBot="1">
      <c r="A204" t="str">
        <f>IF(ISNA(INDEX('ID относящиеся у производству'!A:A,MATCH(B204,'ID относящиеся у производству'!A:A,0),1))=TRUE,"НЕТ","ДА")</f>
        <v>НЕТ</v>
      </c>
      <c r="B204" s="4">
        <v>203</v>
      </c>
      <c r="C204" s="4" t="s">
        <v>316</v>
      </c>
      <c r="D204" s="4" t="s">
        <v>1056</v>
      </c>
    </row>
    <row r="205" spans="1:6" ht="30.75" hidden="1" thickBot="1">
      <c r="A205" t="str">
        <f>IF(ISNA(INDEX('ID относящиеся у производству'!A:A,MATCH(B205,'ID относящиеся у производству'!A:A,0),1))=TRUE,"НЕТ","ДА")</f>
        <v>НЕТ</v>
      </c>
      <c r="B205" s="4">
        <v>204</v>
      </c>
      <c r="C205" s="4" t="s">
        <v>67</v>
      </c>
      <c r="D205" s="4" t="s">
        <v>1833</v>
      </c>
    </row>
    <row r="206" spans="1:6" ht="45.75" hidden="1" thickBot="1">
      <c r="A206" t="str">
        <f>IF(ISNA(INDEX('ID относящиеся у производству'!A:A,MATCH(B206,'ID относящиеся у производству'!A:A,0),1))=TRUE,"НЕТ","ДА")</f>
        <v>НЕТ</v>
      </c>
      <c r="B206" s="4">
        <v>205</v>
      </c>
      <c r="C206" s="4" t="s">
        <v>116</v>
      </c>
      <c r="D206" s="4" t="s">
        <v>1269</v>
      </c>
    </row>
    <row r="207" spans="1:6" ht="30.75" hidden="1" thickBot="1">
      <c r="A207" t="str">
        <f>IF(ISNA(INDEX('ID относящиеся у производству'!A:A,MATCH(B207,'ID относящиеся у производству'!A:A,0),1))=TRUE,"НЕТ","ДА")</f>
        <v>НЕТ</v>
      </c>
      <c r="B207" s="4">
        <v>206</v>
      </c>
      <c r="C207" s="4" t="s">
        <v>307</v>
      </c>
      <c r="D207" s="4" t="s">
        <v>1332</v>
      </c>
    </row>
    <row r="208" spans="1:6" ht="30.75" hidden="1" thickBot="1">
      <c r="A208" t="str">
        <f>IF(ISNA(INDEX('ID относящиеся у производству'!A:A,MATCH(B208,'ID относящиеся у производству'!A:A,0),1))=TRUE,"НЕТ","ДА")</f>
        <v>НЕТ</v>
      </c>
      <c r="B208" s="4">
        <v>207</v>
      </c>
      <c r="C208" s="4" t="s">
        <v>307</v>
      </c>
      <c r="D208" s="4" t="s">
        <v>1554</v>
      </c>
    </row>
    <row r="209" spans="1:6" ht="30.75" hidden="1" thickBot="1">
      <c r="A209" t="str">
        <f>IF(ISNA(INDEX('ID относящиеся у производству'!A:A,MATCH(B209,'ID относящиеся у производству'!A:A,0),1))=TRUE,"НЕТ","ДА")</f>
        <v>НЕТ</v>
      </c>
      <c r="B209" s="4">
        <v>208</v>
      </c>
      <c r="C209" s="4" t="s">
        <v>88</v>
      </c>
      <c r="D209" s="4" t="s">
        <v>1833</v>
      </c>
    </row>
    <row r="210" spans="1:6" ht="30.75" thickBot="1">
      <c r="A210" t="str">
        <f>IF(ISNA(INDEX('ID относящиеся у производству'!A:A,MATCH(B210,'ID относящиеся у производству'!A:A,0),1))=TRUE,"НЕТ","ДА")</f>
        <v>ДА</v>
      </c>
      <c r="B210" s="4">
        <v>209</v>
      </c>
      <c r="C210" s="4" t="s">
        <v>280</v>
      </c>
      <c r="D210" s="4" t="s">
        <v>1611</v>
      </c>
      <c r="E210" s="8" t="s">
        <v>3796</v>
      </c>
      <c r="F210" s="9" t="s">
        <v>3793</v>
      </c>
    </row>
    <row r="211" spans="1:6" ht="30.75" thickBot="1">
      <c r="A211" t="str">
        <f>IF(ISNA(INDEX('ID относящиеся у производству'!A:A,MATCH(B211,'ID относящиеся у производству'!A:A,0),1))=TRUE,"НЕТ","ДА")</f>
        <v>ДА</v>
      </c>
      <c r="B211" s="4">
        <v>210</v>
      </c>
      <c r="C211" s="4" t="s">
        <v>239</v>
      </c>
      <c r="D211" s="4" t="s">
        <v>1611</v>
      </c>
      <c r="E211" s="8" t="s">
        <v>3795</v>
      </c>
      <c r="F211" s="9" t="s">
        <v>3793</v>
      </c>
    </row>
    <row r="212" spans="1:6" ht="30.75" thickBot="1">
      <c r="A212" t="str">
        <f>IF(ISNA(INDEX('ID относящиеся у производству'!A:A,MATCH(B212,'ID относящиеся у производству'!A:A,0),1))=TRUE,"НЕТ","ДА")</f>
        <v>ДА</v>
      </c>
      <c r="B212" s="4">
        <v>211</v>
      </c>
      <c r="C212" s="4" t="s">
        <v>39</v>
      </c>
      <c r="D212" s="4" t="s">
        <v>964</v>
      </c>
      <c r="E212" s="8" t="s">
        <v>3792</v>
      </c>
      <c r="F212" s="9" t="s">
        <v>3793</v>
      </c>
    </row>
    <row r="213" spans="1:6" ht="75.75" hidden="1" thickBot="1">
      <c r="A213" t="str">
        <f>IF(ISNA(INDEX('ID относящиеся у производству'!A:A,MATCH(B213,'ID относящиеся у производству'!A:A,0),1))=TRUE,"НЕТ","ДА")</f>
        <v>НЕТ</v>
      </c>
      <c r="B213" s="4">
        <v>212</v>
      </c>
      <c r="C213" s="4" t="s">
        <v>458</v>
      </c>
      <c r="D213" s="4" t="s">
        <v>1822</v>
      </c>
    </row>
    <row r="214" spans="1:6" ht="45.75" hidden="1" thickBot="1">
      <c r="A214" t="str">
        <f>IF(ISNA(INDEX('ID относящиеся у производству'!A:A,MATCH(B214,'ID относящиеся у производству'!A:A,0),1))=TRUE,"НЕТ","ДА")</f>
        <v>НЕТ</v>
      </c>
      <c r="B214" s="4">
        <v>213</v>
      </c>
      <c r="C214" s="4" t="s">
        <v>116</v>
      </c>
      <c r="D214" s="4" t="s">
        <v>117</v>
      </c>
    </row>
    <row r="215" spans="1:6" ht="90.75" hidden="1" thickBot="1">
      <c r="A215" t="str">
        <f>IF(ISNA(INDEX('ID относящиеся у производству'!A:A,MATCH(B215,'ID относящиеся у производству'!A:A,0),1))=TRUE,"НЕТ","ДА")</f>
        <v>НЕТ</v>
      </c>
      <c r="B215" s="4">
        <v>214</v>
      </c>
      <c r="C215" s="4" t="s">
        <v>454</v>
      </c>
      <c r="D215" s="4" t="s">
        <v>852</v>
      </c>
    </row>
    <row r="216" spans="1:6" ht="45.75" hidden="1" thickBot="1">
      <c r="A216" t="str">
        <f>IF(ISNA(INDEX('ID относящиеся у производству'!A:A,MATCH(B216,'ID относящиеся у производству'!A:A,0),1))=TRUE,"НЕТ","ДА")</f>
        <v>НЕТ</v>
      </c>
      <c r="B216" s="4">
        <v>215</v>
      </c>
      <c r="C216" s="4" t="s">
        <v>280</v>
      </c>
      <c r="D216" s="4" t="s">
        <v>1913</v>
      </c>
    </row>
    <row r="217" spans="1:6" ht="30.75" hidden="1" thickBot="1">
      <c r="A217" t="str">
        <f>IF(ISNA(INDEX('ID относящиеся у производству'!A:A,MATCH(B217,'ID относящиеся у производству'!A:A,0),1))=TRUE,"НЕТ","ДА")</f>
        <v>НЕТ</v>
      </c>
      <c r="B217" s="4">
        <v>216</v>
      </c>
      <c r="C217" s="4" t="s">
        <v>1918</v>
      </c>
      <c r="D217" s="4" t="s">
        <v>1919</v>
      </c>
    </row>
    <row r="218" spans="1:6" ht="45.75" hidden="1" thickBot="1">
      <c r="A218" t="str">
        <f>IF(ISNA(INDEX('ID относящиеся у производству'!A:A,MATCH(B218,'ID относящиеся у производству'!A:A,0),1))=TRUE,"НЕТ","ДА")</f>
        <v>НЕТ</v>
      </c>
      <c r="B218" s="4">
        <v>217</v>
      </c>
      <c r="C218" s="4" t="s">
        <v>1268</v>
      </c>
      <c r="D218" s="4" t="s">
        <v>1269</v>
      </c>
    </row>
    <row r="219" spans="1:6" ht="30.75" hidden="1" thickBot="1">
      <c r="A219" t="str">
        <f>IF(ISNA(INDEX('ID относящиеся у производству'!A:A,MATCH(B219,'ID относящиеся у производству'!A:A,0),1))=TRUE,"НЕТ","ДА")</f>
        <v>НЕТ</v>
      </c>
      <c r="B219" s="4">
        <v>218</v>
      </c>
      <c r="C219" s="4" t="s">
        <v>67</v>
      </c>
      <c r="D219" s="4" t="s">
        <v>929</v>
      </c>
    </row>
    <row r="220" spans="1:6" ht="45.75" hidden="1" thickBot="1">
      <c r="A220" t="str">
        <f>IF(ISNA(INDEX('ID относящиеся у производству'!A:A,MATCH(B220,'ID относящиеся у производству'!A:A,0),1))=TRUE,"НЕТ","ДА")</f>
        <v>НЕТ</v>
      </c>
      <c r="B220" s="4">
        <v>219</v>
      </c>
      <c r="C220" s="4" t="s">
        <v>652</v>
      </c>
      <c r="D220" s="4" t="s">
        <v>558</v>
      </c>
    </row>
    <row r="221" spans="1:6" ht="60.75" hidden="1" thickBot="1">
      <c r="A221" t="str">
        <f>IF(ISNA(INDEX('ID относящиеся у производству'!A:A,MATCH(B221,'ID относящиеся у производству'!A:A,0),1))=TRUE,"НЕТ","ДА")</f>
        <v>НЕТ</v>
      </c>
      <c r="B221" s="4">
        <v>220</v>
      </c>
      <c r="C221" s="4" t="s">
        <v>454</v>
      </c>
      <c r="D221" s="4" t="s">
        <v>455</v>
      </c>
    </row>
    <row r="222" spans="1:6" ht="30.75" thickBot="1">
      <c r="A222" t="str">
        <f>IF(ISNA(INDEX('ID относящиеся у производству'!A:A,MATCH(B222,'ID относящиеся у производству'!A:A,0),1))=TRUE,"НЕТ","ДА")</f>
        <v>ДА</v>
      </c>
      <c r="B222" s="4">
        <v>221</v>
      </c>
      <c r="C222" s="4" t="s">
        <v>193</v>
      </c>
      <c r="D222" s="4" t="s">
        <v>506</v>
      </c>
      <c r="E222" s="8" t="s">
        <v>3794</v>
      </c>
      <c r="F222" s="9" t="s">
        <v>3793</v>
      </c>
    </row>
    <row r="223" spans="1:6" ht="30.75" thickBot="1">
      <c r="A223" t="str">
        <f>IF(ISNA(INDEX('ID относящиеся у производству'!A:A,MATCH(B223,'ID относящиеся у производству'!A:A,0),1))=TRUE,"НЕТ","ДА")</f>
        <v>ДА</v>
      </c>
      <c r="B223" s="4">
        <v>222</v>
      </c>
      <c r="C223" s="4" t="s">
        <v>239</v>
      </c>
      <c r="D223" s="4" t="s">
        <v>1611</v>
      </c>
      <c r="E223" s="8" t="s">
        <v>3795</v>
      </c>
      <c r="F223" s="9" t="s">
        <v>3793</v>
      </c>
    </row>
    <row r="224" spans="1:6" ht="60.75" hidden="1" thickBot="1">
      <c r="A224" t="str">
        <f>IF(ISNA(INDEX('ID относящиеся у производству'!A:A,MATCH(B224,'ID относящиеся у производству'!A:A,0),1))=TRUE,"НЕТ","ДА")</f>
        <v>НЕТ</v>
      </c>
      <c r="B224" s="4">
        <v>223</v>
      </c>
      <c r="C224" s="4" t="s">
        <v>44</v>
      </c>
      <c r="D224" s="4" t="s">
        <v>808</v>
      </c>
    </row>
    <row r="225" spans="1:6" ht="60.75" hidden="1" thickBot="1">
      <c r="A225" t="str">
        <f>IF(ISNA(INDEX('ID относящиеся у производству'!A:A,MATCH(B225,'ID относящиеся у производству'!A:A,0),1))=TRUE,"НЕТ","ДА")</f>
        <v>НЕТ</v>
      </c>
      <c r="B225" s="4">
        <v>224</v>
      </c>
      <c r="C225" s="4" t="s">
        <v>67</v>
      </c>
      <c r="D225" s="4" t="s">
        <v>99</v>
      </c>
    </row>
    <row r="226" spans="1:6" ht="30.75" thickBot="1">
      <c r="A226" t="str">
        <f>IF(ISNA(INDEX('ID относящиеся у производству'!A:A,MATCH(B226,'ID относящиеся у производству'!A:A,0),1))=TRUE,"НЕТ","ДА")</f>
        <v>ДА</v>
      </c>
      <c r="B226" s="4">
        <v>225</v>
      </c>
      <c r="C226" s="4" t="s">
        <v>1950</v>
      </c>
      <c r="D226" s="4" t="s">
        <v>285</v>
      </c>
      <c r="E226" s="10" t="s">
        <v>3799</v>
      </c>
      <c r="F226" s="9" t="s">
        <v>3793</v>
      </c>
    </row>
    <row r="227" spans="1:6" ht="30.75" hidden="1" thickBot="1">
      <c r="A227" t="str">
        <f>IF(ISNA(INDEX('ID относящиеся у производству'!A:A,MATCH(B227,'ID относящиеся у производству'!A:A,0),1))=TRUE,"НЕТ","ДА")</f>
        <v>НЕТ</v>
      </c>
      <c r="B227" s="4">
        <v>226</v>
      </c>
      <c r="C227" s="4" t="s">
        <v>385</v>
      </c>
      <c r="D227" s="4" t="s">
        <v>1640</v>
      </c>
    </row>
    <row r="228" spans="1:6" ht="75.75" hidden="1" thickBot="1">
      <c r="A228" t="str">
        <f>IF(ISNA(INDEX('ID относящиеся у производству'!A:A,MATCH(B228,'ID относящиеся у производству'!A:A,0),1))=TRUE,"НЕТ","ДА")</f>
        <v>НЕТ</v>
      </c>
      <c r="B228" s="4">
        <v>227</v>
      </c>
      <c r="C228" s="4" t="s">
        <v>454</v>
      </c>
      <c r="D228" s="4" t="s">
        <v>1976</v>
      </c>
    </row>
    <row r="229" spans="1:6" ht="45.75" hidden="1" thickBot="1">
      <c r="A229" t="str">
        <f>IF(ISNA(INDEX('ID относящиеся у производству'!A:A,MATCH(B229,'ID относящиеся у производству'!A:A,0),1))=TRUE,"НЕТ","ДА")</f>
        <v>НЕТ</v>
      </c>
      <c r="B229" s="4">
        <v>228</v>
      </c>
      <c r="C229" s="4" t="s">
        <v>67</v>
      </c>
      <c r="D229" s="4" t="s">
        <v>436</v>
      </c>
    </row>
    <row r="230" spans="1:6" ht="45.75" hidden="1" thickBot="1">
      <c r="A230" t="str">
        <f>IF(ISNA(INDEX('ID относящиеся у производству'!A:A,MATCH(B230,'ID относящиеся у производству'!A:A,0),1))=TRUE,"НЕТ","ДА")</f>
        <v>НЕТ</v>
      </c>
      <c r="B230" s="4">
        <v>229</v>
      </c>
      <c r="C230" s="4" t="s">
        <v>84</v>
      </c>
      <c r="D230" s="4" t="s">
        <v>85</v>
      </c>
    </row>
    <row r="231" spans="1:6" ht="45.75" hidden="1" thickBot="1">
      <c r="A231" t="str">
        <f>IF(ISNA(INDEX('ID относящиеся у производству'!A:A,MATCH(B231,'ID относящиеся у производству'!A:A,0),1))=TRUE,"НЕТ","ДА")</f>
        <v>НЕТ</v>
      </c>
      <c r="B231" s="4">
        <v>230</v>
      </c>
      <c r="C231" s="4" t="s">
        <v>116</v>
      </c>
      <c r="D231" s="4" t="s">
        <v>436</v>
      </c>
    </row>
    <row r="232" spans="1:6" ht="45.75" thickBot="1">
      <c r="A232" t="str">
        <f>IF(ISNA(INDEX('ID относящиеся у производству'!A:A,MATCH(B232,'ID относящиеся у производству'!A:A,0),1))=TRUE,"НЕТ","ДА")</f>
        <v>ДА</v>
      </c>
      <c r="B232" s="4">
        <v>231</v>
      </c>
      <c r="C232" s="4" t="s">
        <v>193</v>
      </c>
      <c r="D232" s="4" t="s">
        <v>2006</v>
      </c>
      <c r="E232" s="8" t="s">
        <v>3794</v>
      </c>
      <c r="F232" s="9" t="s">
        <v>3793</v>
      </c>
    </row>
    <row r="233" spans="1:6" ht="30.75" thickBot="1">
      <c r="A233" t="str">
        <f>IF(ISNA(INDEX('ID относящиеся у производству'!A:A,MATCH(B233,'ID относящиеся у производству'!A:A,0),1))=TRUE,"НЕТ","ДА")</f>
        <v>ДА</v>
      </c>
      <c r="B233" s="4">
        <v>232</v>
      </c>
      <c r="C233" s="4" t="s">
        <v>193</v>
      </c>
      <c r="D233" s="4" t="s">
        <v>2007</v>
      </c>
      <c r="E233" s="8" t="s">
        <v>3794</v>
      </c>
      <c r="F233" s="9" t="s">
        <v>3793</v>
      </c>
    </row>
    <row r="234" spans="1:6" ht="30.75" hidden="1" thickBot="1">
      <c r="A234" t="str">
        <f>IF(ISNA(INDEX('ID относящиеся у производству'!A:A,MATCH(B234,'ID относящиеся у производству'!A:A,0),1))=TRUE,"НЕТ","ДА")</f>
        <v>НЕТ</v>
      </c>
      <c r="B234" s="4">
        <v>233</v>
      </c>
      <c r="C234" s="4" t="s">
        <v>217</v>
      </c>
      <c r="D234" s="4" t="s">
        <v>158</v>
      </c>
    </row>
    <row r="235" spans="1:6" ht="60.75" hidden="1" thickBot="1">
      <c r="A235" t="str">
        <f>IF(ISNA(INDEX('ID относящиеся у производству'!A:A,MATCH(B235,'ID относящиеся у производству'!A:A,0),1))=TRUE,"НЕТ","ДА")</f>
        <v>НЕТ</v>
      </c>
      <c r="B235" s="4">
        <v>234</v>
      </c>
      <c r="C235" s="4" t="s">
        <v>316</v>
      </c>
      <c r="D235" s="4" t="s">
        <v>349</v>
      </c>
    </row>
    <row r="236" spans="1:6" ht="60.75" hidden="1" thickBot="1">
      <c r="A236" t="str">
        <f>IF(ISNA(INDEX('ID относящиеся у производству'!A:A,MATCH(B236,'ID относящиеся у производству'!A:A,0),1))=TRUE,"НЕТ","ДА")</f>
        <v>НЕТ</v>
      </c>
      <c r="B236" s="4">
        <v>235</v>
      </c>
      <c r="C236" s="4" t="s">
        <v>454</v>
      </c>
      <c r="D236" s="4" t="s">
        <v>455</v>
      </c>
    </row>
    <row r="237" spans="1:6" ht="30.75" thickBot="1">
      <c r="A237" t="str">
        <f>IF(ISNA(INDEX('ID относящиеся у производству'!A:A,MATCH(B237,'ID относящиеся у производству'!A:A,0),1))=TRUE,"НЕТ","ДА")</f>
        <v>ДА</v>
      </c>
      <c r="B237" s="4">
        <v>236</v>
      </c>
      <c r="C237" s="4" t="s">
        <v>39</v>
      </c>
      <c r="D237" s="4" t="s">
        <v>1442</v>
      </c>
      <c r="E237" s="8" t="s">
        <v>3792</v>
      </c>
      <c r="F237" s="9" t="s">
        <v>3793</v>
      </c>
    </row>
    <row r="238" spans="1:6" ht="30.75" thickBot="1">
      <c r="A238" t="str">
        <f>IF(ISNA(INDEX('ID относящиеся у производству'!A:A,MATCH(B238,'ID относящиеся у производству'!A:A,0),1))=TRUE,"НЕТ","ДА")</f>
        <v>ДА</v>
      </c>
      <c r="B238" s="4">
        <v>237</v>
      </c>
      <c r="C238" s="4" t="s">
        <v>280</v>
      </c>
      <c r="D238" s="4" t="s">
        <v>1700</v>
      </c>
      <c r="E238" s="8" t="s">
        <v>3796</v>
      </c>
      <c r="F238" s="9" t="s">
        <v>3793</v>
      </c>
    </row>
    <row r="239" spans="1:6" ht="30.75" thickBot="1">
      <c r="A239" t="str">
        <f>IF(ISNA(INDEX('ID относящиеся у производству'!A:A,MATCH(B239,'ID относящиеся у производству'!A:A,0),1))=TRUE,"НЕТ","ДА")</f>
        <v>ДА</v>
      </c>
      <c r="B239" s="4">
        <v>238</v>
      </c>
      <c r="C239" s="4" t="s">
        <v>44</v>
      </c>
      <c r="D239" s="4" t="s">
        <v>506</v>
      </c>
      <c r="E239" s="8" t="s">
        <v>3800</v>
      </c>
      <c r="F239" s="9" t="s">
        <v>3793</v>
      </c>
    </row>
    <row r="240" spans="1:6" ht="45.75" hidden="1" thickBot="1">
      <c r="A240" t="str">
        <f>IF(ISNA(INDEX('ID относящиеся у производству'!A:A,MATCH(B240,'ID относящиеся у производству'!A:A,0),1))=TRUE,"НЕТ","ДА")</f>
        <v>НЕТ</v>
      </c>
      <c r="B240" s="4">
        <v>239</v>
      </c>
      <c r="C240" s="4" t="s">
        <v>67</v>
      </c>
      <c r="D240" s="4" t="s">
        <v>85</v>
      </c>
    </row>
    <row r="241" spans="1:6" ht="30.75" thickBot="1">
      <c r="A241" t="str">
        <f>IF(ISNA(INDEX('ID относящиеся у производству'!A:A,MATCH(B241,'ID относящиеся у производству'!A:A,0),1))=TRUE,"НЕТ","ДА")</f>
        <v>ДА</v>
      </c>
      <c r="B241" s="4">
        <v>240</v>
      </c>
      <c r="C241" s="4" t="s">
        <v>44</v>
      </c>
      <c r="D241" s="4" t="s">
        <v>45</v>
      </c>
      <c r="E241" s="8" t="s">
        <v>3800</v>
      </c>
      <c r="F241" s="9" t="s">
        <v>3793</v>
      </c>
    </row>
    <row r="242" spans="1:6" ht="30.75" thickBot="1">
      <c r="A242" t="str">
        <f>IF(ISNA(INDEX('ID относящиеся у производству'!A:A,MATCH(B242,'ID относящиеся у производству'!A:A,0),1))=TRUE,"НЕТ","ДА")</f>
        <v>ДА</v>
      </c>
      <c r="B242" s="4">
        <v>241</v>
      </c>
      <c r="C242" s="4" t="s">
        <v>39</v>
      </c>
      <c r="D242" s="4" t="s">
        <v>194</v>
      </c>
      <c r="E242" s="8" t="s">
        <v>3792</v>
      </c>
      <c r="F242" s="9" t="s">
        <v>3793</v>
      </c>
    </row>
    <row r="243" spans="1:6" ht="30.75" thickBot="1">
      <c r="A243" t="str">
        <f>IF(ISNA(INDEX('ID относящиеся у производству'!A:A,MATCH(B243,'ID относящиеся у производству'!A:A,0),1))=TRUE,"НЕТ","ДА")</f>
        <v>ДА</v>
      </c>
      <c r="B243" s="4">
        <v>242</v>
      </c>
      <c r="C243" s="4" t="s">
        <v>39</v>
      </c>
      <c r="D243" s="4" t="s">
        <v>2075</v>
      </c>
      <c r="E243" s="8" t="s">
        <v>3792</v>
      </c>
      <c r="F243" s="9" t="s">
        <v>3793</v>
      </c>
    </row>
    <row r="244" spans="1:6" ht="30.75" hidden="1" thickBot="1">
      <c r="A244" t="str">
        <f>IF(ISNA(INDEX('ID относящиеся у производству'!A:A,MATCH(B244,'ID относящиеся у производству'!A:A,0),1))=TRUE,"НЕТ","ДА")</f>
        <v>НЕТ</v>
      </c>
      <c r="B244" s="4">
        <v>243</v>
      </c>
      <c r="C244" s="4" t="s">
        <v>84</v>
      </c>
      <c r="D244" s="4" t="s">
        <v>1381</v>
      </c>
    </row>
    <row r="245" spans="1:6" ht="75.75" hidden="1" thickBot="1">
      <c r="A245" t="str">
        <f>IF(ISNA(INDEX('ID относящиеся у производству'!A:A,MATCH(B245,'ID относящиеся у производству'!A:A,0),1))=TRUE,"НЕТ","ДА")</f>
        <v>НЕТ</v>
      </c>
      <c r="B245" s="4">
        <v>244</v>
      </c>
      <c r="C245" s="4" t="s">
        <v>458</v>
      </c>
      <c r="D245" s="4" t="s">
        <v>1004</v>
      </c>
    </row>
    <row r="246" spans="1:6" ht="30.75" hidden="1" thickBot="1">
      <c r="A246" t="str">
        <f>IF(ISNA(INDEX('ID относящиеся у производству'!A:A,MATCH(B246,'ID относящиеся у производству'!A:A,0),1))=TRUE,"НЕТ","ДА")</f>
        <v>НЕТ</v>
      </c>
      <c r="B246" s="4">
        <v>245</v>
      </c>
      <c r="C246" s="4" t="s">
        <v>153</v>
      </c>
      <c r="D246" s="4" t="s">
        <v>205</v>
      </c>
    </row>
    <row r="247" spans="1:6" ht="75.75" hidden="1" thickBot="1">
      <c r="A247" t="str">
        <f>IF(ISNA(INDEX('ID относящиеся у производству'!A:A,MATCH(B247,'ID относящиеся у производству'!A:A,0),1))=TRUE,"НЕТ","ДА")</f>
        <v>НЕТ</v>
      </c>
      <c r="B247" s="4">
        <v>246</v>
      </c>
      <c r="C247" s="4" t="s">
        <v>67</v>
      </c>
      <c r="D247" s="4" t="s">
        <v>2080</v>
      </c>
    </row>
    <row r="248" spans="1:6" ht="75.75" hidden="1" thickBot="1">
      <c r="A248" t="str">
        <f>IF(ISNA(INDEX('ID относящиеся у производству'!A:A,MATCH(B248,'ID относящиеся у производству'!A:A,0),1))=TRUE,"НЕТ","ДА")</f>
        <v>НЕТ</v>
      </c>
      <c r="B248" s="4">
        <v>247</v>
      </c>
      <c r="C248" s="4" t="s">
        <v>454</v>
      </c>
      <c r="D248" s="4" t="s">
        <v>2086</v>
      </c>
    </row>
    <row r="249" spans="1:6" ht="45.75" thickBot="1">
      <c r="A249" t="str">
        <f>IF(ISNA(INDEX('ID относящиеся у производству'!A:A,MATCH(B249,'ID относящиеся у производству'!A:A,0),1))=TRUE,"НЕТ","ДА")</f>
        <v>ДА</v>
      </c>
      <c r="B249" s="4">
        <v>248</v>
      </c>
      <c r="C249" s="4" t="s">
        <v>280</v>
      </c>
      <c r="D249" s="4" t="s">
        <v>1504</v>
      </c>
      <c r="E249" s="8" t="s">
        <v>3796</v>
      </c>
      <c r="F249" s="9" t="s">
        <v>3793</v>
      </c>
    </row>
    <row r="250" spans="1:6" ht="30.75" thickBot="1">
      <c r="A250" t="str">
        <f>IF(ISNA(INDEX('ID относящиеся у производству'!A:A,MATCH(B250,'ID относящиеся у производству'!A:A,0),1))=TRUE,"НЕТ","ДА")</f>
        <v>ДА</v>
      </c>
      <c r="B250" s="4">
        <v>249</v>
      </c>
      <c r="C250" s="4" t="s">
        <v>39</v>
      </c>
      <c r="D250" s="4" t="s">
        <v>1450</v>
      </c>
      <c r="E250" s="8" t="s">
        <v>3792</v>
      </c>
      <c r="F250" s="9" t="s">
        <v>3793</v>
      </c>
    </row>
    <row r="251" spans="1:6" ht="45.75" hidden="1" thickBot="1">
      <c r="A251" t="str">
        <f>IF(ISNA(INDEX('ID относящиеся у производству'!A:A,MATCH(B251,'ID относящиеся у производству'!A:A,0),1))=TRUE,"НЕТ","ДА")</f>
        <v>НЕТ</v>
      </c>
      <c r="B251" s="4">
        <v>250</v>
      </c>
      <c r="C251" s="4" t="s">
        <v>724</v>
      </c>
      <c r="D251" s="4" t="s">
        <v>725</v>
      </c>
    </row>
    <row r="252" spans="1:6" ht="30.75" hidden="1" thickBot="1">
      <c r="A252" t="str">
        <f>IF(ISNA(INDEX('ID относящиеся у производству'!A:A,MATCH(B252,'ID относящиеся у производству'!A:A,0),1))=TRUE,"НЕТ","ДА")</f>
        <v>НЕТ</v>
      </c>
      <c r="B252" s="4">
        <v>251</v>
      </c>
      <c r="C252" s="4" t="s">
        <v>385</v>
      </c>
      <c r="D252" s="4" t="s">
        <v>1074</v>
      </c>
    </row>
    <row r="253" spans="1:6" ht="30.75" thickBot="1">
      <c r="A253" t="str">
        <f>IF(ISNA(INDEX('ID относящиеся у производству'!A:A,MATCH(B253,'ID относящиеся у производству'!A:A,0),1))=TRUE,"НЕТ","ДА")</f>
        <v>ДА</v>
      </c>
      <c r="B253" s="4">
        <v>252</v>
      </c>
      <c r="C253" s="4" t="s">
        <v>39</v>
      </c>
      <c r="D253" s="4" t="s">
        <v>1151</v>
      </c>
      <c r="E253" s="8" t="s">
        <v>3792</v>
      </c>
      <c r="F253" s="9" t="s">
        <v>3793</v>
      </c>
    </row>
    <row r="254" spans="1:6" ht="45.75" hidden="1" thickBot="1">
      <c r="A254" t="str">
        <f>IF(ISNA(INDEX('ID относящиеся у производству'!A:A,MATCH(B254,'ID относящиеся у производству'!A:A,0),1))=TRUE,"НЕТ","ДА")</f>
        <v>НЕТ</v>
      </c>
      <c r="B254" s="4">
        <v>253</v>
      </c>
      <c r="C254" s="4" t="s">
        <v>1915</v>
      </c>
      <c r="D254" s="4" t="s">
        <v>1913</v>
      </c>
    </row>
    <row r="255" spans="1:6" ht="45.75" hidden="1" thickBot="1">
      <c r="A255" t="str">
        <f>IF(ISNA(INDEX('ID относящиеся у производству'!A:A,MATCH(B255,'ID относящиеся у производству'!A:A,0),1))=TRUE,"НЕТ","ДА")</f>
        <v>НЕТ</v>
      </c>
      <c r="B255" s="4">
        <v>254</v>
      </c>
      <c r="C255" s="4" t="s">
        <v>2114</v>
      </c>
      <c r="D255" s="4" t="s">
        <v>1659</v>
      </c>
    </row>
    <row r="256" spans="1:6" ht="30.75" hidden="1" thickBot="1">
      <c r="A256" t="str">
        <f>IF(ISNA(INDEX('ID относящиеся у производству'!A:A,MATCH(B256,'ID относящиеся у производству'!A:A,0),1))=TRUE,"НЕТ","ДА")</f>
        <v>НЕТ</v>
      </c>
      <c r="B256" s="4">
        <v>255</v>
      </c>
      <c r="C256" s="4" t="s">
        <v>385</v>
      </c>
      <c r="D256" s="4" t="s">
        <v>1540</v>
      </c>
    </row>
    <row r="257" spans="1:6" ht="30.75" thickBot="1">
      <c r="A257" t="str">
        <f>IF(ISNA(INDEX('ID относящиеся у производству'!A:A,MATCH(B257,'ID относящиеся у производству'!A:A,0),1))=TRUE,"НЕТ","ДА")</f>
        <v>ДА</v>
      </c>
      <c r="B257" s="4">
        <v>256</v>
      </c>
      <c r="C257" s="4" t="s">
        <v>1670</v>
      </c>
      <c r="D257" s="4" t="s">
        <v>45</v>
      </c>
      <c r="E257" s="8" t="s">
        <v>3798</v>
      </c>
      <c r="F257" s="9" t="s">
        <v>3793</v>
      </c>
    </row>
    <row r="258" spans="1:6" ht="75.75" hidden="1" thickBot="1">
      <c r="A258" t="str">
        <f>IF(ISNA(INDEX('ID относящиеся у производству'!A:A,MATCH(B258,'ID относящиеся у производству'!A:A,0),1))=TRUE,"НЕТ","ДА")</f>
        <v>НЕТ</v>
      </c>
      <c r="B258" s="4">
        <v>257</v>
      </c>
      <c r="C258" s="4" t="s">
        <v>454</v>
      </c>
      <c r="D258" s="4" t="s">
        <v>1822</v>
      </c>
    </row>
    <row r="259" spans="1:6" ht="30.75" hidden="1" thickBot="1">
      <c r="A259" t="str">
        <f>IF(ISNA(INDEX('ID относящиеся у производству'!A:A,MATCH(B259,'ID относящиеся у производству'!A:A,0),1))=TRUE,"НЕТ","ДА")</f>
        <v>НЕТ</v>
      </c>
      <c r="B259" s="4">
        <v>258</v>
      </c>
      <c r="C259" s="4" t="s">
        <v>385</v>
      </c>
      <c r="D259" s="4" t="s">
        <v>1362</v>
      </c>
    </row>
    <row r="260" spans="1:6" ht="30.75" hidden="1" thickBot="1">
      <c r="A260" t="str">
        <f>IF(ISNA(INDEX('ID относящиеся у производству'!A:A,MATCH(B260,'ID относящиеся у производству'!A:A,0),1))=TRUE,"НЕТ","ДА")</f>
        <v>НЕТ</v>
      </c>
      <c r="B260" s="4">
        <v>259</v>
      </c>
      <c r="C260" s="4" t="s">
        <v>247</v>
      </c>
      <c r="D260" s="4" t="s">
        <v>158</v>
      </c>
    </row>
    <row r="261" spans="1:6" ht="30.75" hidden="1" thickBot="1">
      <c r="A261" t="str">
        <f>IF(ISNA(INDEX('ID относящиеся у производству'!A:A,MATCH(B261,'ID относящиеся у производству'!A:A,0),1))=TRUE,"НЕТ","ДА")</f>
        <v>НЕТ</v>
      </c>
      <c r="B261" s="4">
        <v>260</v>
      </c>
      <c r="C261" s="4" t="s">
        <v>2161</v>
      </c>
      <c r="D261" s="4" t="s">
        <v>417</v>
      </c>
    </row>
    <row r="262" spans="1:6" ht="30.75" hidden="1" thickBot="1">
      <c r="A262" t="str">
        <f>IF(ISNA(INDEX('ID относящиеся у производству'!A:A,MATCH(B262,'ID относящиеся у производству'!A:A,0),1))=TRUE,"НЕТ","ДА")</f>
        <v>НЕТ</v>
      </c>
      <c r="B262" s="4">
        <v>261</v>
      </c>
      <c r="C262" s="4" t="s">
        <v>153</v>
      </c>
      <c r="D262" s="4" t="s">
        <v>435</v>
      </c>
    </row>
    <row r="263" spans="1:6" ht="60.75" hidden="1" thickBot="1">
      <c r="A263" t="str">
        <f>IF(ISNA(INDEX('ID относящиеся у производству'!A:A,MATCH(B263,'ID относящиеся у производству'!A:A,0),1))=TRUE,"НЕТ","ДА")</f>
        <v>НЕТ</v>
      </c>
      <c r="B263" s="4">
        <v>262</v>
      </c>
      <c r="C263" s="4" t="s">
        <v>454</v>
      </c>
      <c r="D263" s="4" t="s">
        <v>455</v>
      </c>
    </row>
    <row r="264" spans="1:6" ht="30.75" thickBot="1">
      <c r="A264" t="str">
        <f>IF(ISNA(INDEX('ID относящиеся у производству'!A:A,MATCH(B264,'ID относящиеся у производству'!A:A,0),1))=TRUE,"НЕТ","ДА")</f>
        <v>ДА</v>
      </c>
      <c r="B264" s="4">
        <v>263</v>
      </c>
      <c r="C264" s="4" t="s">
        <v>39</v>
      </c>
      <c r="D264" s="4" t="s">
        <v>2176</v>
      </c>
      <c r="E264" s="8" t="s">
        <v>3792</v>
      </c>
      <c r="F264" s="9" t="s">
        <v>3793</v>
      </c>
    </row>
    <row r="265" spans="1:6" ht="30.75" hidden="1" thickBot="1">
      <c r="A265" t="str">
        <f>IF(ISNA(INDEX('ID относящиеся у производству'!A:A,MATCH(B265,'ID относящиеся у производству'!A:A,0),1))=TRUE,"НЕТ","ДА")</f>
        <v>НЕТ</v>
      </c>
      <c r="B265" s="4">
        <v>264</v>
      </c>
      <c r="C265" s="4" t="s">
        <v>613</v>
      </c>
      <c r="D265" s="4" t="s">
        <v>614</v>
      </c>
    </row>
    <row r="266" spans="1:6" ht="30.75" hidden="1" thickBot="1">
      <c r="A266" t="str">
        <f>IF(ISNA(INDEX('ID относящиеся у производству'!A:A,MATCH(B266,'ID относящиеся у производству'!A:A,0),1))=TRUE,"НЕТ","ДА")</f>
        <v>НЕТ</v>
      </c>
      <c r="B266" s="4">
        <v>265</v>
      </c>
      <c r="C266" s="4" t="s">
        <v>88</v>
      </c>
      <c r="D266" s="4" t="s">
        <v>2180</v>
      </c>
    </row>
    <row r="267" spans="1:6" ht="60.75" hidden="1" thickBot="1">
      <c r="A267" t="str">
        <f>IF(ISNA(INDEX('ID относящиеся у производству'!A:A,MATCH(B267,'ID относящиеся у производству'!A:A,0),1))=TRUE,"НЕТ","ДА")</f>
        <v>НЕТ</v>
      </c>
      <c r="B267" s="4">
        <v>266</v>
      </c>
      <c r="C267" s="4" t="s">
        <v>348</v>
      </c>
      <c r="D267" s="4" t="s">
        <v>1203</v>
      </c>
    </row>
    <row r="268" spans="1:6" ht="60.75" hidden="1" thickBot="1">
      <c r="A268" t="str">
        <f>IF(ISNA(INDEX('ID относящиеся у производству'!A:A,MATCH(B268,'ID относящиеся у производству'!A:A,0),1))=TRUE,"НЕТ","ДА")</f>
        <v>НЕТ</v>
      </c>
      <c r="B268" s="4">
        <v>267</v>
      </c>
      <c r="C268" s="4" t="s">
        <v>348</v>
      </c>
      <c r="D268" s="4" t="s">
        <v>820</v>
      </c>
    </row>
    <row r="269" spans="1:6" ht="60.75" hidden="1" thickBot="1">
      <c r="A269" t="str">
        <f>IF(ISNA(INDEX('ID относящиеся у производству'!A:A,MATCH(B269,'ID относящиеся у производству'!A:A,0),1))=TRUE,"НЕТ","ДА")</f>
        <v>НЕТ</v>
      </c>
      <c r="B269" s="4">
        <v>268</v>
      </c>
      <c r="C269" s="4" t="s">
        <v>385</v>
      </c>
      <c r="D269" s="4" t="s">
        <v>99</v>
      </c>
    </row>
    <row r="270" spans="1:6" ht="30.75" hidden="1" thickBot="1">
      <c r="A270" t="str">
        <f>IF(ISNA(INDEX('ID относящиеся у производству'!A:A,MATCH(B270,'ID относящиеся у производству'!A:A,0),1))=TRUE,"НЕТ","ДА")</f>
        <v>НЕТ</v>
      </c>
      <c r="B270" s="4">
        <v>269</v>
      </c>
      <c r="C270" s="4" t="s">
        <v>403</v>
      </c>
      <c r="D270" s="4" t="s">
        <v>404</v>
      </c>
    </row>
    <row r="271" spans="1:6" ht="60.75" hidden="1" thickBot="1">
      <c r="A271" t="str">
        <f>IF(ISNA(INDEX('ID относящиеся у производству'!A:A,MATCH(B271,'ID относящиеся у производству'!A:A,0),1))=TRUE,"НЕТ","ДА")</f>
        <v>НЕТ</v>
      </c>
      <c r="B271" s="4">
        <v>270</v>
      </c>
      <c r="C271" s="4" t="s">
        <v>193</v>
      </c>
      <c r="D271" s="4" t="s">
        <v>808</v>
      </c>
    </row>
    <row r="272" spans="1:6" ht="30.75" hidden="1" thickBot="1">
      <c r="A272" t="str">
        <f>IF(ISNA(INDEX('ID относящиеся у производству'!A:A,MATCH(B272,'ID относящиеся у производству'!A:A,0),1))=TRUE,"НЕТ","ДА")</f>
        <v>НЕТ</v>
      </c>
      <c r="B272" s="4">
        <v>271</v>
      </c>
      <c r="C272" s="4" t="s">
        <v>2161</v>
      </c>
      <c r="D272" s="4" t="s">
        <v>417</v>
      </c>
    </row>
    <row r="273" spans="1:6" ht="30.75" hidden="1" thickBot="1">
      <c r="A273" t="str">
        <f>IF(ISNA(INDEX('ID относящиеся у производству'!A:A,MATCH(B273,'ID относящиеся у производству'!A:A,0),1))=TRUE,"НЕТ","ДА")</f>
        <v>НЕТ</v>
      </c>
      <c r="B273" s="4">
        <v>272</v>
      </c>
      <c r="C273" s="4" t="s">
        <v>2228</v>
      </c>
      <c r="D273" s="4" t="s">
        <v>2229</v>
      </c>
    </row>
    <row r="274" spans="1:6" ht="30.75" thickBot="1">
      <c r="A274" t="str">
        <f>IF(ISNA(INDEX('ID относящиеся у производству'!A:A,MATCH(B274,'ID относящиеся у производству'!A:A,0),1))=TRUE,"НЕТ","ДА")</f>
        <v>ДА</v>
      </c>
      <c r="B274" s="4">
        <v>273</v>
      </c>
      <c r="C274" s="4" t="s">
        <v>280</v>
      </c>
      <c r="D274" s="4" t="s">
        <v>2254</v>
      </c>
      <c r="E274" s="8" t="s">
        <v>3796</v>
      </c>
      <c r="F274" s="9" t="s">
        <v>3793</v>
      </c>
    </row>
    <row r="275" spans="1:6" ht="60.75" hidden="1" thickBot="1">
      <c r="A275" t="str">
        <f>IF(ISNA(INDEX('ID относящиеся у производству'!A:A,MATCH(B275,'ID относящиеся у производству'!A:A,0),1))=TRUE,"НЕТ","ДА")</f>
        <v>НЕТ</v>
      </c>
      <c r="B275" s="4">
        <v>274</v>
      </c>
      <c r="C275" s="4" t="s">
        <v>454</v>
      </c>
      <c r="D275" s="4" t="s">
        <v>455</v>
      </c>
    </row>
    <row r="276" spans="1:6" ht="75.75" hidden="1" thickBot="1">
      <c r="A276" t="str">
        <f>IF(ISNA(INDEX('ID относящиеся у производству'!A:A,MATCH(B276,'ID относящиеся у производству'!A:A,0),1))=TRUE,"НЕТ","ДА")</f>
        <v>НЕТ</v>
      </c>
      <c r="B276" s="4">
        <v>275</v>
      </c>
      <c r="C276" s="4" t="s">
        <v>454</v>
      </c>
      <c r="D276" s="4" t="s">
        <v>2256</v>
      </c>
    </row>
    <row r="277" spans="1:6" ht="60.75" thickBot="1">
      <c r="A277" t="str">
        <f>IF(ISNA(INDEX('ID относящиеся у производству'!A:A,MATCH(B277,'ID относящиеся у производству'!A:A,0),1))=TRUE,"НЕТ","ДА")</f>
        <v>ДА</v>
      </c>
      <c r="B277" s="4">
        <v>276</v>
      </c>
      <c r="C277" s="4" t="s">
        <v>239</v>
      </c>
      <c r="D277" s="4" t="s">
        <v>2257</v>
      </c>
      <c r="E277" s="8" t="s">
        <v>3795</v>
      </c>
      <c r="F277" s="9" t="s">
        <v>3793</v>
      </c>
    </row>
    <row r="278" spans="1:6" ht="75.75" hidden="1" thickBot="1">
      <c r="A278" t="str">
        <f>IF(ISNA(INDEX('ID относящиеся у производству'!A:A,MATCH(B278,'ID относящиеся у производству'!A:A,0),1))=TRUE,"НЕТ","ДА")</f>
        <v>НЕТ</v>
      </c>
      <c r="B278" s="4">
        <v>277</v>
      </c>
      <c r="C278" s="4" t="s">
        <v>454</v>
      </c>
      <c r="D278" s="4" t="s">
        <v>1144</v>
      </c>
    </row>
    <row r="279" spans="1:6" ht="30.75" hidden="1" thickBot="1">
      <c r="A279" t="str">
        <f>IF(ISNA(INDEX('ID относящиеся у производству'!A:A,MATCH(B279,'ID относящиеся у производству'!A:A,0),1))=TRUE,"НЕТ","ДА")</f>
        <v>НЕТ</v>
      </c>
      <c r="B279" s="4">
        <v>278</v>
      </c>
      <c r="C279" s="4" t="s">
        <v>247</v>
      </c>
      <c r="D279" s="4" t="s">
        <v>158</v>
      </c>
    </row>
    <row r="280" spans="1:6" ht="30.75" thickBot="1">
      <c r="A280" t="str">
        <f>IF(ISNA(INDEX('ID относящиеся у производству'!A:A,MATCH(B280,'ID относящиеся у производству'!A:A,0),1))=TRUE,"НЕТ","ДА")</f>
        <v>ДА</v>
      </c>
      <c r="B280" s="4">
        <v>279</v>
      </c>
      <c r="C280" s="4" t="s">
        <v>1950</v>
      </c>
      <c r="D280" s="4" t="s">
        <v>285</v>
      </c>
      <c r="E280" s="10" t="s">
        <v>3799</v>
      </c>
      <c r="F280" s="9" t="s">
        <v>3793</v>
      </c>
    </row>
    <row r="281" spans="1:6" ht="60.75" hidden="1" thickBot="1">
      <c r="A281" t="str">
        <f>IF(ISNA(INDEX('ID относящиеся у производству'!A:A,MATCH(B281,'ID относящиеся у производству'!A:A,0),1))=TRUE,"НЕТ","ДА")</f>
        <v>НЕТ</v>
      </c>
      <c r="B281" s="4">
        <v>280</v>
      </c>
      <c r="C281" s="4" t="s">
        <v>316</v>
      </c>
      <c r="D281" s="4" t="s">
        <v>820</v>
      </c>
    </row>
    <row r="282" spans="1:6" ht="30.75" thickBot="1">
      <c r="A282" t="str">
        <f>IF(ISNA(INDEX('ID относящиеся у производству'!A:A,MATCH(B282,'ID относящиеся у производству'!A:A,0),1))=TRUE,"НЕТ","ДА")</f>
        <v>ДА</v>
      </c>
      <c r="B282" s="4">
        <v>281</v>
      </c>
      <c r="C282" s="4" t="s">
        <v>193</v>
      </c>
      <c r="D282" s="4" t="s">
        <v>2272</v>
      </c>
      <c r="E282" s="8" t="s">
        <v>3794</v>
      </c>
      <c r="F282" s="9" t="s">
        <v>3793</v>
      </c>
    </row>
    <row r="283" spans="1:6" ht="30.75" hidden="1" thickBot="1">
      <c r="A283" t="str">
        <f>IF(ISNA(INDEX('ID относящиеся у производству'!A:A,MATCH(B283,'ID относящиеся у производству'!A:A,0),1))=TRUE,"НЕТ","ДА")</f>
        <v>НЕТ</v>
      </c>
      <c r="B283" s="4">
        <v>282</v>
      </c>
      <c r="C283" s="4" t="s">
        <v>385</v>
      </c>
      <c r="D283" s="4" t="s">
        <v>1833</v>
      </c>
    </row>
    <row r="284" spans="1:6" ht="45.75" hidden="1" thickBot="1">
      <c r="A284" t="str">
        <f>IF(ISNA(INDEX('ID относящиеся у производству'!A:A,MATCH(B284,'ID относящиеся у производству'!A:A,0),1))=TRUE,"НЕТ","ДА")</f>
        <v>НЕТ</v>
      </c>
      <c r="B284" s="4">
        <v>283</v>
      </c>
      <c r="C284" s="4" t="s">
        <v>307</v>
      </c>
      <c r="D284" s="4" t="s">
        <v>913</v>
      </c>
    </row>
    <row r="285" spans="1:6" ht="60.75" hidden="1" thickBot="1">
      <c r="A285" t="str">
        <f>IF(ISNA(INDEX('ID относящиеся у производству'!A:A,MATCH(B285,'ID относящиеся у производству'!A:A,0),1))=TRUE,"НЕТ","ДА")</f>
        <v>НЕТ</v>
      </c>
      <c r="B285" s="4">
        <v>284</v>
      </c>
      <c r="C285" s="4" t="s">
        <v>67</v>
      </c>
      <c r="D285" s="4" t="s">
        <v>99</v>
      </c>
    </row>
    <row r="286" spans="1:6" ht="15.75" hidden="1" thickBot="1">
      <c r="A286" t="str">
        <f>IF(ISNA(INDEX('ID относящиеся у производству'!A:A,MATCH(B286,'ID относящиеся у производству'!A:A,0),1))=TRUE,"НЕТ","ДА")</f>
        <v>НЕТ</v>
      </c>
      <c r="B286" s="4">
        <v>285</v>
      </c>
      <c r="C286" s="4" t="s">
        <v>307</v>
      </c>
      <c r="D286" s="4" t="s">
        <v>990</v>
      </c>
    </row>
    <row r="287" spans="1:6" ht="30.75" thickBot="1">
      <c r="A287" t="str">
        <f>IF(ISNA(INDEX('ID относящиеся у производству'!A:A,MATCH(B287,'ID относящиеся у производству'!A:A,0),1))=TRUE,"НЕТ","ДА")</f>
        <v>ДА</v>
      </c>
      <c r="B287" s="4">
        <v>286</v>
      </c>
      <c r="C287" s="4" t="s">
        <v>44</v>
      </c>
      <c r="D287" s="4" t="s">
        <v>578</v>
      </c>
      <c r="E287" s="8" t="s">
        <v>3800</v>
      </c>
      <c r="F287" s="9" t="s">
        <v>3793</v>
      </c>
    </row>
    <row r="288" spans="1:6" ht="45.75" hidden="1" thickBot="1">
      <c r="A288" t="str">
        <f>IF(ISNA(INDEX('ID относящиеся у производству'!A:A,MATCH(B288,'ID относящиеся у производству'!A:A,0),1))=TRUE,"НЕТ","ДА")</f>
        <v>НЕТ</v>
      </c>
      <c r="B288" s="4">
        <v>287</v>
      </c>
      <c r="C288" s="4" t="s">
        <v>724</v>
      </c>
      <c r="D288" s="4" t="s">
        <v>725</v>
      </c>
    </row>
    <row r="289" spans="1:6" ht="45.75" hidden="1" thickBot="1">
      <c r="A289" t="str">
        <f>IF(ISNA(INDEX('ID относящиеся у производству'!A:A,MATCH(B289,'ID относящиеся у производству'!A:A,0),1))=TRUE,"НЕТ","ДА")</f>
        <v>НЕТ</v>
      </c>
      <c r="B289" s="4">
        <v>288</v>
      </c>
      <c r="C289" s="4" t="s">
        <v>67</v>
      </c>
      <c r="D289" s="4" t="s">
        <v>85</v>
      </c>
    </row>
    <row r="290" spans="1:6" ht="75.75" hidden="1" thickBot="1">
      <c r="A290" t="str">
        <f>IF(ISNA(INDEX('ID относящиеся у производству'!A:A,MATCH(B290,'ID относящиеся у производству'!A:A,0),1))=TRUE,"НЕТ","ДА")</f>
        <v>НЕТ</v>
      </c>
      <c r="B290" s="4">
        <v>289</v>
      </c>
      <c r="C290" s="4" t="s">
        <v>454</v>
      </c>
      <c r="D290" s="4" t="s">
        <v>2334</v>
      </c>
    </row>
    <row r="291" spans="1:6" ht="45.75" hidden="1" thickBot="1">
      <c r="A291" t="str">
        <f>IF(ISNA(INDEX('ID относящиеся у производству'!A:A,MATCH(B291,'ID относящиеся у производству'!A:A,0),1))=TRUE,"НЕТ","ДА")</f>
        <v>НЕТ</v>
      </c>
      <c r="B291" s="4">
        <v>290</v>
      </c>
      <c r="C291" s="4" t="s">
        <v>44</v>
      </c>
      <c r="D291" s="4" t="s">
        <v>2335</v>
      </c>
    </row>
    <row r="292" spans="1:6" ht="30.75" hidden="1" thickBot="1">
      <c r="A292" t="str">
        <f>IF(ISNA(INDEX('ID относящиеся у производству'!A:A,MATCH(B292,'ID относящиеся у производству'!A:A,0),1))=TRUE,"НЕТ","ДА")</f>
        <v>НЕТ</v>
      </c>
      <c r="B292" s="4">
        <v>291</v>
      </c>
      <c r="C292" s="4" t="s">
        <v>1543</v>
      </c>
      <c r="D292" s="4" t="s">
        <v>1540</v>
      </c>
    </row>
    <row r="293" spans="1:6" ht="75.75" hidden="1" thickBot="1">
      <c r="A293" t="str">
        <f>IF(ISNA(INDEX('ID относящиеся у производству'!A:A,MATCH(B293,'ID относящиеся у производству'!A:A,0),1))=TRUE,"НЕТ","ДА")</f>
        <v>НЕТ</v>
      </c>
      <c r="B293" s="4">
        <v>292</v>
      </c>
      <c r="C293" s="4" t="s">
        <v>2355</v>
      </c>
      <c r="D293" s="4" t="s">
        <v>2356</v>
      </c>
    </row>
    <row r="294" spans="1:6" ht="90.75" hidden="1" thickBot="1">
      <c r="A294" t="str">
        <f>IF(ISNA(INDEX('ID относящиеся у производству'!A:A,MATCH(B294,'ID относящиеся у производству'!A:A,0),1))=TRUE,"НЕТ","ДА")</f>
        <v>НЕТ</v>
      </c>
      <c r="B294" s="4">
        <v>293</v>
      </c>
      <c r="C294" s="4" t="s">
        <v>2355</v>
      </c>
      <c r="D294" s="4" t="s">
        <v>2368</v>
      </c>
    </row>
    <row r="295" spans="1:6" ht="75.75" hidden="1" thickBot="1">
      <c r="A295" t="str">
        <f>IF(ISNA(INDEX('ID относящиеся у производству'!A:A,MATCH(B295,'ID относящиеся у производству'!A:A,0),1))=TRUE,"НЕТ","ДА")</f>
        <v>НЕТ</v>
      </c>
      <c r="B295" s="4">
        <v>294</v>
      </c>
      <c r="C295" s="4" t="s">
        <v>2371</v>
      </c>
      <c r="D295" s="4" t="s">
        <v>2356</v>
      </c>
    </row>
    <row r="296" spans="1:6" ht="60.75" hidden="1" thickBot="1">
      <c r="A296" t="str">
        <f>IF(ISNA(INDEX('ID относящиеся у производству'!A:A,MATCH(B296,'ID относящиеся у производству'!A:A,0),1))=TRUE,"НЕТ","ДА")</f>
        <v>НЕТ</v>
      </c>
      <c r="B296" s="4">
        <v>295</v>
      </c>
      <c r="C296" s="4" t="s">
        <v>458</v>
      </c>
      <c r="D296" s="4" t="s">
        <v>2359</v>
      </c>
    </row>
    <row r="297" spans="1:6" ht="75.75" hidden="1" thickBot="1">
      <c r="A297" t="str">
        <f>IF(ISNA(INDEX('ID относящиеся у производству'!A:A,MATCH(B297,'ID относящиеся у производству'!A:A,0),1))=TRUE,"НЕТ","ДА")</f>
        <v>НЕТ</v>
      </c>
      <c r="B297" s="4">
        <v>296</v>
      </c>
      <c r="C297" s="4" t="s">
        <v>2371</v>
      </c>
      <c r="D297" s="4" t="s">
        <v>2386</v>
      </c>
    </row>
    <row r="298" spans="1:6" ht="75.75" hidden="1" thickBot="1">
      <c r="A298" t="str">
        <f>IF(ISNA(INDEX('ID относящиеся у производству'!A:A,MATCH(B298,'ID относящиеся у производству'!A:A,0),1))=TRUE,"НЕТ","ДА")</f>
        <v>НЕТ</v>
      </c>
      <c r="B298" s="4">
        <v>297</v>
      </c>
      <c r="C298" s="4" t="s">
        <v>2371</v>
      </c>
      <c r="D298" s="4" t="s">
        <v>2386</v>
      </c>
    </row>
    <row r="299" spans="1:6" ht="75.75" hidden="1" thickBot="1">
      <c r="A299" t="str">
        <f>IF(ISNA(INDEX('ID относящиеся у производству'!A:A,MATCH(B299,'ID относящиеся у производству'!A:A,0),1))=TRUE,"НЕТ","ДА")</f>
        <v>НЕТ</v>
      </c>
      <c r="B299" s="4">
        <v>298</v>
      </c>
      <c r="C299" s="4" t="s">
        <v>2371</v>
      </c>
      <c r="D299" s="4" t="s">
        <v>2356</v>
      </c>
    </row>
    <row r="300" spans="1:6" ht="60.75" hidden="1" thickBot="1">
      <c r="A300" t="str">
        <f>IF(ISNA(INDEX('ID относящиеся у производству'!A:A,MATCH(B300,'ID относящиеся у производству'!A:A,0),1))=TRUE,"НЕТ","ДА")</f>
        <v>НЕТ</v>
      </c>
      <c r="B300" s="4">
        <v>299</v>
      </c>
      <c r="C300" s="4" t="s">
        <v>146</v>
      </c>
      <c r="D300" s="4" t="s">
        <v>143</v>
      </c>
    </row>
    <row r="301" spans="1:6" ht="75.75" hidden="1" thickBot="1">
      <c r="A301" t="str">
        <f>IF(ISNA(INDEX('ID относящиеся у производству'!A:A,MATCH(B301,'ID относящиеся у производству'!A:A,0),1))=TRUE,"НЕТ","ДА")</f>
        <v>НЕТ</v>
      </c>
      <c r="B301" s="4">
        <v>300</v>
      </c>
      <c r="C301" s="4" t="s">
        <v>2355</v>
      </c>
      <c r="D301" s="4" t="s">
        <v>2386</v>
      </c>
    </row>
    <row r="302" spans="1:6" ht="45.75" hidden="1" thickBot="1">
      <c r="A302" t="str">
        <f>IF(ISNA(INDEX('ID относящиеся у производству'!A:A,MATCH(B302,'ID относящиеся у производству'!A:A,0),1))=TRUE,"НЕТ","ДА")</f>
        <v>НЕТ</v>
      </c>
      <c r="B302" s="4">
        <v>301</v>
      </c>
      <c r="C302" s="4" t="s">
        <v>577</v>
      </c>
      <c r="D302" s="4" t="s">
        <v>2335</v>
      </c>
    </row>
    <row r="303" spans="1:6" ht="30.75" thickBot="1">
      <c r="A303" t="str">
        <f>IF(ISNA(INDEX('ID относящиеся у производству'!A:A,MATCH(B303,'ID относящиеся у производству'!A:A,0),1))=TRUE,"НЕТ","ДА")</f>
        <v>ДА</v>
      </c>
      <c r="B303" s="4">
        <v>302</v>
      </c>
      <c r="C303" s="4" t="s">
        <v>193</v>
      </c>
      <c r="D303" s="4" t="s">
        <v>2176</v>
      </c>
      <c r="E303" s="8" t="s">
        <v>3794</v>
      </c>
      <c r="F303" s="9" t="s">
        <v>3793</v>
      </c>
    </row>
    <row r="304" spans="1:6" ht="60.75" hidden="1" thickBot="1">
      <c r="A304" t="str">
        <f>IF(ISNA(INDEX('ID относящиеся у производству'!A:A,MATCH(B304,'ID относящиеся у производству'!A:A,0),1))=TRUE,"НЕТ","ДА")</f>
        <v>НЕТ</v>
      </c>
      <c r="B304" s="4">
        <v>303</v>
      </c>
      <c r="C304" s="4" t="s">
        <v>1377</v>
      </c>
      <c r="D304" s="4" t="s">
        <v>143</v>
      </c>
    </row>
    <row r="305" spans="1:6" ht="90.75" hidden="1" thickBot="1">
      <c r="A305" t="str">
        <f>IF(ISNA(INDEX('ID относящиеся у производству'!A:A,MATCH(B305,'ID относящиеся у производству'!A:A,0),1))=TRUE,"НЕТ","ДА")</f>
        <v>НЕТ</v>
      </c>
      <c r="B305" s="4">
        <v>304</v>
      </c>
      <c r="C305" s="4" t="s">
        <v>2371</v>
      </c>
      <c r="D305" s="4" t="s">
        <v>2368</v>
      </c>
    </row>
    <row r="306" spans="1:6" ht="90.75" hidden="1" thickBot="1">
      <c r="A306" t="str">
        <f>IF(ISNA(INDEX('ID относящиеся у производству'!A:A,MATCH(B306,'ID относящиеся у производству'!A:A,0),1))=TRUE,"НЕТ","ДА")</f>
        <v>НЕТ</v>
      </c>
      <c r="B306" s="4">
        <v>305</v>
      </c>
      <c r="C306" s="4" t="s">
        <v>2371</v>
      </c>
      <c r="D306" s="4" t="s">
        <v>2368</v>
      </c>
    </row>
    <row r="307" spans="1:6" ht="60.75" hidden="1" thickBot="1">
      <c r="A307" t="str">
        <f>IF(ISNA(INDEX('ID относящиеся у производству'!A:A,MATCH(B307,'ID относящиеся у производству'!A:A,0),1))=TRUE,"НЕТ","ДА")</f>
        <v>НЕТ</v>
      </c>
      <c r="B307" s="4">
        <v>306</v>
      </c>
      <c r="C307" s="4" t="s">
        <v>2426</v>
      </c>
      <c r="D307" s="4" t="s">
        <v>2427</v>
      </c>
    </row>
    <row r="308" spans="1:6" ht="60.75" hidden="1" thickBot="1">
      <c r="A308" t="str">
        <f>IF(ISNA(INDEX('ID относящиеся у производству'!A:A,MATCH(B308,'ID относящиеся у производству'!A:A,0),1))=TRUE,"НЕТ","ДА")</f>
        <v>НЕТ</v>
      </c>
      <c r="B308" s="4">
        <v>307</v>
      </c>
      <c r="C308" s="4" t="s">
        <v>67</v>
      </c>
      <c r="D308" s="4" t="s">
        <v>2359</v>
      </c>
    </row>
    <row r="309" spans="1:6" ht="75.75" hidden="1" thickBot="1">
      <c r="A309" t="str">
        <f>IF(ISNA(INDEX('ID относящиеся у производству'!A:A,MATCH(B309,'ID относящиеся у производству'!A:A,0),1))=TRUE,"НЕТ","ДА")</f>
        <v>НЕТ</v>
      </c>
      <c r="B309" s="4">
        <v>308</v>
      </c>
      <c r="C309" s="4" t="s">
        <v>2371</v>
      </c>
      <c r="D309" s="4" t="s">
        <v>2386</v>
      </c>
    </row>
    <row r="310" spans="1:6" ht="30.75" hidden="1" thickBot="1">
      <c r="A310" t="str">
        <f>IF(ISNA(INDEX('ID относящиеся у производству'!A:A,MATCH(B310,'ID относящиеся у производству'!A:A,0),1))=TRUE,"НЕТ","ДА")</f>
        <v>НЕТ</v>
      </c>
      <c r="B310" s="4">
        <v>309</v>
      </c>
      <c r="C310" s="4" t="s">
        <v>307</v>
      </c>
      <c r="D310" s="4" t="s">
        <v>869</v>
      </c>
    </row>
    <row r="311" spans="1:6" ht="60.75" hidden="1" thickBot="1">
      <c r="A311" t="str">
        <f>IF(ISNA(INDEX('ID относящиеся у производству'!A:A,MATCH(B311,'ID относящиеся у производству'!A:A,0),1))=TRUE,"НЕТ","ДА")</f>
        <v>НЕТ</v>
      </c>
      <c r="B311" s="4">
        <v>310</v>
      </c>
      <c r="C311" s="4" t="s">
        <v>458</v>
      </c>
      <c r="D311" s="4" t="s">
        <v>2429</v>
      </c>
    </row>
    <row r="312" spans="1:6" ht="45.75" hidden="1" thickBot="1">
      <c r="A312" t="str">
        <f>IF(ISNA(INDEX('ID относящиеся у производству'!A:A,MATCH(B312,'ID относящиеся у производству'!A:A,0),1))=TRUE,"НЕТ","ДА")</f>
        <v>НЕТ</v>
      </c>
      <c r="B312" s="4">
        <v>311</v>
      </c>
      <c r="C312" s="4" t="s">
        <v>88</v>
      </c>
      <c r="D312" s="4" t="s">
        <v>85</v>
      </c>
    </row>
    <row r="313" spans="1:6" ht="60.75" hidden="1" thickBot="1">
      <c r="A313" t="str">
        <f>IF(ISNA(INDEX('ID относящиеся у производству'!A:A,MATCH(B313,'ID относящиеся у производству'!A:A,0),1))=TRUE,"НЕТ","ДА")</f>
        <v>НЕТ</v>
      </c>
      <c r="B313" s="4">
        <v>312</v>
      </c>
      <c r="C313" s="4" t="s">
        <v>2472</v>
      </c>
      <c r="D313" s="4" t="s">
        <v>2429</v>
      </c>
    </row>
    <row r="314" spans="1:6" ht="30.75" hidden="1" thickBot="1">
      <c r="A314" t="str">
        <f>IF(ISNA(INDEX('ID относящиеся у производству'!A:A,MATCH(B314,'ID относящиеся у производству'!A:A,0),1))=TRUE,"НЕТ","ДА")</f>
        <v>НЕТ</v>
      </c>
      <c r="B314" s="4">
        <v>313</v>
      </c>
      <c r="C314" s="4" t="s">
        <v>385</v>
      </c>
      <c r="D314" s="4" t="s">
        <v>1540</v>
      </c>
    </row>
    <row r="315" spans="1:6" ht="15.75" hidden="1" thickBot="1">
      <c r="A315" t="str">
        <f>IF(ISNA(INDEX('ID относящиеся у производству'!A:A,MATCH(B315,'ID относящиеся у производству'!A:A,0),1))=TRUE,"НЕТ","ДА")</f>
        <v>НЕТ</v>
      </c>
      <c r="B315" s="4">
        <v>314</v>
      </c>
      <c r="C315" s="4" t="s">
        <v>2483</v>
      </c>
      <c r="D315" s="4" t="s">
        <v>19</v>
      </c>
    </row>
    <row r="316" spans="1:6" ht="60.75" hidden="1" thickBot="1">
      <c r="A316" t="str">
        <f>IF(ISNA(INDEX('ID относящиеся у производству'!A:A,MATCH(B316,'ID относящиеся у производству'!A:A,0),1))=TRUE,"НЕТ","ДА")</f>
        <v>НЕТ</v>
      </c>
      <c r="B316" s="4">
        <v>315</v>
      </c>
      <c r="C316" s="4" t="s">
        <v>316</v>
      </c>
      <c r="D316" s="4" t="s">
        <v>820</v>
      </c>
    </row>
    <row r="317" spans="1:6" ht="30.75" thickBot="1">
      <c r="A317" t="str">
        <f>IF(ISNA(INDEX('ID относящиеся у производству'!A:A,MATCH(B317,'ID относящиеся у производству'!A:A,0),1))=TRUE,"НЕТ","ДА")</f>
        <v>ДА</v>
      </c>
      <c r="B317" s="4">
        <v>316</v>
      </c>
      <c r="C317" s="4" t="s">
        <v>239</v>
      </c>
      <c r="D317" s="4" t="s">
        <v>2498</v>
      </c>
      <c r="E317" s="8" t="s">
        <v>3795</v>
      </c>
      <c r="F317" s="9" t="s">
        <v>3793</v>
      </c>
    </row>
    <row r="318" spans="1:6" ht="45.75" hidden="1" thickBot="1">
      <c r="A318" t="str">
        <f>IF(ISNA(INDEX('ID относящиеся у производству'!A:A,MATCH(B318,'ID относящиеся у производству'!A:A,0),1))=TRUE,"НЕТ","ДА")</f>
        <v>НЕТ</v>
      </c>
      <c r="B318" s="4">
        <v>317</v>
      </c>
      <c r="C318" s="4" t="s">
        <v>119</v>
      </c>
      <c r="D318" s="4" t="s">
        <v>117</v>
      </c>
    </row>
    <row r="319" spans="1:6" ht="30.75" thickBot="1">
      <c r="A319" t="str">
        <f>IF(ISNA(INDEX('ID относящиеся у производству'!A:A,MATCH(B319,'ID относящиеся у производству'!A:A,0),1))=TRUE,"НЕТ","ДА")</f>
        <v>ДА</v>
      </c>
      <c r="B319" s="4">
        <v>318</v>
      </c>
      <c r="C319" s="4" t="s">
        <v>39</v>
      </c>
      <c r="D319" s="4" t="s">
        <v>2517</v>
      </c>
      <c r="E319" s="8" t="s">
        <v>3792</v>
      </c>
      <c r="F319" s="9" t="s">
        <v>3793</v>
      </c>
    </row>
    <row r="320" spans="1:6" ht="30.75" hidden="1" thickBot="1">
      <c r="A320" t="str">
        <f>IF(ISNA(INDEX('ID относящиеся у производству'!A:A,MATCH(B320,'ID относящиеся у производству'!A:A,0),1))=TRUE,"НЕТ","ДА")</f>
        <v>НЕТ</v>
      </c>
      <c r="B320" s="4">
        <v>319</v>
      </c>
      <c r="C320" s="4" t="s">
        <v>385</v>
      </c>
      <c r="D320" s="4" t="s">
        <v>386</v>
      </c>
    </row>
    <row r="321" spans="1:6" ht="60.75" hidden="1" thickBot="1">
      <c r="A321" t="str">
        <f>IF(ISNA(INDEX('ID относящиеся у производству'!A:A,MATCH(B321,'ID относящиеся у производству'!A:A,0),1))=TRUE,"НЕТ","ДА")</f>
        <v>НЕТ</v>
      </c>
      <c r="B321" s="4">
        <v>320</v>
      </c>
      <c r="C321" s="4" t="s">
        <v>1290</v>
      </c>
      <c r="D321" s="4" t="s">
        <v>820</v>
      </c>
    </row>
    <row r="322" spans="1:6" ht="45.75" thickBot="1">
      <c r="A322" t="str">
        <f>IF(ISNA(INDEX('ID относящиеся у производству'!A:A,MATCH(B322,'ID относящиеся у производству'!A:A,0),1))=TRUE,"НЕТ","ДА")</f>
        <v>ДА</v>
      </c>
      <c r="B322" s="4">
        <v>321</v>
      </c>
      <c r="C322" s="4" t="s">
        <v>193</v>
      </c>
      <c r="D322" s="4" t="s">
        <v>2526</v>
      </c>
      <c r="E322" s="8" t="s">
        <v>3794</v>
      </c>
      <c r="F322" s="9" t="s">
        <v>3793</v>
      </c>
    </row>
    <row r="323" spans="1:6" ht="45.75" hidden="1" thickBot="1">
      <c r="A323" t="str">
        <f>IF(ISNA(INDEX('ID относящиеся у производству'!A:A,MATCH(B323,'ID относящиеся у производству'!A:A,0),1))=TRUE,"НЕТ","ДА")</f>
        <v>НЕТ</v>
      </c>
      <c r="B323" s="4">
        <v>322</v>
      </c>
      <c r="C323" s="4" t="s">
        <v>146</v>
      </c>
      <c r="D323" s="4" t="s">
        <v>558</v>
      </c>
    </row>
    <row r="324" spans="1:6" ht="30.75" thickBot="1">
      <c r="A324" t="str">
        <f>IF(ISNA(INDEX('ID относящиеся у производству'!A:A,MATCH(B324,'ID относящиеся у производству'!A:A,0),1))=TRUE,"НЕТ","ДА")</f>
        <v>ДА</v>
      </c>
      <c r="B324" s="4">
        <v>323</v>
      </c>
      <c r="C324" s="4" t="s">
        <v>280</v>
      </c>
      <c r="D324" s="4" t="s">
        <v>240</v>
      </c>
      <c r="E324" s="8" t="s">
        <v>3796</v>
      </c>
      <c r="F324" s="9" t="s">
        <v>3793</v>
      </c>
    </row>
    <row r="325" spans="1:6" ht="30.75" hidden="1" thickBot="1">
      <c r="A325" t="str">
        <f>IF(ISNA(INDEX('ID относящиеся у производству'!A:A,MATCH(B325,'ID относящиеся у производству'!A:A,0),1))=TRUE,"НЕТ","ДА")</f>
        <v>НЕТ</v>
      </c>
      <c r="B325" s="4">
        <v>324</v>
      </c>
      <c r="C325" s="4" t="s">
        <v>67</v>
      </c>
      <c r="D325" s="4" t="s">
        <v>386</v>
      </c>
    </row>
    <row r="326" spans="1:6" ht="30.75" hidden="1" thickBot="1">
      <c r="A326" t="str">
        <f>IF(ISNA(INDEX('ID относящиеся у производству'!A:A,MATCH(B326,'ID относящиеся у производству'!A:A,0),1))=TRUE,"НЕТ","ДА")</f>
        <v>НЕТ</v>
      </c>
      <c r="B326" s="4">
        <v>325</v>
      </c>
      <c r="C326" s="4" t="s">
        <v>67</v>
      </c>
      <c r="D326" s="4" t="s">
        <v>68</v>
      </c>
    </row>
    <row r="327" spans="1:6" ht="30.75" hidden="1" thickBot="1">
      <c r="A327" t="str">
        <f>IF(ISNA(INDEX('ID относящиеся у производству'!A:A,MATCH(B327,'ID относящиеся у производству'!A:A,0),1))=TRUE,"НЕТ","ДА")</f>
        <v>НЕТ</v>
      </c>
      <c r="B327" s="4">
        <v>326</v>
      </c>
      <c r="C327" s="4" t="s">
        <v>2228</v>
      </c>
      <c r="D327" s="4" t="s">
        <v>2550</v>
      </c>
    </row>
    <row r="328" spans="1:6" ht="45.75" hidden="1" thickBot="1">
      <c r="A328" t="str">
        <f>IF(ISNA(INDEX('ID относящиеся у производству'!A:A,MATCH(B328,'ID относящиеся у производству'!A:A,0),1))=TRUE,"НЕТ","ДА")</f>
        <v>НЕТ</v>
      </c>
      <c r="B328" s="4">
        <v>327</v>
      </c>
      <c r="C328" s="4" t="s">
        <v>67</v>
      </c>
      <c r="D328" s="4" t="s">
        <v>1347</v>
      </c>
    </row>
    <row r="329" spans="1:6" ht="30.75" hidden="1" thickBot="1">
      <c r="A329" t="str">
        <f>IF(ISNA(INDEX('ID относящиеся у производству'!A:A,MATCH(B329,'ID относящиеся у производству'!A:A,0),1))=TRUE,"НЕТ","ДА")</f>
        <v>НЕТ</v>
      </c>
      <c r="B329" s="4">
        <v>328</v>
      </c>
      <c r="C329" s="4" t="s">
        <v>247</v>
      </c>
      <c r="D329" s="4" t="s">
        <v>158</v>
      </c>
    </row>
    <row r="330" spans="1:6" ht="30.75" hidden="1" thickBot="1">
      <c r="A330" t="str">
        <f>IF(ISNA(INDEX('ID относящиеся у производству'!A:A,MATCH(B330,'ID относящиеся у производству'!A:A,0),1))=TRUE,"НЕТ","ДА")</f>
        <v>НЕТ</v>
      </c>
      <c r="B330" s="4">
        <v>329</v>
      </c>
      <c r="C330" s="4" t="s">
        <v>247</v>
      </c>
      <c r="D330" s="4" t="s">
        <v>158</v>
      </c>
    </row>
    <row r="331" spans="1:6" ht="60.75" hidden="1" thickBot="1">
      <c r="A331" t="str">
        <f>IF(ISNA(INDEX('ID относящиеся у производству'!A:A,MATCH(B331,'ID относящиеся у производству'!A:A,0),1))=TRUE,"НЕТ","ДА")</f>
        <v>НЕТ</v>
      </c>
      <c r="B331" s="4">
        <v>330</v>
      </c>
      <c r="C331" s="4" t="s">
        <v>316</v>
      </c>
      <c r="D331" s="4" t="s">
        <v>349</v>
      </c>
    </row>
    <row r="332" spans="1:6" ht="30.75" thickBot="1">
      <c r="A332" t="str">
        <f>IF(ISNA(INDEX('ID относящиеся у производству'!A:A,MATCH(B332,'ID относящиеся у производству'!A:A,0),1))=TRUE,"НЕТ","ДА")</f>
        <v>ДА</v>
      </c>
      <c r="B332" s="4">
        <v>331</v>
      </c>
      <c r="C332" s="4" t="s">
        <v>39</v>
      </c>
      <c r="D332" s="4" t="s">
        <v>2597</v>
      </c>
      <c r="E332" s="8" t="s">
        <v>3792</v>
      </c>
      <c r="F332" s="9" t="s">
        <v>3793</v>
      </c>
    </row>
    <row r="333" spans="1:6" ht="30.75" thickBot="1">
      <c r="A333" t="str">
        <f>IF(ISNA(INDEX('ID относящиеся у производству'!A:A,MATCH(B333,'ID относящиеся у производству'!A:A,0),1))=TRUE,"НЕТ","ДА")</f>
        <v>ДА</v>
      </c>
      <c r="B333" s="4">
        <v>332</v>
      </c>
      <c r="C333" s="4" t="s">
        <v>39</v>
      </c>
      <c r="D333" s="4" t="s">
        <v>45</v>
      </c>
      <c r="E333" s="8" t="s">
        <v>3792</v>
      </c>
      <c r="F333" s="9" t="s">
        <v>3793</v>
      </c>
    </row>
    <row r="334" spans="1:6" ht="75.75" hidden="1" thickBot="1">
      <c r="A334" t="str">
        <f>IF(ISNA(INDEX('ID относящиеся у производству'!A:A,MATCH(B334,'ID относящиеся у производству'!A:A,0),1))=TRUE,"НЕТ","ДА")</f>
        <v>НЕТ</v>
      </c>
      <c r="B334" s="4">
        <v>333</v>
      </c>
      <c r="C334" s="4" t="s">
        <v>458</v>
      </c>
      <c r="D334" s="4" t="s">
        <v>854</v>
      </c>
    </row>
    <row r="335" spans="1:6" ht="45.75" thickBot="1">
      <c r="A335" t="str">
        <f>IF(ISNA(INDEX('ID относящиеся у производству'!A:A,MATCH(B335,'ID относящиеся у производству'!A:A,0),1))=TRUE,"НЕТ","ДА")</f>
        <v>ДА</v>
      </c>
      <c r="B335" s="4">
        <v>334</v>
      </c>
      <c r="C335" s="4" t="s">
        <v>280</v>
      </c>
      <c r="D335" s="4" t="s">
        <v>1785</v>
      </c>
      <c r="E335" s="8" t="s">
        <v>3796</v>
      </c>
      <c r="F335" s="9" t="s">
        <v>3793</v>
      </c>
    </row>
    <row r="336" spans="1:6" ht="60.75" hidden="1" thickBot="1">
      <c r="A336" t="str">
        <f>IF(ISNA(INDEX('ID относящиеся у производству'!A:A,MATCH(B336,'ID относящиеся у производству'!A:A,0),1))=TRUE,"НЕТ","ДА")</f>
        <v>НЕТ</v>
      </c>
      <c r="B336" s="4">
        <v>335</v>
      </c>
      <c r="C336" s="4" t="s">
        <v>280</v>
      </c>
      <c r="D336" s="4" t="s">
        <v>820</v>
      </c>
    </row>
    <row r="337" spans="1:6" ht="30.75" hidden="1" thickBot="1">
      <c r="A337" t="str">
        <f>IF(ISNA(INDEX('ID относящиеся у производству'!A:A,MATCH(B337,'ID относящиеся у производству'!A:A,0),1))=TRUE,"НЕТ","ДА")</f>
        <v>НЕТ</v>
      </c>
      <c r="B337" s="4">
        <v>336</v>
      </c>
      <c r="C337" s="4" t="s">
        <v>613</v>
      </c>
      <c r="D337" s="4" t="s">
        <v>614</v>
      </c>
    </row>
    <row r="338" spans="1:6" ht="30.75" hidden="1" thickBot="1">
      <c r="A338" t="str">
        <f>IF(ISNA(INDEX('ID относящиеся у производству'!A:A,MATCH(B338,'ID относящиеся у производству'!A:A,0),1))=TRUE,"НЕТ","ДА")</f>
        <v>НЕТ</v>
      </c>
      <c r="B338" s="4">
        <v>337</v>
      </c>
      <c r="C338" s="4" t="s">
        <v>416</v>
      </c>
      <c r="D338" s="4" t="s">
        <v>417</v>
      </c>
    </row>
    <row r="339" spans="1:6" ht="30.75" hidden="1" thickBot="1">
      <c r="A339" t="str">
        <f>IF(ISNA(INDEX('ID относящиеся у производству'!A:A,MATCH(B339,'ID относящиеся у производству'!A:A,0),1))=TRUE,"НЕТ","ДА")</f>
        <v>НЕТ</v>
      </c>
      <c r="B339" s="4">
        <v>338</v>
      </c>
      <c r="C339" s="4" t="s">
        <v>153</v>
      </c>
      <c r="D339" s="4" t="s">
        <v>154</v>
      </c>
    </row>
    <row r="340" spans="1:6" ht="60.75" hidden="1" thickBot="1">
      <c r="A340" t="str">
        <f>IF(ISNA(INDEX('ID относящиеся у производству'!A:A,MATCH(B340,'ID относящиеся у производству'!A:A,0),1))=TRUE,"НЕТ","ДА")</f>
        <v>НЕТ</v>
      </c>
      <c r="B340" s="4">
        <v>339</v>
      </c>
      <c r="C340" s="4" t="s">
        <v>454</v>
      </c>
      <c r="D340" s="4" t="s">
        <v>455</v>
      </c>
    </row>
    <row r="341" spans="1:6" ht="30.75" thickBot="1">
      <c r="A341" t="str">
        <f>IF(ISNA(INDEX('ID относящиеся у производству'!A:A,MATCH(B341,'ID относящиеся у производству'!A:A,0),1))=TRUE,"НЕТ","ДА")</f>
        <v>ДА</v>
      </c>
      <c r="B341" s="4">
        <v>340</v>
      </c>
      <c r="C341" s="4" t="s">
        <v>39</v>
      </c>
      <c r="D341" s="4" t="s">
        <v>578</v>
      </c>
      <c r="E341" s="8" t="s">
        <v>3792</v>
      </c>
      <c r="F341" s="9" t="s">
        <v>3793</v>
      </c>
    </row>
    <row r="342" spans="1:6" ht="30.75" thickBot="1">
      <c r="A342" t="str">
        <f>IF(ISNA(INDEX('ID относящиеся у производству'!A:A,MATCH(B342,'ID относящиеся у производству'!A:A,0),1))=TRUE,"НЕТ","ДА")</f>
        <v>ДА</v>
      </c>
      <c r="B342" s="4">
        <v>341</v>
      </c>
      <c r="C342" s="4" t="s">
        <v>39</v>
      </c>
      <c r="D342" s="4" t="s">
        <v>578</v>
      </c>
      <c r="E342" s="8" t="s">
        <v>3792</v>
      </c>
      <c r="F342" s="9" t="s">
        <v>3793</v>
      </c>
    </row>
    <row r="343" spans="1:6" ht="30.75" hidden="1" thickBot="1">
      <c r="A343" t="str">
        <f>IF(ISNA(INDEX('ID относящиеся у производству'!A:A,MATCH(B343,'ID относящиеся у производству'!A:A,0),1))=TRUE,"НЕТ","ДА")</f>
        <v>НЕТ</v>
      </c>
      <c r="B343" s="4">
        <v>342</v>
      </c>
      <c r="C343" s="4" t="s">
        <v>307</v>
      </c>
      <c r="D343" s="4" t="s">
        <v>2637</v>
      </c>
    </row>
    <row r="344" spans="1:6" ht="30.75" hidden="1" thickBot="1">
      <c r="A344" t="str">
        <f>IF(ISNA(INDEX('ID относящиеся у производству'!A:A,MATCH(B344,'ID относящиеся у производству'!A:A,0),1))=TRUE,"НЕТ","ДА")</f>
        <v>НЕТ</v>
      </c>
      <c r="B344" s="4">
        <v>343</v>
      </c>
      <c r="C344" s="4" t="s">
        <v>1075</v>
      </c>
      <c r="D344" s="4" t="s">
        <v>1074</v>
      </c>
    </row>
    <row r="345" spans="1:6" ht="30.75" hidden="1" thickBot="1">
      <c r="A345" t="str">
        <f>IF(ISNA(INDEX('ID относящиеся у производству'!A:A,MATCH(B345,'ID относящиеся у производству'!A:A,0),1))=TRUE,"НЕТ","ДА")</f>
        <v>НЕТ</v>
      </c>
      <c r="B345" s="4">
        <v>344</v>
      </c>
      <c r="C345" s="4" t="s">
        <v>2657</v>
      </c>
      <c r="D345" s="4" t="s">
        <v>614</v>
      </c>
    </row>
    <row r="346" spans="1:6" ht="30.75" hidden="1" thickBot="1">
      <c r="A346" t="str">
        <f>IF(ISNA(INDEX('ID относящиеся у производству'!A:A,MATCH(B346,'ID относящиеся у производству'!A:A,0),1))=TRUE,"НЕТ","ДА")</f>
        <v>НЕТ</v>
      </c>
      <c r="B346" s="4">
        <v>345</v>
      </c>
      <c r="C346" s="4" t="s">
        <v>116</v>
      </c>
      <c r="D346" s="4" t="s">
        <v>2668</v>
      </c>
    </row>
    <row r="347" spans="1:6" ht="30.75" hidden="1" thickBot="1">
      <c r="A347" t="str">
        <f>IF(ISNA(INDEX('ID относящиеся у производству'!A:A,MATCH(B347,'ID относящиеся у производству'!A:A,0),1))=TRUE,"НЕТ","ДА")</f>
        <v>НЕТ</v>
      </c>
      <c r="B347" s="4">
        <v>346</v>
      </c>
      <c r="C347" s="4" t="s">
        <v>116</v>
      </c>
      <c r="D347" s="4" t="s">
        <v>2668</v>
      </c>
    </row>
    <row r="348" spans="1:6" ht="30.75" hidden="1" thickBot="1">
      <c r="A348" t="str">
        <f>IF(ISNA(INDEX('ID относящиеся у производству'!A:A,MATCH(B348,'ID относящиеся у производству'!A:A,0),1))=TRUE,"НЕТ","ДА")</f>
        <v>НЕТ</v>
      </c>
      <c r="B348" s="4">
        <v>347</v>
      </c>
      <c r="C348" s="4" t="s">
        <v>67</v>
      </c>
      <c r="D348" s="4" t="s">
        <v>614</v>
      </c>
    </row>
    <row r="349" spans="1:6" ht="30.75" hidden="1" thickBot="1">
      <c r="A349" t="str">
        <f>IF(ISNA(INDEX('ID относящиеся у производству'!A:A,MATCH(B349,'ID относящиеся у производству'!A:A,0),1))=TRUE,"НЕТ","ДА")</f>
        <v>НЕТ</v>
      </c>
      <c r="B349" s="4">
        <v>348</v>
      </c>
      <c r="C349" s="4" t="s">
        <v>2683</v>
      </c>
      <c r="D349" s="4" t="s">
        <v>614</v>
      </c>
    </row>
    <row r="350" spans="1:6" ht="30.75" hidden="1" thickBot="1">
      <c r="A350" t="str">
        <f>IF(ISNA(INDEX('ID относящиеся у производству'!A:A,MATCH(B350,'ID относящиеся у производству'!A:A,0),1))=TRUE,"НЕТ","ДА")</f>
        <v>НЕТ</v>
      </c>
      <c r="B350" s="4">
        <v>349</v>
      </c>
      <c r="C350" s="4" t="s">
        <v>458</v>
      </c>
      <c r="D350" s="4" t="s">
        <v>2668</v>
      </c>
    </row>
    <row r="351" spans="1:6" ht="15.75" hidden="1" thickBot="1">
      <c r="A351" t="str">
        <f>IF(ISNA(INDEX('ID относящиеся у производству'!A:A,MATCH(B351,'ID относящиеся у производству'!A:A,0),1))=TRUE,"НЕТ","ДА")</f>
        <v>НЕТ</v>
      </c>
      <c r="B351" s="4">
        <v>350</v>
      </c>
      <c r="C351" s="4" t="s">
        <v>307</v>
      </c>
      <c r="D351" s="4" t="s">
        <v>511</v>
      </c>
    </row>
    <row r="352" spans="1:6" ht="45.75" hidden="1" thickBot="1">
      <c r="A352" t="str">
        <f>IF(ISNA(INDEX('ID относящиеся у производству'!A:A,MATCH(B352,'ID относящиеся у производству'!A:A,0),1))=TRUE,"НЕТ","ДА")</f>
        <v>НЕТ</v>
      </c>
      <c r="B352" s="4">
        <v>351</v>
      </c>
      <c r="C352" s="4" t="s">
        <v>2719</v>
      </c>
      <c r="D352" s="4" t="s">
        <v>558</v>
      </c>
    </row>
    <row r="353" spans="1:6" ht="15.75" hidden="1" thickBot="1">
      <c r="A353" t="str">
        <f>IF(ISNA(INDEX('ID относящиеся у производству'!A:A,MATCH(B353,'ID относящиеся у производству'!A:A,0),1))=TRUE,"НЕТ","ДА")</f>
        <v>НЕТ</v>
      </c>
      <c r="B353" s="4">
        <v>352</v>
      </c>
      <c r="C353" s="4" t="s">
        <v>385</v>
      </c>
      <c r="D353" s="4" t="s">
        <v>19</v>
      </c>
    </row>
    <row r="354" spans="1:6" ht="45.75" hidden="1" thickBot="1">
      <c r="A354" t="str">
        <f>IF(ISNA(INDEX('ID относящиеся у производству'!A:A,MATCH(B354,'ID относящиеся у производству'!A:A,0),1))=TRUE,"НЕТ","ДА")</f>
        <v>НЕТ</v>
      </c>
      <c r="B354" s="4">
        <v>353</v>
      </c>
      <c r="C354" s="4" t="s">
        <v>280</v>
      </c>
      <c r="D354" s="4" t="s">
        <v>2736</v>
      </c>
    </row>
    <row r="355" spans="1:6" ht="60.75" hidden="1" thickBot="1">
      <c r="A355" t="str">
        <f>IF(ISNA(INDEX('ID относящиеся у производству'!A:A,MATCH(B355,'ID относящиеся у производству'!A:A,0),1))=TRUE,"НЕТ","ДА")</f>
        <v>НЕТ</v>
      </c>
      <c r="B355" s="4">
        <v>354</v>
      </c>
      <c r="C355" s="4" t="s">
        <v>1290</v>
      </c>
      <c r="D355" s="4" t="s">
        <v>320</v>
      </c>
    </row>
    <row r="356" spans="1:6" ht="30.75" hidden="1" thickBot="1">
      <c r="A356" t="str">
        <f>IF(ISNA(INDEX('ID относящиеся у производству'!A:A,MATCH(B356,'ID относящиеся у производству'!A:A,0),1))=TRUE,"НЕТ","ДА")</f>
        <v>НЕТ</v>
      </c>
      <c r="B356" s="4">
        <v>355</v>
      </c>
      <c r="C356" s="4" t="s">
        <v>307</v>
      </c>
      <c r="D356" s="4" t="s">
        <v>869</v>
      </c>
    </row>
    <row r="357" spans="1:6" ht="45.75" hidden="1" thickBot="1">
      <c r="A357" t="str">
        <f>IF(ISNA(INDEX('ID относящиеся у производству'!A:A,MATCH(B357,'ID относящиеся у производству'!A:A,0),1))=TRUE,"НЕТ","ДА")</f>
        <v>НЕТ</v>
      </c>
      <c r="B357" s="4">
        <v>356</v>
      </c>
      <c r="C357" s="4" t="s">
        <v>2228</v>
      </c>
      <c r="D357" s="4" t="s">
        <v>2765</v>
      </c>
    </row>
    <row r="358" spans="1:6" ht="60.75" hidden="1" thickBot="1">
      <c r="A358" t="str">
        <f>IF(ISNA(INDEX('ID относящиеся у производству'!A:A,MATCH(B358,'ID относящиеся у производству'!A:A,0),1))=TRUE,"НЕТ","ДА")</f>
        <v>НЕТ</v>
      </c>
      <c r="B358" s="4">
        <v>357</v>
      </c>
      <c r="C358" s="4" t="s">
        <v>280</v>
      </c>
      <c r="D358" s="4" t="s">
        <v>1056</v>
      </c>
    </row>
    <row r="359" spans="1:6" ht="30.75" hidden="1" thickBot="1">
      <c r="A359" t="str">
        <f>IF(ISNA(INDEX('ID относящиеся у производству'!A:A,MATCH(B359,'ID относящиеся у производству'!A:A,0),1))=TRUE,"НЕТ","ДА")</f>
        <v>НЕТ</v>
      </c>
      <c r="B359" s="4">
        <v>358</v>
      </c>
      <c r="C359" s="4" t="s">
        <v>385</v>
      </c>
      <c r="D359" s="4" t="s">
        <v>869</v>
      </c>
    </row>
    <row r="360" spans="1:6" ht="30.75" hidden="1" thickBot="1">
      <c r="A360" t="str">
        <f>IF(ISNA(INDEX('ID относящиеся у производству'!A:A,MATCH(B360,'ID относящиеся у производству'!A:A,0),1))=TRUE,"НЕТ","ДА")</f>
        <v>НЕТ</v>
      </c>
      <c r="B360" s="4">
        <v>359</v>
      </c>
      <c r="C360" s="4" t="s">
        <v>385</v>
      </c>
      <c r="D360" s="4" t="s">
        <v>386</v>
      </c>
    </row>
    <row r="361" spans="1:6" ht="45.75" hidden="1" thickBot="1">
      <c r="A361" t="str">
        <f>IF(ISNA(INDEX('ID относящиеся у производству'!A:A,MATCH(B361,'ID относящиеся у производству'!A:A,0),1))=TRUE,"НЕТ","ДА")</f>
        <v>НЕТ</v>
      </c>
      <c r="B361" s="4">
        <v>360</v>
      </c>
      <c r="C361" s="4" t="s">
        <v>67</v>
      </c>
      <c r="D361" s="4" t="s">
        <v>1347</v>
      </c>
    </row>
    <row r="362" spans="1:6" ht="60.75" hidden="1" thickBot="1">
      <c r="A362" t="str">
        <f>IF(ISNA(INDEX('ID относящиеся у производству'!A:A,MATCH(B362,'ID относящиеся у производству'!A:A,0),1))=TRUE,"НЕТ","ДА")</f>
        <v>НЕТ</v>
      </c>
      <c r="B362" s="4">
        <v>361</v>
      </c>
      <c r="C362" s="4" t="s">
        <v>67</v>
      </c>
      <c r="D362" s="4" t="s">
        <v>455</v>
      </c>
    </row>
    <row r="363" spans="1:6" ht="30.75" thickBot="1">
      <c r="A363" t="str">
        <f>IF(ISNA(INDEX('ID относящиеся у производству'!A:A,MATCH(B363,'ID относящиеся у производству'!A:A,0),1))=TRUE,"НЕТ","ДА")</f>
        <v>ДА</v>
      </c>
      <c r="B363" s="4">
        <v>362</v>
      </c>
      <c r="C363" s="4" t="s">
        <v>44</v>
      </c>
      <c r="D363" s="4" t="s">
        <v>665</v>
      </c>
      <c r="E363" s="8" t="s">
        <v>3800</v>
      </c>
      <c r="F363" s="9" t="s">
        <v>3793</v>
      </c>
    </row>
    <row r="364" spans="1:6" ht="15.75" hidden="1" thickBot="1">
      <c r="A364" t="str">
        <f>IF(ISNA(INDEX('ID относящиеся у производству'!A:A,MATCH(B364,'ID относящиеся у производству'!A:A,0),1))=TRUE,"НЕТ","ДА")</f>
        <v>НЕТ</v>
      </c>
      <c r="B364" s="4">
        <v>363</v>
      </c>
      <c r="C364" s="4" t="s">
        <v>2797</v>
      </c>
      <c r="D364" s="4" t="s">
        <v>990</v>
      </c>
    </row>
    <row r="365" spans="1:6" ht="45.75" hidden="1" thickBot="1">
      <c r="A365" t="str">
        <f>IF(ISNA(INDEX('ID относящиеся у производству'!A:A,MATCH(B365,'ID относящиеся у производству'!A:A,0),1))=TRUE,"НЕТ","ДА")</f>
        <v>НЕТ</v>
      </c>
      <c r="B365" s="4">
        <v>364</v>
      </c>
      <c r="C365" s="4" t="s">
        <v>2811</v>
      </c>
      <c r="D365" s="4" t="s">
        <v>436</v>
      </c>
    </row>
    <row r="366" spans="1:6" ht="30.75" thickBot="1">
      <c r="A366" t="str">
        <f>IF(ISNA(INDEX('ID относящиеся у производству'!A:A,MATCH(B366,'ID относящиеся у производству'!A:A,0),1))=TRUE,"НЕТ","ДА")</f>
        <v>ДА</v>
      </c>
      <c r="B366" s="4">
        <v>365</v>
      </c>
      <c r="C366" s="4" t="s">
        <v>280</v>
      </c>
      <c r="D366" s="4" t="s">
        <v>2813</v>
      </c>
      <c r="E366" s="8" t="s">
        <v>3796</v>
      </c>
      <c r="F366" s="9" t="s">
        <v>3793</v>
      </c>
    </row>
    <row r="367" spans="1:6" ht="30.75" thickBot="1">
      <c r="A367" t="str">
        <f>IF(ISNA(INDEX('ID относящиеся у производству'!A:A,MATCH(B367,'ID относящиеся у производству'!A:A,0),1))=TRUE,"НЕТ","ДА")</f>
        <v>ДА</v>
      </c>
      <c r="B367" s="4">
        <v>366</v>
      </c>
      <c r="C367" s="4" t="s">
        <v>239</v>
      </c>
      <c r="D367" s="4" t="s">
        <v>240</v>
      </c>
      <c r="E367" s="8" t="s">
        <v>3795</v>
      </c>
      <c r="F367" s="9" t="s">
        <v>3793</v>
      </c>
    </row>
    <row r="368" spans="1:6" ht="30.75" hidden="1" thickBot="1">
      <c r="A368" t="str">
        <f>IF(ISNA(INDEX('ID относящиеся у производству'!A:A,MATCH(B368,'ID относящиеся у производству'!A:A,0),1))=TRUE,"НЕТ","ДА")</f>
        <v>НЕТ</v>
      </c>
      <c r="B368" s="4">
        <v>367</v>
      </c>
      <c r="C368" s="4" t="s">
        <v>67</v>
      </c>
      <c r="D368" s="4" t="s">
        <v>1540</v>
      </c>
    </row>
    <row r="369" spans="1:6" ht="30.75" hidden="1" thickBot="1">
      <c r="A369" t="str">
        <f>IF(ISNA(INDEX('ID относящиеся у производству'!A:A,MATCH(B369,'ID относящиеся у производству'!A:A,0),1))=TRUE,"НЕТ","ДА")</f>
        <v>НЕТ</v>
      </c>
      <c r="B369" s="4">
        <v>368</v>
      </c>
      <c r="C369" s="4" t="s">
        <v>420</v>
      </c>
      <c r="D369" s="4" t="s">
        <v>417</v>
      </c>
    </row>
    <row r="370" spans="1:6" ht="30.75" thickBot="1">
      <c r="A370" t="str">
        <f>IF(ISNA(INDEX('ID относящиеся у производству'!A:A,MATCH(B370,'ID относящиеся у производству'!A:A,0),1))=TRUE,"НЕТ","ДА")</f>
        <v>ДА</v>
      </c>
      <c r="B370" s="4">
        <v>369</v>
      </c>
      <c r="C370" s="4" t="s">
        <v>239</v>
      </c>
      <c r="D370" s="4" t="s">
        <v>2813</v>
      </c>
      <c r="E370" s="8" t="s">
        <v>3795</v>
      </c>
      <c r="F370" s="9" t="s">
        <v>3793</v>
      </c>
    </row>
    <row r="371" spans="1:6" ht="30.75" thickBot="1">
      <c r="A371" t="str">
        <f>IF(ISNA(INDEX('ID относящиеся у производству'!A:A,MATCH(B371,'ID относящиеся у производству'!A:A,0),1))=TRUE,"НЕТ","ДА")</f>
        <v>ДА</v>
      </c>
      <c r="B371" s="4">
        <v>370</v>
      </c>
      <c r="C371" s="4" t="s">
        <v>280</v>
      </c>
      <c r="D371" s="4" t="s">
        <v>1611</v>
      </c>
      <c r="E371" s="8" t="s">
        <v>3796</v>
      </c>
      <c r="F371" s="9" t="s">
        <v>3793</v>
      </c>
    </row>
    <row r="372" spans="1:6" ht="30.75" thickBot="1">
      <c r="A372" t="str">
        <f>IF(ISNA(INDEX('ID относящиеся у производству'!A:A,MATCH(B372,'ID относящиеся у производству'!A:A,0),1))=TRUE,"НЕТ","ДА")</f>
        <v>ДА</v>
      </c>
      <c r="B372" s="4">
        <v>371</v>
      </c>
      <c r="C372" s="4" t="s">
        <v>1670</v>
      </c>
      <c r="D372" s="4" t="s">
        <v>665</v>
      </c>
      <c r="E372" s="8" t="s">
        <v>3798</v>
      </c>
      <c r="F372" s="9" t="s">
        <v>3793</v>
      </c>
    </row>
    <row r="373" spans="1:6" ht="30.75" hidden="1" thickBot="1">
      <c r="A373" t="str">
        <f>IF(ISNA(INDEX('ID относящиеся у производству'!A:A,MATCH(B373,'ID относящиеся у производству'!A:A,0),1))=TRUE,"НЕТ","ДА")</f>
        <v>НЕТ</v>
      </c>
      <c r="B373" s="4">
        <v>372</v>
      </c>
      <c r="C373" s="4" t="s">
        <v>247</v>
      </c>
      <c r="D373" s="4" t="s">
        <v>158</v>
      </c>
    </row>
    <row r="374" spans="1:6" ht="30.75" hidden="1" thickBot="1">
      <c r="A374" t="str">
        <f>IF(ISNA(INDEX('ID относящиеся у производству'!A:A,MATCH(B374,'ID относящиеся у производству'!A:A,0),1))=TRUE,"НЕТ","ДА")</f>
        <v>НЕТ</v>
      </c>
      <c r="B374" s="4">
        <v>373</v>
      </c>
      <c r="C374" s="4" t="s">
        <v>247</v>
      </c>
      <c r="D374" s="4" t="s">
        <v>158</v>
      </c>
    </row>
    <row r="375" spans="1:6" ht="45.75" hidden="1" thickBot="1">
      <c r="A375" t="str">
        <f>IF(ISNA(INDEX('ID относящиеся у производству'!A:A,MATCH(B375,'ID относящиеся у производству'!A:A,0),1))=TRUE,"НЕТ","ДА")</f>
        <v>НЕТ</v>
      </c>
      <c r="B375" s="4">
        <v>374</v>
      </c>
      <c r="C375" s="4" t="s">
        <v>67</v>
      </c>
      <c r="D375" s="4" t="s">
        <v>85</v>
      </c>
    </row>
    <row r="376" spans="1:6" ht="45.75" hidden="1" thickBot="1">
      <c r="A376" t="str">
        <f>IF(ISNA(INDEX('ID относящиеся у производству'!A:A,MATCH(B376,'ID относящиеся у производству'!A:A,0),1))=TRUE,"НЕТ","ДА")</f>
        <v>НЕТ</v>
      </c>
      <c r="B376" s="4">
        <v>375</v>
      </c>
      <c r="C376" s="4" t="s">
        <v>724</v>
      </c>
      <c r="D376" s="4" t="s">
        <v>725</v>
      </c>
    </row>
    <row r="377" spans="1:6" ht="45.75" hidden="1" thickBot="1">
      <c r="A377" t="str">
        <f>IF(ISNA(INDEX('ID относящиеся у производству'!A:A,MATCH(B377,'ID относящиеся у производству'!A:A,0),1))=TRUE,"НЕТ","ДА")</f>
        <v>НЕТ</v>
      </c>
      <c r="B377" s="4">
        <v>376</v>
      </c>
      <c r="C377" s="4" t="s">
        <v>1268</v>
      </c>
      <c r="D377" s="4" t="s">
        <v>1269</v>
      </c>
    </row>
    <row r="378" spans="1:6" ht="30.75" thickBot="1">
      <c r="A378" t="str">
        <f>IF(ISNA(INDEX('ID относящиеся у производству'!A:A,MATCH(B378,'ID относящиеся у производству'!A:A,0),1))=TRUE,"НЕТ","ДА")</f>
        <v>ДА</v>
      </c>
      <c r="B378" s="4">
        <v>377</v>
      </c>
      <c r="C378" s="4" t="s">
        <v>280</v>
      </c>
      <c r="D378" s="4" t="s">
        <v>506</v>
      </c>
      <c r="E378" s="8" t="s">
        <v>3796</v>
      </c>
      <c r="F378" s="9" t="s">
        <v>3793</v>
      </c>
    </row>
    <row r="379" spans="1:6" ht="45.75" hidden="1" thickBot="1">
      <c r="A379" t="str">
        <f>IF(ISNA(INDEX('ID относящиеся у производству'!A:A,MATCH(B379,'ID относящиеся у производству'!A:A,0),1))=TRUE,"НЕТ","ДА")</f>
        <v>НЕТ</v>
      </c>
      <c r="B379" s="4">
        <v>378</v>
      </c>
      <c r="C379" s="4" t="s">
        <v>2904</v>
      </c>
      <c r="D379" s="4" t="s">
        <v>436</v>
      </c>
    </row>
    <row r="380" spans="1:6" ht="30.75" hidden="1" thickBot="1">
      <c r="A380" t="str">
        <f>IF(ISNA(INDEX('ID относящиеся у производству'!A:A,MATCH(B380,'ID относящиеся у производству'!A:A,0),1))=TRUE,"НЕТ","ДА")</f>
        <v>НЕТ</v>
      </c>
      <c r="B380" s="4">
        <v>379</v>
      </c>
      <c r="C380" s="4" t="s">
        <v>247</v>
      </c>
      <c r="D380" s="4" t="s">
        <v>158</v>
      </c>
    </row>
    <row r="381" spans="1:6" ht="45.75" hidden="1" thickBot="1">
      <c r="A381" t="str">
        <f>IF(ISNA(INDEX('ID относящиеся у производству'!A:A,MATCH(B381,'ID относящиеся у производству'!A:A,0),1))=TRUE,"НЕТ","ДА")</f>
        <v>НЕТ</v>
      </c>
      <c r="B381" s="4">
        <v>380</v>
      </c>
      <c r="C381" s="4" t="s">
        <v>2904</v>
      </c>
      <c r="D381" s="4" t="s">
        <v>436</v>
      </c>
    </row>
    <row r="382" spans="1:6" ht="30.75" hidden="1" thickBot="1">
      <c r="A382" t="str">
        <f>IF(ISNA(INDEX('ID относящиеся у производству'!A:A,MATCH(B382,'ID относящиеся у производству'!A:A,0),1))=TRUE,"НЕТ","ДА")</f>
        <v>НЕТ</v>
      </c>
      <c r="B382" s="4">
        <v>381</v>
      </c>
      <c r="C382" s="4" t="s">
        <v>385</v>
      </c>
      <c r="D382" s="4" t="s">
        <v>2918</v>
      </c>
    </row>
    <row r="383" spans="1:6" ht="30.75" hidden="1" thickBot="1">
      <c r="A383" t="str">
        <f>IF(ISNA(INDEX('ID относящиеся у производству'!A:A,MATCH(B383,'ID относящиеся у производству'!A:A,0),1))=TRUE,"НЕТ","ДА")</f>
        <v>НЕТ</v>
      </c>
      <c r="B383" s="4">
        <v>382</v>
      </c>
      <c r="C383" s="4" t="s">
        <v>403</v>
      </c>
      <c r="D383" s="4" t="s">
        <v>404</v>
      </c>
    </row>
    <row r="384" spans="1:6" ht="30.75" hidden="1" thickBot="1">
      <c r="A384" t="str">
        <f>IF(ISNA(INDEX('ID относящиеся у производству'!A:A,MATCH(B384,'ID относящиеся у производству'!A:A,0),1))=TRUE,"НЕТ","ДА")</f>
        <v>НЕТ</v>
      </c>
      <c r="B384" s="4">
        <v>383</v>
      </c>
      <c r="C384" s="4" t="s">
        <v>307</v>
      </c>
      <c r="D384" s="4" t="s">
        <v>869</v>
      </c>
    </row>
    <row r="385" spans="1:6" ht="45.75" hidden="1" thickBot="1">
      <c r="A385" t="str">
        <f>IF(ISNA(INDEX('ID относящиеся у производству'!A:A,MATCH(B385,'ID относящиеся у производству'!A:A,0),1))=TRUE,"НЕТ","ДА")</f>
        <v>НЕТ</v>
      </c>
      <c r="B385" s="4">
        <v>384</v>
      </c>
      <c r="C385" s="4" t="s">
        <v>67</v>
      </c>
      <c r="D385" s="4" t="s">
        <v>1347</v>
      </c>
    </row>
    <row r="386" spans="1:6" ht="30.75" thickBot="1">
      <c r="A386" t="str">
        <f>IF(ISNA(INDEX('ID относящиеся у производству'!A:A,MATCH(B386,'ID относящиеся у производству'!A:A,0),1))=TRUE,"НЕТ","ДА")</f>
        <v>ДА</v>
      </c>
      <c r="B386" s="4">
        <v>385</v>
      </c>
      <c r="C386" s="4" t="s">
        <v>39</v>
      </c>
      <c r="D386" s="4" t="s">
        <v>598</v>
      </c>
      <c r="E386" s="8" t="s">
        <v>3792</v>
      </c>
      <c r="F386" s="9" t="s">
        <v>3793</v>
      </c>
    </row>
    <row r="387" spans="1:6" ht="30.75" thickBot="1">
      <c r="A387" t="str">
        <f>IF(ISNA(INDEX('ID относящиеся у производству'!A:A,MATCH(B387,'ID относящиеся у производству'!A:A,0),1))=TRUE,"НЕТ","ДА")</f>
        <v>ДА</v>
      </c>
      <c r="B387" s="4">
        <v>386</v>
      </c>
      <c r="C387" s="4" t="s">
        <v>193</v>
      </c>
      <c r="D387" s="4" t="s">
        <v>1620</v>
      </c>
      <c r="E387" s="8" t="s">
        <v>3794</v>
      </c>
      <c r="F387" s="9" t="s">
        <v>3793</v>
      </c>
    </row>
    <row r="388" spans="1:6" ht="30.75" thickBot="1">
      <c r="A388" t="str">
        <f>IF(ISNA(INDEX('ID относящиеся у производству'!A:A,MATCH(B388,'ID относящиеся у производству'!A:A,0),1))=TRUE,"НЕТ","ДА")</f>
        <v>ДА</v>
      </c>
      <c r="B388" s="4">
        <v>387</v>
      </c>
      <c r="C388" s="4" t="s">
        <v>239</v>
      </c>
      <c r="D388" s="4" t="s">
        <v>1587</v>
      </c>
      <c r="E388" s="8" t="s">
        <v>3795</v>
      </c>
      <c r="F388" s="9" t="s">
        <v>3793</v>
      </c>
    </row>
    <row r="389" spans="1:6" ht="30.75" thickBot="1">
      <c r="A389" t="str">
        <f>IF(ISNA(INDEX('ID относящиеся у производству'!A:A,MATCH(B389,'ID относящиеся у производству'!A:A,0),1))=TRUE,"НЕТ","ДА")</f>
        <v>ДА</v>
      </c>
      <c r="B389" s="4">
        <v>388</v>
      </c>
      <c r="C389" s="4" t="s">
        <v>39</v>
      </c>
      <c r="D389" s="4" t="s">
        <v>2007</v>
      </c>
      <c r="E389" s="8" t="s">
        <v>3792</v>
      </c>
      <c r="F389" s="9" t="s">
        <v>3793</v>
      </c>
    </row>
    <row r="390" spans="1:6" ht="30.75" thickBot="1">
      <c r="A390" t="str">
        <f>IF(ISNA(INDEX('ID относящиеся у производству'!A:A,MATCH(B390,'ID относящиеся у производству'!A:A,0),1))=TRUE,"НЕТ","ДА")</f>
        <v>ДА</v>
      </c>
      <c r="B390" s="4">
        <v>389</v>
      </c>
      <c r="C390" s="4" t="s">
        <v>39</v>
      </c>
      <c r="D390" s="4" t="s">
        <v>1625</v>
      </c>
      <c r="E390" s="8" t="s">
        <v>3792</v>
      </c>
      <c r="F390" s="9" t="s">
        <v>3793</v>
      </c>
    </row>
    <row r="391" spans="1:6" ht="45.75" hidden="1" thickBot="1">
      <c r="A391" t="str">
        <f>IF(ISNA(INDEX('ID относящиеся у производству'!A:A,MATCH(B391,'ID относящиеся у производству'!A:A,0),1))=TRUE,"НЕТ","ДА")</f>
        <v>НЕТ</v>
      </c>
      <c r="B391" s="4">
        <v>390</v>
      </c>
      <c r="C391" s="4" t="s">
        <v>2811</v>
      </c>
      <c r="D391" s="4" t="s">
        <v>436</v>
      </c>
    </row>
    <row r="392" spans="1:6" ht="30.75" hidden="1" thickBot="1">
      <c r="A392" t="str">
        <f>IF(ISNA(INDEX('ID относящиеся у производству'!A:A,MATCH(B392,'ID относящиеся у производству'!A:A,0),1))=TRUE,"НЕТ","ДА")</f>
        <v>НЕТ</v>
      </c>
      <c r="B392" s="4">
        <v>391</v>
      </c>
      <c r="C392" s="4" t="s">
        <v>307</v>
      </c>
      <c r="D392" s="4" t="s">
        <v>1362</v>
      </c>
    </row>
    <row r="393" spans="1:6" ht="30.75" thickBot="1">
      <c r="A393" t="str">
        <f>IF(ISNA(INDEX('ID относящиеся у производству'!A:A,MATCH(B393,'ID относящиеся у производству'!A:A,0),1))=TRUE,"НЕТ","ДА")</f>
        <v>ДА</v>
      </c>
      <c r="B393" s="4">
        <v>392</v>
      </c>
      <c r="C393" s="4" t="s">
        <v>1670</v>
      </c>
      <c r="D393" s="4" t="s">
        <v>506</v>
      </c>
      <c r="E393" s="8" t="s">
        <v>3798</v>
      </c>
      <c r="F393" s="9" t="s">
        <v>3793</v>
      </c>
    </row>
    <row r="394" spans="1:6" ht="45.75" hidden="1" thickBot="1">
      <c r="A394" t="str">
        <f>IF(ISNA(INDEX('ID относящиеся у производству'!A:A,MATCH(B394,'ID относящиеся у производству'!A:A,0),1))=TRUE,"НЕТ","ДА")</f>
        <v>НЕТ</v>
      </c>
      <c r="B394" s="4">
        <v>393</v>
      </c>
      <c r="C394" s="4" t="s">
        <v>2982</v>
      </c>
      <c r="D394" s="4" t="s">
        <v>1488</v>
      </c>
    </row>
    <row r="395" spans="1:6" ht="15.75" hidden="1" thickBot="1">
      <c r="A395" t="str">
        <f>IF(ISNA(INDEX('ID относящиеся у производству'!A:A,MATCH(B395,'ID относящиеся у производству'!A:A,0),1))=TRUE,"НЕТ","ДА")</f>
        <v>НЕТ</v>
      </c>
      <c r="B395" s="4">
        <v>394</v>
      </c>
      <c r="C395" s="4" t="s">
        <v>1252</v>
      </c>
      <c r="D395" s="4" t="s">
        <v>1253</v>
      </c>
    </row>
    <row r="396" spans="1:6" ht="30.75" thickBot="1">
      <c r="A396" t="str">
        <f>IF(ISNA(INDEX('ID относящиеся у производству'!A:A,MATCH(B396,'ID относящиеся у производству'!A:A,0),1))=TRUE,"НЕТ","ДА")</f>
        <v>ДА</v>
      </c>
      <c r="B396" s="4">
        <v>395</v>
      </c>
      <c r="C396" s="4" t="s">
        <v>193</v>
      </c>
      <c r="D396" s="4" t="s">
        <v>2517</v>
      </c>
      <c r="E396" s="8" t="s">
        <v>3794</v>
      </c>
      <c r="F396" s="9" t="s">
        <v>3793</v>
      </c>
    </row>
    <row r="397" spans="1:6" ht="45.75" hidden="1" thickBot="1">
      <c r="A397" t="str">
        <f>IF(ISNA(INDEX('ID относящиеся у производству'!A:A,MATCH(B397,'ID относящиеся у производству'!A:A,0),1))=TRUE,"НЕТ","ДА")</f>
        <v>НЕТ</v>
      </c>
      <c r="B397" s="4">
        <v>396</v>
      </c>
      <c r="C397" s="4" t="s">
        <v>88</v>
      </c>
      <c r="D397" s="4" t="s">
        <v>1659</v>
      </c>
    </row>
    <row r="398" spans="1:6" ht="60.75" hidden="1" thickBot="1">
      <c r="A398" t="str">
        <f>IF(ISNA(INDEX('ID относящиеся у производству'!A:A,MATCH(B398,'ID относящиеся у производству'!A:A,0),1))=TRUE,"НЕТ","ДА")</f>
        <v>НЕТ</v>
      </c>
      <c r="B398" s="4">
        <v>397</v>
      </c>
      <c r="C398" s="4" t="s">
        <v>454</v>
      </c>
      <c r="D398" s="4" t="s">
        <v>455</v>
      </c>
    </row>
    <row r="399" spans="1:6" ht="75.75" hidden="1" thickBot="1">
      <c r="A399" t="str">
        <f>IF(ISNA(INDEX('ID относящиеся у производству'!A:A,MATCH(B399,'ID относящиеся у производству'!A:A,0),1))=TRUE,"НЕТ","ДА")</f>
        <v>НЕТ</v>
      </c>
      <c r="B399" s="4">
        <v>398</v>
      </c>
      <c r="C399" s="4" t="s">
        <v>454</v>
      </c>
      <c r="D399" s="4" t="s">
        <v>3012</v>
      </c>
    </row>
    <row r="400" spans="1:6" ht="30.75" thickBot="1">
      <c r="A400" t="str">
        <f>IF(ISNA(INDEX('ID относящиеся у производству'!A:A,MATCH(B400,'ID относящиеся у производству'!A:A,0),1))=TRUE,"НЕТ","ДА")</f>
        <v>ДА</v>
      </c>
      <c r="B400" s="4">
        <v>399</v>
      </c>
      <c r="C400" s="4" t="s">
        <v>193</v>
      </c>
      <c r="D400" s="4" t="s">
        <v>45</v>
      </c>
      <c r="E400" s="8" t="s">
        <v>3794</v>
      </c>
      <c r="F400" s="9" t="s">
        <v>3793</v>
      </c>
    </row>
    <row r="401" spans="1:6" ht="45.75" hidden="1" thickBot="1">
      <c r="A401" t="str">
        <f>IF(ISNA(INDEX('ID относящиеся у производству'!A:A,MATCH(B401,'ID относящиеся у производству'!A:A,0),1))=TRUE,"НЕТ","ДА")</f>
        <v>НЕТ</v>
      </c>
      <c r="B401" s="4">
        <v>400</v>
      </c>
      <c r="C401" s="4" t="s">
        <v>724</v>
      </c>
      <c r="D401" s="4" t="s">
        <v>725</v>
      </c>
    </row>
    <row r="402" spans="1:6" ht="30.75" thickBot="1">
      <c r="A402" t="str">
        <f>IF(ISNA(INDEX('ID относящиеся у производству'!A:A,MATCH(B402,'ID относящиеся у производству'!A:A,0),1))=TRUE,"НЕТ","ДА")</f>
        <v>ДА</v>
      </c>
      <c r="B402" s="4">
        <v>401</v>
      </c>
      <c r="C402" s="4" t="s">
        <v>44</v>
      </c>
      <c r="D402" s="4" t="s">
        <v>241</v>
      </c>
      <c r="E402" s="8" t="s">
        <v>3800</v>
      </c>
      <c r="F402" s="9" t="s">
        <v>3793</v>
      </c>
    </row>
    <row r="403" spans="1:6" ht="60.75" hidden="1" thickBot="1">
      <c r="A403" t="str">
        <f>IF(ISNA(INDEX('ID относящиеся у производству'!A:A,MATCH(B403,'ID относящиеся у производству'!A:A,0),1))=TRUE,"НЕТ","ДА")</f>
        <v>НЕТ</v>
      </c>
      <c r="B403" s="4">
        <v>402</v>
      </c>
      <c r="C403" s="4" t="s">
        <v>1290</v>
      </c>
      <c r="D403" s="4" t="s">
        <v>349</v>
      </c>
    </row>
    <row r="404" spans="1:6" ht="75.75" hidden="1" thickBot="1">
      <c r="A404" t="str">
        <f>IF(ISNA(INDEX('ID относящиеся у производству'!A:A,MATCH(B404,'ID относящиеся у производству'!A:A,0),1))=TRUE,"НЕТ","ДА")</f>
        <v>НЕТ</v>
      </c>
      <c r="B404" s="4">
        <v>403</v>
      </c>
      <c r="C404" s="4" t="s">
        <v>454</v>
      </c>
      <c r="D404" s="4" t="s">
        <v>1001</v>
      </c>
    </row>
    <row r="405" spans="1:6" ht="60.75" hidden="1" thickBot="1">
      <c r="A405" t="str">
        <f>IF(ISNA(INDEX('ID относящиеся у производству'!A:A,MATCH(B405,'ID относящиеся у производству'!A:A,0),1))=TRUE,"НЕТ","ДА")</f>
        <v>НЕТ</v>
      </c>
      <c r="B405" s="4">
        <v>404</v>
      </c>
      <c r="C405" s="4" t="s">
        <v>67</v>
      </c>
      <c r="D405" s="4" t="s">
        <v>2429</v>
      </c>
    </row>
    <row r="406" spans="1:6" ht="30.75" thickBot="1">
      <c r="A406" t="str">
        <f>IF(ISNA(INDEX('ID относящиеся у производству'!A:A,MATCH(B406,'ID относящиеся у производству'!A:A,0),1))=TRUE,"НЕТ","ДА")</f>
        <v>ДА</v>
      </c>
      <c r="B406" s="4">
        <v>405</v>
      </c>
      <c r="C406" s="4" t="s">
        <v>39</v>
      </c>
      <c r="D406" s="4" t="s">
        <v>3032</v>
      </c>
      <c r="E406" s="8" t="s">
        <v>3792</v>
      </c>
      <c r="F406" s="9" t="s">
        <v>3793</v>
      </c>
    </row>
    <row r="407" spans="1:6" ht="45.75" hidden="1" thickBot="1">
      <c r="A407" t="str">
        <f>IF(ISNA(INDEX('ID относящиеся у производству'!A:A,MATCH(B407,'ID относящиеся у производству'!A:A,0),1))=TRUE,"НЕТ","ДА")</f>
        <v>НЕТ</v>
      </c>
      <c r="B407" s="4">
        <v>406</v>
      </c>
      <c r="C407" s="4" t="s">
        <v>88</v>
      </c>
      <c r="D407" s="4" t="s">
        <v>365</v>
      </c>
    </row>
    <row r="408" spans="1:6" ht="30.75" thickBot="1">
      <c r="A408" t="str">
        <f>IF(ISNA(INDEX('ID относящиеся у производству'!A:A,MATCH(B408,'ID относящиеся у производству'!A:A,0),1))=TRUE,"НЕТ","ДА")</f>
        <v>ДА</v>
      </c>
      <c r="B408" s="4">
        <v>407</v>
      </c>
      <c r="C408" s="4" t="s">
        <v>239</v>
      </c>
      <c r="D408" s="4" t="s">
        <v>240</v>
      </c>
      <c r="E408" s="8" t="s">
        <v>3795</v>
      </c>
      <c r="F408" s="9" t="s">
        <v>3793</v>
      </c>
    </row>
    <row r="409" spans="1:6" ht="15.75" hidden="1" thickBot="1">
      <c r="A409" t="str">
        <f>IF(ISNA(INDEX('ID относящиеся у производству'!A:A,MATCH(B409,'ID относящиеся у производству'!A:A,0),1))=TRUE,"НЕТ","ДА")</f>
        <v>НЕТ</v>
      </c>
      <c r="B409" s="4">
        <v>408</v>
      </c>
      <c r="C409" s="4" t="s">
        <v>307</v>
      </c>
      <c r="D409" s="4" t="s">
        <v>990</v>
      </c>
    </row>
    <row r="410" spans="1:6" ht="30.75" thickBot="1">
      <c r="A410" t="str">
        <f>IF(ISNA(INDEX('ID относящиеся у производству'!A:A,MATCH(B410,'ID относящиеся у производству'!A:A,0),1))=TRUE,"НЕТ","ДА")</f>
        <v>ДА</v>
      </c>
      <c r="B410" s="4">
        <v>409</v>
      </c>
      <c r="C410" s="4" t="s">
        <v>280</v>
      </c>
      <c r="D410" s="4" t="s">
        <v>2498</v>
      </c>
      <c r="E410" s="8" t="s">
        <v>3796</v>
      </c>
      <c r="F410" s="9" t="s">
        <v>3793</v>
      </c>
    </row>
    <row r="411" spans="1:6" ht="30.75" hidden="1" thickBot="1">
      <c r="A411" t="str">
        <f>IF(ISNA(INDEX('ID относящиеся у производству'!A:A,MATCH(B411,'ID относящиеся у производству'!A:A,0),1))=TRUE,"НЕТ","ДА")</f>
        <v>НЕТ</v>
      </c>
      <c r="B411" s="4">
        <v>410</v>
      </c>
      <c r="C411" s="4" t="s">
        <v>67</v>
      </c>
      <c r="D411" s="4" t="s">
        <v>2550</v>
      </c>
    </row>
    <row r="412" spans="1:6" ht="30.75" thickBot="1">
      <c r="A412" t="str">
        <f>IF(ISNA(INDEX('ID относящиеся у производству'!A:A,MATCH(B412,'ID относящиеся у производству'!A:A,0),1))=TRUE,"НЕТ","ДА")</f>
        <v>ДА</v>
      </c>
      <c r="B412" s="4">
        <v>411</v>
      </c>
      <c r="C412" s="4" t="s">
        <v>193</v>
      </c>
      <c r="D412" s="4" t="s">
        <v>651</v>
      </c>
      <c r="E412" s="8" t="s">
        <v>3794</v>
      </c>
      <c r="F412" s="9" t="s">
        <v>3793</v>
      </c>
    </row>
    <row r="413" spans="1:6" ht="45.75" hidden="1" thickBot="1">
      <c r="A413" t="str">
        <f>IF(ISNA(INDEX('ID относящиеся у производству'!A:A,MATCH(B413,'ID относящиеся у производству'!A:A,0),1))=TRUE,"НЕТ","ДА")</f>
        <v>НЕТ</v>
      </c>
      <c r="B413" s="4">
        <v>412</v>
      </c>
      <c r="C413" s="4" t="s">
        <v>67</v>
      </c>
      <c r="D413" s="4" t="s">
        <v>1347</v>
      </c>
    </row>
    <row r="414" spans="1:6" ht="45.75" hidden="1" thickBot="1">
      <c r="A414" t="str">
        <f>IF(ISNA(INDEX('ID относящиеся у производству'!A:A,MATCH(B414,'ID относящиеся у производству'!A:A,0),1))=TRUE,"НЕТ","ДА")</f>
        <v>НЕТ</v>
      </c>
      <c r="B414" s="4">
        <v>413</v>
      </c>
      <c r="C414" s="4" t="s">
        <v>2719</v>
      </c>
      <c r="D414" s="4" t="s">
        <v>558</v>
      </c>
    </row>
    <row r="415" spans="1:6" ht="30.75" thickBot="1">
      <c r="A415" t="str">
        <f>IF(ISNA(INDEX('ID относящиеся у производству'!A:A,MATCH(B415,'ID относящиеся у производству'!A:A,0),1))=TRUE,"НЕТ","ДА")</f>
        <v>ДА</v>
      </c>
      <c r="B415" s="4">
        <v>414</v>
      </c>
      <c r="C415" s="4" t="s">
        <v>239</v>
      </c>
      <c r="D415" s="4" t="s">
        <v>2813</v>
      </c>
      <c r="E415" s="8" t="s">
        <v>3795</v>
      </c>
      <c r="F415" s="9" t="s">
        <v>3793</v>
      </c>
    </row>
    <row r="416" spans="1:6" ht="30.75" hidden="1" thickBot="1">
      <c r="A416" t="str">
        <f>IF(ISNA(INDEX('ID относящиеся у производству'!A:A,MATCH(B416,'ID относящиеся у производству'!A:A,0),1))=TRUE,"НЕТ","ДА")</f>
        <v>НЕТ</v>
      </c>
      <c r="B416" s="4">
        <v>415</v>
      </c>
      <c r="C416" s="4" t="s">
        <v>3075</v>
      </c>
      <c r="D416" s="4" t="s">
        <v>1362</v>
      </c>
    </row>
    <row r="417" spans="1:6" ht="30.75" thickBot="1">
      <c r="A417" t="str">
        <f>IF(ISNA(INDEX('ID относящиеся у производству'!A:A,MATCH(B417,'ID относящиеся у производству'!A:A,0),1))=TRUE,"НЕТ","ДА")</f>
        <v>ДА</v>
      </c>
      <c r="B417" s="4">
        <v>416</v>
      </c>
      <c r="C417" s="4" t="s">
        <v>39</v>
      </c>
      <c r="D417" s="4" t="s">
        <v>665</v>
      </c>
      <c r="E417" s="8" t="s">
        <v>3792</v>
      </c>
      <c r="F417" s="9" t="s">
        <v>3793</v>
      </c>
    </row>
    <row r="418" spans="1:6" ht="45.75" hidden="1" thickBot="1">
      <c r="A418" t="str">
        <f>IF(ISNA(INDEX('ID относящиеся у производству'!A:A,MATCH(B418,'ID относящиеся у производству'!A:A,0),1))=TRUE,"НЕТ","ДА")</f>
        <v>НЕТ</v>
      </c>
      <c r="B418" s="4">
        <v>417</v>
      </c>
      <c r="C418" s="4" t="s">
        <v>316</v>
      </c>
      <c r="D418" s="4" t="s">
        <v>909</v>
      </c>
    </row>
    <row r="419" spans="1:6" ht="30.75" hidden="1" thickBot="1">
      <c r="A419" t="str">
        <f>IF(ISNA(INDEX('ID относящиеся у производству'!A:A,MATCH(B419,'ID относящиеся у производству'!A:A,0),1))=TRUE,"НЕТ","ДА")</f>
        <v>ДА</v>
      </c>
      <c r="B419" s="4">
        <v>418</v>
      </c>
      <c r="C419" s="4" t="s">
        <v>780</v>
      </c>
      <c r="D419" s="4" t="s">
        <v>781</v>
      </c>
    </row>
    <row r="420" spans="1:6" ht="45.75" hidden="1" thickBot="1">
      <c r="A420" t="str">
        <f>IF(ISNA(INDEX('ID относящиеся у производству'!A:A,MATCH(B420,'ID относящиеся у производству'!A:A,0),1))=TRUE,"НЕТ","ДА")</f>
        <v>НЕТ</v>
      </c>
      <c r="B420" s="4">
        <v>419</v>
      </c>
      <c r="C420" s="4" t="s">
        <v>88</v>
      </c>
      <c r="D420" s="4" t="s">
        <v>1488</v>
      </c>
    </row>
    <row r="421" spans="1:6" ht="60.75" hidden="1" thickBot="1">
      <c r="A421" t="str">
        <f>IF(ISNA(INDEX('ID относящиеся у производству'!A:A,MATCH(B421,'ID относящиеся у производству'!A:A,0),1))=TRUE,"НЕТ","ДА")</f>
        <v>НЕТ</v>
      </c>
      <c r="B421" s="4">
        <v>420</v>
      </c>
      <c r="C421" s="4" t="s">
        <v>2426</v>
      </c>
      <c r="D421" s="4" t="s">
        <v>2427</v>
      </c>
    </row>
    <row r="422" spans="1:6" ht="60.75" hidden="1" thickBot="1">
      <c r="A422" t="str">
        <f>IF(ISNA(INDEX('ID относящиеся у производству'!A:A,MATCH(B422,'ID относящиеся у производству'!A:A,0),1))=TRUE,"НЕТ","ДА")</f>
        <v>НЕТ</v>
      </c>
      <c r="B422" s="4">
        <v>421</v>
      </c>
      <c r="C422" s="4" t="s">
        <v>1377</v>
      </c>
      <c r="D422" s="4" t="s">
        <v>143</v>
      </c>
    </row>
    <row r="423" spans="1:6" ht="30.75" hidden="1" thickBot="1">
      <c r="A423" t="str">
        <f>IF(ISNA(INDEX('ID относящиеся у производству'!A:A,MATCH(B423,'ID относящиеся у производству'!A:A,0),1))=TRUE,"НЕТ","ДА")</f>
        <v>НЕТ</v>
      </c>
      <c r="B423" s="4">
        <v>422</v>
      </c>
      <c r="C423" s="4" t="s">
        <v>385</v>
      </c>
      <c r="D423" s="4" t="s">
        <v>386</v>
      </c>
    </row>
    <row r="424" spans="1:6" ht="60.75" hidden="1" thickBot="1">
      <c r="A424" t="str">
        <f>IF(ISNA(INDEX('ID относящиеся у производству'!A:A,MATCH(B424,'ID относящиеся у производству'!A:A,0),1))=TRUE,"НЕТ","ДА")</f>
        <v>НЕТ</v>
      </c>
      <c r="B424" s="4">
        <v>423</v>
      </c>
      <c r="C424" s="4" t="s">
        <v>2472</v>
      </c>
      <c r="D424" s="4" t="s">
        <v>2429</v>
      </c>
    </row>
    <row r="425" spans="1:6" ht="45.75" hidden="1" thickBot="1">
      <c r="A425" t="str">
        <f>IF(ISNA(INDEX('ID относящиеся у производству'!A:A,MATCH(B425,'ID относящиеся у производству'!A:A,0),1))=TRUE,"НЕТ","ДА")</f>
        <v>НЕТ</v>
      </c>
      <c r="B425" s="4">
        <v>424</v>
      </c>
      <c r="C425" s="4" t="s">
        <v>88</v>
      </c>
      <c r="D425" s="4" t="s">
        <v>1347</v>
      </c>
    </row>
    <row r="426" spans="1:6" ht="30.75" thickBot="1">
      <c r="A426" t="str">
        <f>IF(ISNA(INDEX('ID относящиеся у производству'!A:A,MATCH(B426,'ID относящиеся у производству'!A:A,0),1))=TRUE,"НЕТ","ДА")</f>
        <v>ДА</v>
      </c>
      <c r="B426" s="4">
        <v>425</v>
      </c>
      <c r="C426" s="4" t="s">
        <v>39</v>
      </c>
      <c r="D426" s="4" t="s">
        <v>651</v>
      </c>
      <c r="E426" s="8" t="s">
        <v>3792</v>
      </c>
      <c r="F426" s="9" t="s">
        <v>3793</v>
      </c>
    </row>
    <row r="427" spans="1:6" ht="45.75" hidden="1" thickBot="1">
      <c r="A427" t="str">
        <f>IF(ISNA(INDEX('ID относящиеся у производству'!A:A,MATCH(B427,'ID относящиеся у производству'!A:A,0),1))=TRUE,"НЕТ","ДА")</f>
        <v>НЕТ</v>
      </c>
      <c r="B427" s="4">
        <v>426</v>
      </c>
      <c r="C427" s="4" t="s">
        <v>766</v>
      </c>
      <c r="D427" s="4" t="s">
        <v>909</v>
      </c>
    </row>
    <row r="428" spans="1:6" ht="45.75" hidden="1" thickBot="1">
      <c r="A428" t="str">
        <f>IF(ISNA(INDEX('ID относящиеся у производству'!A:A,MATCH(B428,'ID относящиеся у производству'!A:A,0),1))=TRUE,"НЕТ","ДА")</f>
        <v>НЕТ</v>
      </c>
      <c r="B428" s="4">
        <v>427</v>
      </c>
      <c r="C428" s="4" t="s">
        <v>307</v>
      </c>
      <c r="D428" s="4" t="s">
        <v>477</v>
      </c>
    </row>
    <row r="429" spans="1:6" ht="30.75" hidden="1" thickBot="1">
      <c r="A429" t="str">
        <f>IF(ISNA(INDEX('ID относящиеся у производству'!A:A,MATCH(B429,'ID относящиеся у производству'!A:A,0),1))=TRUE,"НЕТ","ДА")</f>
        <v>НЕТ</v>
      </c>
      <c r="B429" s="4">
        <v>428</v>
      </c>
      <c r="C429" s="4" t="s">
        <v>2657</v>
      </c>
      <c r="D429" s="4" t="s">
        <v>614</v>
      </c>
    </row>
    <row r="430" spans="1:6" ht="75.75" hidden="1" thickBot="1">
      <c r="A430" t="str">
        <f>IF(ISNA(INDEX('ID относящиеся у производству'!A:A,MATCH(B430,'ID относящиеся у производству'!A:A,0),1))=TRUE,"НЕТ","ДА")</f>
        <v>НЕТ</v>
      </c>
      <c r="B430" s="4">
        <v>429</v>
      </c>
      <c r="C430" s="4" t="s">
        <v>280</v>
      </c>
      <c r="D430" s="4" t="s">
        <v>3147</v>
      </c>
    </row>
    <row r="431" spans="1:6" ht="30.75" hidden="1" thickBot="1">
      <c r="A431" t="str">
        <f>IF(ISNA(INDEX('ID относящиеся у производству'!A:A,MATCH(B431,'ID относящиеся у производству'!A:A,0),1))=TRUE,"НЕТ","ДА")</f>
        <v>НЕТ</v>
      </c>
      <c r="B431" s="4">
        <v>430</v>
      </c>
      <c r="C431" s="4" t="s">
        <v>280</v>
      </c>
      <c r="D431" s="4" t="s">
        <v>951</v>
      </c>
    </row>
    <row r="432" spans="1:6" ht="15.75" hidden="1" thickBot="1">
      <c r="A432" t="str">
        <f>IF(ISNA(INDEX('ID относящиеся у производству'!A:A,MATCH(B432,'ID относящиеся у производству'!A:A,0),1))=TRUE,"НЕТ","ДА")</f>
        <v>НЕТ</v>
      </c>
      <c r="B432" s="4">
        <v>431</v>
      </c>
      <c r="C432" s="4" t="s">
        <v>67</v>
      </c>
      <c r="D432" s="4" t="s">
        <v>511</v>
      </c>
    </row>
    <row r="433" spans="1:6" ht="45.75" thickBot="1">
      <c r="A433" t="str">
        <f>IF(ISNA(INDEX('ID относящиеся у производству'!A:A,MATCH(B433,'ID относящиеся у производству'!A:A,0),1))=TRUE,"НЕТ","ДА")</f>
        <v>ДА</v>
      </c>
      <c r="B433" s="4">
        <v>432</v>
      </c>
      <c r="C433" s="4" t="s">
        <v>239</v>
      </c>
      <c r="D433" s="4" t="s">
        <v>1102</v>
      </c>
      <c r="E433" s="8" t="s">
        <v>3795</v>
      </c>
      <c r="F433" s="9" t="s">
        <v>3793</v>
      </c>
    </row>
    <row r="434" spans="1:6" ht="30.75" thickBot="1">
      <c r="A434" t="str">
        <f>IF(ISNA(INDEX('ID относящиеся у производству'!A:A,MATCH(B434,'ID относящиеся у производству'!A:A,0),1))=TRUE,"НЕТ","ДА")</f>
        <v>ДА</v>
      </c>
      <c r="B434" s="4">
        <v>433</v>
      </c>
      <c r="C434" s="4" t="s">
        <v>39</v>
      </c>
      <c r="D434" s="4" t="s">
        <v>241</v>
      </c>
      <c r="E434" s="8" t="s">
        <v>3792</v>
      </c>
      <c r="F434" s="9" t="s">
        <v>3793</v>
      </c>
    </row>
    <row r="435" spans="1:6" ht="90.75" hidden="1" thickBot="1">
      <c r="A435" t="str">
        <f>IF(ISNA(INDEX('ID относящиеся у производству'!A:A,MATCH(B435,'ID относящиеся у производству'!A:A,0),1))=TRUE,"НЕТ","ДА")</f>
        <v>НЕТ</v>
      </c>
      <c r="B435" s="4">
        <v>434</v>
      </c>
      <c r="C435" s="4" t="s">
        <v>851</v>
      </c>
      <c r="D435" s="4" t="s">
        <v>852</v>
      </c>
    </row>
    <row r="436" spans="1:6" ht="30.75" thickBot="1">
      <c r="A436" t="str">
        <f>IF(ISNA(INDEX('ID относящиеся у производству'!A:A,MATCH(B436,'ID относящиеся у производству'!A:A,0),1))=TRUE,"НЕТ","ДА")</f>
        <v>ДА</v>
      </c>
      <c r="B436" s="4">
        <v>435</v>
      </c>
      <c r="C436" s="4" t="s">
        <v>239</v>
      </c>
      <c r="D436" s="4" t="s">
        <v>281</v>
      </c>
      <c r="E436" s="8" t="s">
        <v>3795</v>
      </c>
      <c r="F436" s="9" t="s">
        <v>3793</v>
      </c>
    </row>
    <row r="437" spans="1:6" ht="60.75" hidden="1" thickBot="1">
      <c r="A437" t="str">
        <f>IF(ISNA(INDEX('ID относящиеся у производству'!A:A,MATCH(B437,'ID относящиеся у производству'!A:A,0),1))=TRUE,"НЕТ","ДА")</f>
        <v>НЕТ</v>
      </c>
      <c r="B437" s="4">
        <v>436</v>
      </c>
      <c r="C437" s="4" t="s">
        <v>2426</v>
      </c>
      <c r="D437" s="4" t="s">
        <v>2427</v>
      </c>
    </row>
    <row r="438" spans="1:6" ht="60.75" hidden="1" thickBot="1">
      <c r="A438" t="str">
        <f>IF(ISNA(INDEX('ID относящиеся у производству'!A:A,MATCH(B438,'ID относящиеся у производству'!A:A,0),1))=TRUE,"НЕТ","ДА")</f>
        <v>НЕТ</v>
      </c>
      <c r="B438" s="4">
        <v>437</v>
      </c>
      <c r="C438" s="4" t="s">
        <v>2472</v>
      </c>
      <c r="D438" s="4" t="s">
        <v>2429</v>
      </c>
    </row>
    <row r="439" spans="1:6" ht="45.75" hidden="1" thickBot="1">
      <c r="A439" t="str">
        <f>IF(ISNA(INDEX('ID относящиеся у производству'!A:A,MATCH(B439,'ID относящиеся у производству'!A:A,0),1))=TRUE,"НЕТ","ДА")</f>
        <v>НЕТ</v>
      </c>
      <c r="B439" s="4">
        <v>438</v>
      </c>
      <c r="C439" s="4" t="s">
        <v>766</v>
      </c>
      <c r="D439" s="4" t="s">
        <v>725</v>
      </c>
    </row>
    <row r="440" spans="1:6" ht="45.75" hidden="1" thickBot="1">
      <c r="A440" t="str">
        <f>IF(ISNA(INDEX('ID относящиеся у производству'!A:A,MATCH(B440,'ID относящиеся у производству'!A:A,0),1))=TRUE,"НЕТ","ДА")</f>
        <v>НЕТ</v>
      </c>
      <c r="B440" s="4">
        <v>439</v>
      </c>
      <c r="C440" s="4" t="s">
        <v>280</v>
      </c>
      <c r="D440" s="4" t="s">
        <v>2736</v>
      </c>
    </row>
    <row r="441" spans="1:6" ht="45.75" hidden="1" thickBot="1">
      <c r="A441" t="str">
        <f>IF(ISNA(INDEX('ID относящиеся у производству'!A:A,MATCH(B441,'ID относящиеся у производству'!A:A,0),1))=TRUE,"НЕТ","ДА")</f>
        <v>НЕТ</v>
      </c>
      <c r="B441" s="4">
        <v>440</v>
      </c>
      <c r="C441" s="4" t="s">
        <v>766</v>
      </c>
      <c r="D441" s="4" t="s">
        <v>725</v>
      </c>
    </row>
    <row r="442" spans="1:6" ht="75.75" hidden="1" thickBot="1">
      <c r="A442" t="str">
        <f>IF(ISNA(INDEX('ID относящиеся у производству'!A:A,MATCH(B442,'ID относящиеся у производству'!A:A,0),1))=TRUE,"НЕТ","ДА")</f>
        <v>НЕТ</v>
      </c>
      <c r="B442" s="4">
        <v>441</v>
      </c>
      <c r="C442" s="4" t="s">
        <v>454</v>
      </c>
      <c r="D442" s="4" t="s">
        <v>3189</v>
      </c>
    </row>
    <row r="443" spans="1:6" ht="30.75" thickBot="1">
      <c r="A443" t="str">
        <f>IF(ISNA(INDEX('ID относящиеся у производству'!A:A,MATCH(B443,'ID относящиеся у производству'!A:A,0),1))=TRUE,"НЕТ","ДА")</f>
        <v>ДА</v>
      </c>
      <c r="B443" s="4">
        <v>442</v>
      </c>
      <c r="C443" s="4" t="s">
        <v>39</v>
      </c>
      <c r="D443" s="4" t="s">
        <v>2272</v>
      </c>
      <c r="E443" s="8" t="s">
        <v>3792</v>
      </c>
      <c r="F443" s="9" t="s">
        <v>3793</v>
      </c>
    </row>
    <row r="444" spans="1:6" ht="60.75" hidden="1" thickBot="1">
      <c r="A444" t="str">
        <f>IF(ISNA(INDEX('ID относящиеся у производству'!A:A,MATCH(B444,'ID относящиеся у производству'!A:A,0),1))=TRUE,"НЕТ","ДА")</f>
        <v>НЕТ</v>
      </c>
      <c r="B444" s="4">
        <v>443</v>
      </c>
      <c r="C444" s="4" t="s">
        <v>316</v>
      </c>
      <c r="D444" s="4" t="s">
        <v>1203</v>
      </c>
    </row>
    <row r="445" spans="1:6" ht="30.75" thickBot="1">
      <c r="A445" t="str">
        <f>IF(ISNA(INDEX('ID относящиеся у производству'!A:A,MATCH(B445,'ID относящиеся у производству'!A:A,0),1))=TRUE,"НЕТ","ДА")</f>
        <v>ДА</v>
      </c>
      <c r="B445" s="4">
        <v>444</v>
      </c>
      <c r="C445" s="4" t="s">
        <v>193</v>
      </c>
      <c r="D445" s="4" t="s">
        <v>964</v>
      </c>
      <c r="E445" s="8" t="s">
        <v>3794</v>
      </c>
      <c r="F445" s="9" t="s">
        <v>3793</v>
      </c>
    </row>
    <row r="446" spans="1:6" ht="30.75" thickBot="1">
      <c r="A446" t="str">
        <f>IF(ISNA(INDEX('ID относящиеся у производству'!A:A,MATCH(B446,'ID относящиеся у производству'!A:A,0),1))=TRUE,"НЕТ","ДА")</f>
        <v>ДА</v>
      </c>
      <c r="B446" s="4">
        <v>445</v>
      </c>
      <c r="C446" s="4" t="s">
        <v>239</v>
      </c>
      <c r="D446" s="4" t="s">
        <v>1587</v>
      </c>
      <c r="E446" s="8" t="s">
        <v>3795</v>
      </c>
      <c r="F446" s="9" t="s">
        <v>3793</v>
      </c>
    </row>
    <row r="447" spans="1:6" ht="30.75" hidden="1" thickBot="1">
      <c r="A447" t="str">
        <f>IF(ISNA(INDEX('ID относящиеся у производству'!A:A,MATCH(B447,'ID относящиеся у производству'!A:A,0),1))=TRUE,"НЕТ","ДА")</f>
        <v>НЕТ</v>
      </c>
      <c r="B447" s="4">
        <v>446</v>
      </c>
      <c r="C447" s="4" t="s">
        <v>1643</v>
      </c>
      <c r="D447" s="4" t="s">
        <v>1640</v>
      </c>
    </row>
    <row r="448" spans="1:6" ht="15.75" hidden="1" thickBot="1">
      <c r="A448" t="str">
        <f>IF(ISNA(INDEX('ID относящиеся у производству'!A:A,MATCH(B448,'ID относящиеся у производству'!A:A,0),1))=TRUE,"НЕТ","ДА")</f>
        <v>НЕТ</v>
      </c>
      <c r="B448" s="4">
        <v>447</v>
      </c>
      <c r="C448" s="4" t="s">
        <v>1256</v>
      </c>
      <c r="D448" s="4" t="s">
        <v>1253</v>
      </c>
    </row>
    <row r="449" spans="1:6" ht="30.75" hidden="1" thickBot="1">
      <c r="A449" t="str">
        <f>IF(ISNA(INDEX('ID относящиеся у производству'!A:A,MATCH(B449,'ID относящиеся у производству'!A:A,0),1))=TRUE,"НЕТ","ДА")</f>
        <v>НЕТ</v>
      </c>
      <c r="B449" s="4">
        <v>448</v>
      </c>
      <c r="C449" s="4" t="s">
        <v>84</v>
      </c>
      <c r="D449" s="4" t="s">
        <v>2668</v>
      </c>
    </row>
    <row r="450" spans="1:6" ht="90.75" hidden="1" thickBot="1">
      <c r="A450" t="str">
        <f>IF(ISNA(INDEX('ID относящиеся у производству'!A:A,MATCH(B450,'ID относящиеся у производству'!A:A,0),1))=TRUE,"НЕТ","ДА")</f>
        <v>НЕТ</v>
      </c>
      <c r="B450" s="4">
        <v>449</v>
      </c>
      <c r="C450" s="4" t="s">
        <v>851</v>
      </c>
      <c r="D450" s="4" t="s">
        <v>852</v>
      </c>
    </row>
    <row r="451" spans="1:6" ht="45.75" hidden="1" thickBot="1">
      <c r="A451" t="str">
        <f>IF(ISNA(INDEX('ID относящиеся у производству'!A:A,MATCH(B451,'ID относящиеся у производству'!A:A,0),1))=TRUE,"НЕТ","ДА")</f>
        <v>НЕТ</v>
      </c>
      <c r="B451" s="4">
        <v>450</v>
      </c>
      <c r="C451" s="4" t="s">
        <v>116</v>
      </c>
      <c r="D451" s="4" t="s">
        <v>117</v>
      </c>
    </row>
    <row r="452" spans="1:6" ht="15.75" hidden="1" thickBot="1">
      <c r="A452" t="str">
        <f>IF(ISNA(INDEX('ID относящиеся у производству'!A:A,MATCH(B452,'ID относящиеся у производству'!A:A,0),1))=TRUE,"НЕТ","ДА")</f>
        <v>НЕТ</v>
      </c>
      <c r="B452" s="4">
        <v>451</v>
      </c>
      <c r="C452" s="4" t="s">
        <v>116</v>
      </c>
      <c r="D452" s="4" t="s">
        <v>3221</v>
      </c>
    </row>
    <row r="453" spans="1:6" ht="45.75" hidden="1" thickBot="1">
      <c r="A453" t="str">
        <f>IF(ISNA(INDEX('ID относящиеся у производству'!A:A,MATCH(B453,'ID относящиеся у производству'!A:A,0),1))=TRUE,"НЕТ","ДА")</f>
        <v>НЕТ</v>
      </c>
      <c r="B453" s="4">
        <v>452</v>
      </c>
      <c r="C453" s="4" t="s">
        <v>116</v>
      </c>
      <c r="D453" s="4" t="s">
        <v>117</v>
      </c>
    </row>
    <row r="454" spans="1:6" ht="45.75" hidden="1" thickBot="1">
      <c r="A454" t="str">
        <f>IF(ISNA(INDEX('ID относящиеся у производству'!A:A,MATCH(B454,'ID относящиеся у производству'!A:A,0),1))=TRUE,"НЕТ","ДА")</f>
        <v>НЕТ</v>
      </c>
      <c r="B454" s="4">
        <v>453</v>
      </c>
      <c r="C454" s="4" t="s">
        <v>2982</v>
      </c>
      <c r="D454" s="4" t="s">
        <v>1488</v>
      </c>
    </row>
    <row r="455" spans="1:6" ht="90.75" hidden="1" thickBot="1">
      <c r="A455" t="str">
        <f>IF(ISNA(INDEX('ID относящиеся у производству'!A:A,MATCH(B455,'ID относящиеся у производству'!A:A,0),1))=TRUE,"НЕТ","ДА")</f>
        <v>НЕТ</v>
      </c>
      <c r="B455" s="4">
        <v>454</v>
      </c>
      <c r="C455" s="4" t="s">
        <v>2371</v>
      </c>
      <c r="D455" s="4" t="s">
        <v>2368</v>
      </c>
    </row>
    <row r="456" spans="1:6" ht="15.75" hidden="1" thickBot="1">
      <c r="A456" t="str">
        <f>IF(ISNA(INDEX('ID относящиеся у производству'!A:A,MATCH(B456,'ID относящиеся у производству'!A:A,0),1))=TRUE,"НЕТ","ДА")</f>
        <v>НЕТ</v>
      </c>
      <c r="B456" s="4">
        <v>455</v>
      </c>
      <c r="C456" s="4" t="s">
        <v>3252</v>
      </c>
      <c r="D456" s="4" t="s">
        <v>1253</v>
      </c>
    </row>
    <row r="457" spans="1:6" ht="30.75" hidden="1" thickBot="1">
      <c r="A457" t="str">
        <f>IF(ISNA(INDEX('ID относящиеся у производству'!A:A,MATCH(B457,'ID относящиеся у производству'!A:A,0),1))=TRUE,"НЕТ","ДА")</f>
        <v>НЕТ</v>
      </c>
      <c r="B457" s="4">
        <v>456</v>
      </c>
      <c r="C457" s="4" t="s">
        <v>385</v>
      </c>
      <c r="D457" s="4" t="s">
        <v>3266</v>
      </c>
    </row>
    <row r="458" spans="1:6" ht="45.75" thickBot="1">
      <c r="A458" t="str">
        <f>IF(ISNA(INDEX('ID относящиеся у производству'!A:A,MATCH(B458,'ID относящиеся у производству'!A:A,0),1))=TRUE,"НЕТ","ДА")</f>
        <v>ДА</v>
      </c>
      <c r="B458" s="4">
        <v>457</v>
      </c>
      <c r="C458" s="4" t="s">
        <v>193</v>
      </c>
      <c r="D458" s="4" t="s">
        <v>3280</v>
      </c>
      <c r="E458" s="8" t="s">
        <v>3794</v>
      </c>
      <c r="F458" s="9" t="s">
        <v>3793</v>
      </c>
    </row>
    <row r="459" spans="1:6" ht="60.75" hidden="1" thickBot="1">
      <c r="A459" t="str">
        <f>IF(ISNA(INDEX('ID относящиеся у производству'!A:A,MATCH(B459,'ID относящиеся у производству'!A:A,0),1))=TRUE,"НЕТ","ДА")</f>
        <v>НЕТ</v>
      </c>
      <c r="B459" s="4">
        <v>458</v>
      </c>
      <c r="C459" s="4" t="s">
        <v>1290</v>
      </c>
      <c r="D459" s="4" t="s">
        <v>1056</v>
      </c>
    </row>
    <row r="460" spans="1:6" ht="30.75" hidden="1" thickBot="1">
      <c r="A460" t="str">
        <f>IF(ISNA(INDEX('ID относящиеся у производству'!A:A,MATCH(B460,'ID относящиеся у производству'!A:A,0),1))=TRUE,"НЕТ","ДА")</f>
        <v>НЕТ</v>
      </c>
      <c r="B460" s="4">
        <v>459</v>
      </c>
      <c r="C460" s="4" t="s">
        <v>67</v>
      </c>
      <c r="D460" s="4" t="s">
        <v>2918</v>
      </c>
    </row>
    <row r="461" spans="1:6" ht="15.75" hidden="1" thickBot="1">
      <c r="A461" t="str">
        <f>IF(ISNA(INDEX('ID относящиеся у производству'!A:A,MATCH(B461,'ID относящиеся у производству'!A:A,0),1))=TRUE,"НЕТ","ДА")</f>
        <v>НЕТ</v>
      </c>
      <c r="B461" s="4">
        <v>460</v>
      </c>
      <c r="C461" s="4" t="s">
        <v>1384</v>
      </c>
      <c r="D461" s="4" t="s">
        <v>1385</v>
      </c>
    </row>
    <row r="462" spans="1:6" ht="30.75" thickBot="1">
      <c r="A462" t="str">
        <f>IF(ISNA(INDEX('ID относящиеся у производству'!A:A,MATCH(B462,'ID относящиеся у производству'!A:A,0),1))=TRUE,"НЕТ","ДА")</f>
        <v>ДА</v>
      </c>
      <c r="B462" s="4">
        <v>461</v>
      </c>
      <c r="C462" s="4" t="s">
        <v>193</v>
      </c>
      <c r="D462" s="4" t="s">
        <v>3032</v>
      </c>
      <c r="E462" s="8" t="s">
        <v>3794</v>
      </c>
      <c r="F462" s="9" t="s">
        <v>3793</v>
      </c>
    </row>
    <row r="463" spans="1:6" ht="45.75" thickBot="1">
      <c r="A463" t="str">
        <f>IF(ISNA(INDEX('ID относящиеся у производству'!A:A,MATCH(B463,'ID относящиеся у производству'!A:A,0),1))=TRUE,"НЕТ","ДА")</f>
        <v>ДА</v>
      </c>
      <c r="B463" s="4">
        <v>462</v>
      </c>
      <c r="C463" s="4" t="s">
        <v>239</v>
      </c>
      <c r="D463" s="4" t="s">
        <v>3309</v>
      </c>
      <c r="E463" s="8" t="s">
        <v>3795</v>
      </c>
      <c r="F463" s="9" t="s">
        <v>3793</v>
      </c>
    </row>
    <row r="464" spans="1:6" ht="30.75" hidden="1" thickBot="1">
      <c r="A464" t="str">
        <f>IF(ISNA(INDEX('ID относящиеся у производству'!A:A,MATCH(B464,'ID относящиеся у производству'!A:A,0),1))=TRUE,"НЕТ","ДА")</f>
        <v>НЕТ</v>
      </c>
      <c r="B464" s="4">
        <v>463</v>
      </c>
      <c r="C464" s="4" t="s">
        <v>84</v>
      </c>
      <c r="D464" s="4" t="s">
        <v>68</v>
      </c>
    </row>
    <row r="465" spans="1:4" ht="60.75" hidden="1" thickBot="1">
      <c r="A465" t="str">
        <f>IF(ISNA(INDEX('ID относящиеся у производству'!A:A,MATCH(B465,'ID относящиеся у производству'!A:A,0),1))=TRUE,"НЕТ","ДА")</f>
        <v>НЕТ</v>
      </c>
      <c r="B465" s="4">
        <v>464</v>
      </c>
      <c r="C465" s="4" t="s">
        <v>2426</v>
      </c>
      <c r="D465" s="4" t="s">
        <v>2427</v>
      </c>
    </row>
    <row r="466" spans="1:4" ht="45.75" hidden="1" thickBot="1">
      <c r="A466" t="str">
        <f>IF(ISNA(INDEX('ID относящиеся у производству'!A:A,MATCH(B466,'ID относящиеся у производству'!A:A,0),1))=TRUE,"НЕТ","ДА")</f>
        <v>НЕТ</v>
      </c>
      <c r="B466" s="4">
        <v>465</v>
      </c>
      <c r="C466" s="4" t="s">
        <v>116</v>
      </c>
      <c r="D466" s="4" t="s">
        <v>117</v>
      </c>
    </row>
    <row r="467" spans="1:4" ht="15.75" hidden="1" thickBot="1">
      <c r="A467" t="str">
        <f>IF(ISNA(INDEX('ID относящиеся у производству'!A:A,MATCH(B467,'ID относящиеся у производству'!A:A,0),1))=TRUE,"НЕТ","ДА")</f>
        <v>НЕТ</v>
      </c>
      <c r="B467" s="4">
        <v>466</v>
      </c>
      <c r="C467" s="4" t="s">
        <v>67</v>
      </c>
      <c r="D467" s="4" t="s">
        <v>511</v>
      </c>
    </row>
    <row r="468" spans="1:4" ht="45.75" hidden="1" thickBot="1">
      <c r="A468" t="str">
        <f>IF(ISNA(INDEX('ID относящиеся у производству'!A:A,MATCH(B468,'ID относящиеся у производству'!A:A,0),1))=TRUE,"НЕТ","ДА")</f>
        <v>НЕТ</v>
      </c>
      <c r="B468" s="4">
        <v>467</v>
      </c>
      <c r="C468" s="4" t="s">
        <v>67</v>
      </c>
      <c r="D468" s="4" t="s">
        <v>1347</v>
      </c>
    </row>
    <row r="469" spans="1:4" ht="30.75" hidden="1" thickBot="1">
      <c r="A469" t="str">
        <f>IF(ISNA(INDEX('ID относящиеся у производству'!A:A,MATCH(B469,'ID относящиеся у производству'!A:A,0),1))=TRUE,"НЕТ","ДА")</f>
        <v>НЕТ</v>
      </c>
      <c r="B469" s="4">
        <v>468</v>
      </c>
      <c r="C469" s="4" t="s">
        <v>247</v>
      </c>
      <c r="D469" s="4" t="s">
        <v>158</v>
      </c>
    </row>
    <row r="470" spans="1:4" ht="30.75" hidden="1" thickBot="1">
      <c r="A470" t="str">
        <f>IF(ISNA(INDEX('ID относящиеся у производству'!A:A,MATCH(B470,'ID относящиеся у производству'!A:A,0),1))=TRUE,"НЕТ","ДА")</f>
        <v>НЕТ</v>
      </c>
      <c r="B470" s="4">
        <v>469</v>
      </c>
      <c r="C470" s="4" t="s">
        <v>153</v>
      </c>
      <c r="D470" s="4" t="s">
        <v>205</v>
      </c>
    </row>
    <row r="471" spans="1:4" ht="30.75" hidden="1" thickBot="1">
      <c r="A471" t="str">
        <f>IF(ISNA(INDEX('ID относящиеся у производству'!A:A,MATCH(B471,'ID относящиеся у производству'!A:A,0),1))=TRUE,"НЕТ","ДА")</f>
        <v>НЕТ</v>
      </c>
      <c r="B471" s="4">
        <v>470</v>
      </c>
      <c r="C471" s="4" t="s">
        <v>1756</v>
      </c>
      <c r="D471" s="4" t="s">
        <v>1754</v>
      </c>
    </row>
    <row r="472" spans="1:4" ht="60.75" hidden="1" thickBot="1">
      <c r="A472" t="str">
        <f>IF(ISNA(INDEX('ID относящиеся у производству'!A:A,MATCH(B472,'ID относящиеся у производству'!A:A,0),1))=TRUE,"НЕТ","ДА")</f>
        <v>НЕТ</v>
      </c>
      <c r="B472" s="4">
        <v>471</v>
      </c>
      <c r="C472" s="4" t="s">
        <v>280</v>
      </c>
      <c r="D472" s="4" t="s">
        <v>1203</v>
      </c>
    </row>
    <row r="473" spans="1:4" ht="15.75" hidden="1" thickBot="1">
      <c r="A473" t="str">
        <f>IF(ISNA(INDEX('ID относящиеся у производству'!A:A,MATCH(B473,'ID относящиеся у производству'!A:A,0),1))=TRUE,"НЕТ","ДА")</f>
        <v>НЕТ</v>
      </c>
      <c r="B473" s="4">
        <v>472</v>
      </c>
      <c r="C473" s="4" t="s">
        <v>385</v>
      </c>
      <c r="D473" s="4" t="s">
        <v>3347</v>
      </c>
    </row>
    <row r="474" spans="1:4" ht="45.75" hidden="1" thickBot="1">
      <c r="A474" t="str">
        <f>IF(ISNA(INDEX('ID относящиеся у производству'!A:A,MATCH(B474,'ID относящиеся у производству'!A:A,0),1))=TRUE,"НЕТ","ДА")</f>
        <v>НЕТ</v>
      </c>
      <c r="B474" s="4">
        <v>473</v>
      </c>
      <c r="C474" s="4" t="s">
        <v>67</v>
      </c>
      <c r="D474" s="4" t="s">
        <v>85</v>
      </c>
    </row>
    <row r="475" spans="1:4" ht="60.75" hidden="1" thickBot="1">
      <c r="A475" t="str">
        <f>IF(ISNA(INDEX('ID относящиеся у производству'!A:A,MATCH(B475,'ID относящиеся у производству'!A:A,0),1))=TRUE,"НЕТ","ДА")</f>
        <v>НЕТ</v>
      </c>
      <c r="B475" s="4">
        <v>474</v>
      </c>
      <c r="C475" s="4" t="s">
        <v>348</v>
      </c>
      <c r="D475" s="4" t="s">
        <v>1056</v>
      </c>
    </row>
    <row r="476" spans="1:4" ht="90.75" hidden="1" thickBot="1">
      <c r="A476" t="str">
        <f>IF(ISNA(INDEX('ID относящиеся у производству'!A:A,MATCH(B476,'ID относящиеся у производству'!A:A,0),1))=TRUE,"НЕТ","ДА")</f>
        <v>НЕТ</v>
      </c>
      <c r="B476" s="4">
        <v>475</v>
      </c>
      <c r="C476" s="4" t="s">
        <v>2371</v>
      </c>
      <c r="D476" s="4" t="s">
        <v>2368</v>
      </c>
    </row>
    <row r="477" spans="1:4" ht="45.75" hidden="1" thickBot="1">
      <c r="A477" t="str">
        <f>IF(ISNA(INDEX('ID относящиеся у производству'!A:A,MATCH(B477,'ID относящиеся у производству'!A:A,0),1))=TRUE,"НЕТ","ДА")</f>
        <v>НЕТ</v>
      </c>
      <c r="B477" s="4">
        <v>476</v>
      </c>
      <c r="C477" s="4" t="s">
        <v>3378</v>
      </c>
      <c r="D477" s="4" t="s">
        <v>1347</v>
      </c>
    </row>
    <row r="478" spans="1:4" ht="60.75" hidden="1" thickBot="1">
      <c r="A478" t="str">
        <f>IF(ISNA(INDEX('ID относящиеся у производству'!A:A,MATCH(B478,'ID относящиеся у производству'!A:A,0),1))=TRUE,"НЕТ","ДА")</f>
        <v>НЕТ</v>
      </c>
      <c r="B478" s="4">
        <v>477</v>
      </c>
      <c r="C478" s="4" t="s">
        <v>316</v>
      </c>
      <c r="D478" s="4" t="s">
        <v>820</v>
      </c>
    </row>
    <row r="479" spans="1:4" ht="30.75" hidden="1" thickBot="1">
      <c r="A479" t="str">
        <f>IF(ISNA(INDEX('ID относящиеся у производству'!A:A,MATCH(B479,'ID относящиеся у производству'!A:A,0),1))=TRUE,"НЕТ","ДА")</f>
        <v>НЕТ</v>
      </c>
      <c r="B479" s="4">
        <v>478</v>
      </c>
      <c r="C479" s="4" t="s">
        <v>307</v>
      </c>
      <c r="D479" s="4" t="s">
        <v>1362</v>
      </c>
    </row>
    <row r="480" spans="1:4" ht="45.75" hidden="1" thickBot="1">
      <c r="A480" t="str">
        <f>IF(ISNA(INDEX('ID относящиеся у производству'!A:A,MATCH(B480,'ID относящиеся у производству'!A:A,0),1))=TRUE,"НЕТ","ДА")</f>
        <v>НЕТ</v>
      </c>
      <c r="B480" s="4">
        <v>479</v>
      </c>
      <c r="C480" s="4" t="s">
        <v>3396</v>
      </c>
      <c r="D480" s="4" t="s">
        <v>558</v>
      </c>
    </row>
    <row r="481" spans="1:6" ht="45.75" hidden="1" thickBot="1">
      <c r="A481" t="str">
        <f>IF(ISNA(INDEX('ID относящиеся у производству'!A:A,MATCH(B481,'ID относящиеся у производству'!A:A,0),1))=TRUE,"НЕТ","ДА")</f>
        <v>НЕТ</v>
      </c>
      <c r="B481" s="4">
        <v>480</v>
      </c>
      <c r="C481" s="4" t="s">
        <v>724</v>
      </c>
      <c r="D481" s="4" t="s">
        <v>725</v>
      </c>
    </row>
    <row r="482" spans="1:6" ht="45.75" hidden="1" thickBot="1">
      <c r="A482" t="str">
        <f>IF(ISNA(INDEX('ID относящиеся у производству'!A:A,MATCH(B482,'ID относящиеся у производству'!A:A,0),1))=TRUE,"НЕТ","ДА")</f>
        <v>НЕТ</v>
      </c>
      <c r="B482" s="4">
        <v>481</v>
      </c>
      <c r="C482" s="4" t="s">
        <v>766</v>
      </c>
      <c r="D482" s="4" t="s">
        <v>725</v>
      </c>
    </row>
    <row r="483" spans="1:6" ht="75.75" hidden="1" thickBot="1">
      <c r="A483" t="str">
        <f>IF(ISNA(INDEX('ID относящиеся у производству'!A:A,MATCH(B483,'ID относящиеся у производству'!A:A,0),1))=TRUE,"НЕТ","ДА")</f>
        <v>НЕТ</v>
      </c>
      <c r="B483" s="4">
        <v>482</v>
      </c>
      <c r="C483" s="4" t="s">
        <v>2371</v>
      </c>
      <c r="D483" s="4" t="s">
        <v>2356</v>
      </c>
    </row>
    <row r="484" spans="1:6" ht="45.75" hidden="1" thickBot="1">
      <c r="A484" t="str">
        <f>IF(ISNA(INDEX('ID относящиеся у производству'!A:A,MATCH(B484,'ID относящиеся у производству'!A:A,0),1))=TRUE,"НЕТ","ДА")</f>
        <v>НЕТ</v>
      </c>
      <c r="B484" s="4">
        <v>483</v>
      </c>
      <c r="C484" s="4" t="s">
        <v>67</v>
      </c>
      <c r="D484" s="4" t="s">
        <v>85</v>
      </c>
    </row>
    <row r="485" spans="1:6" ht="30.75" thickBot="1">
      <c r="A485" t="str">
        <f>IF(ISNA(INDEX('ID относящиеся у производству'!A:A,MATCH(B485,'ID относящиеся у производству'!A:A,0),1))=TRUE,"НЕТ","ДА")</f>
        <v>ДА</v>
      </c>
      <c r="B485" s="4">
        <v>484</v>
      </c>
      <c r="C485" s="4" t="s">
        <v>577</v>
      </c>
      <c r="D485" s="4" t="s">
        <v>665</v>
      </c>
      <c r="E485" s="8" t="s">
        <v>3797</v>
      </c>
      <c r="F485" s="9" t="s">
        <v>3793</v>
      </c>
    </row>
    <row r="486" spans="1:6" ht="30.75" hidden="1" thickBot="1">
      <c r="A486" t="str">
        <f>IF(ISNA(INDEX('ID относящиеся у производству'!A:A,MATCH(B486,'ID относящиеся у производству'!A:A,0),1))=TRUE,"НЕТ","ДА")</f>
        <v>НЕТ</v>
      </c>
      <c r="B486" s="4">
        <v>485</v>
      </c>
      <c r="C486" s="4" t="s">
        <v>280</v>
      </c>
      <c r="D486" s="4" t="s">
        <v>951</v>
      </c>
    </row>
    <row r="487" spans="1:6" ht="30.75" hidden="1" thickBot="1">
      <c r="A487" t="str">
        <f>IF(ISNA(INDEX('ID относящиеся у производству'!A:A,MATCH(B487,'ID относящиеся у производству'!A:A,0),1))=TRUE,"НЕТ","ДА")</f>
        <v>НЕТ</v>
      </c>
      <c r="B487" s="4">
        <v>486</v>
      </c>
      <c r="C487" s="4" t="s">
        <v>1331</v>
      </c>
      <c r="D487" s="4" t="s">
        <v>1332</v>
      </c>
    </row>
    <row r="488" spans="1:6" ht="60.75" hidden="1" thickBot="1">
      <c r="A488" t="str">
        <f>IF(ISNA(INDEX('ID относящиеся у производству'!A:A,MATCH(B488,'ID относящиеся у производству'!A:A,0),1))=TRUE,"НЕТ","ДА")</f>
        <v>НЕТ</v>
      </c>
      <c r="B488" s="4">
        <v>487</v>
      </c>
      <c r="C488" s="4" t="s">
        <v>280</v>
      </c>
      <c r="D488" s="4" t="s">
        <v>320</v>
      </c>
    </row>
    <row r="489" spans="1:6" ht="45.75" hidden="1" thickBot="1">
      <c r="A489" t="str">
        <f>IF(ISNA(INDEX('ID относящиеся у производству'!A:A,MATCH(B489,'ID относящиеся у производству'!A:A,0),1))=TRUE,"НЕТ","ДА")</f>
        <v>НЕТ</v>
      </c>
      <c r="B489" s="4">
        <v>488</v>
      </c>
      <c r="C489" s="4" t="s">
        <v>84</v>
      </c>
      <c r="D489" s="4" t="s">
        <v>85</v>
      </c>
    </row>
    <row r="490" spans="1:6" ht="45.75" hidden="1" thickBot="1">
      <c r="A490" t="str">
        <f>IF(ISNA(INDEX('ID относящиеся у производству'!A:A,MATCH(B490,'ID относящиеся у производству'!A:A,0),1))=TRUE,"НЕТ","ДА")</f>
        <v>НЕТ</v>
      </c>
      <c r="B490" s="4">
        <v>489</v>
      </c>
      <c r="C490" s="4" t="s">
        <v>67</v>
      </c>
      <c r="D490" s="4" t="s">
        <v>1347</v>
      </c>
    </row>
    <row r="491" spans="1:6" ht="30.75" hidden="1" thickBot="1">
      <c r="A491" t="str">
        <f>IF(ISNA(INDEX('ID относящиеся у производству'!A:A,MATCH(B491,'ID относящиеся у производству'!A:A,0),1))=TRUE,"НЕТ","ДА")</f>
        <v>НЕТ</v>
      </c>
      <c r="B491" s="4">
        <v>490</v>
      </c>
      <c r="C491" s="4" t="s">
        <v>385</v>
      </c>
      <c r="D491" s="4" t="s">
        <v>1362</v>
      </c>
    </row>
    <row r="492" spans="1:6" ht="30.75" hidden="1" thickBot="1">
      <c r="A492" t="str">
        <f>IF(ISNA(INDEX('ID относящиеся у производству'!A:A,MATCH(B492,'ID относящиеся у производству'!A:A,0),1))=TRUE,"НЕТ","ДА")</f>
        <v>НЕТ</v>
      </c>
      <c r="B492" s="4">
        <v>491</v>
      </c>
      <c r="C492" s="4" t="s">
        <v>3448</v>
      </c>
      <c r="D492" s="4" t="s">
        <v>404</v>
      </c>
    </row>
    <row r="493" spans="1:6" ht="30.75" hidden="1" thickBot="1">
      <c r="A493" t="str">
        <f>IF(ISNA(INDEX('ID относящиеся у производству'!A:A,MATCH(B493,'ID относящиеся у производству'!A:A,0),1))=TRUE,"НЕТ","ДА")</f>
        <v>НЕТ</v>
      </c>
      <c r="B493" s="4">
        <v>492</v>
      </c>
      <c r="C493" s="4" t="s">
        <v>2739</v>
      </c>
      <c r="D493" s="4" t="s">
        <v>2740</v>
      </c>
    </row>
    <row r="494" spans="1:6" ht="30.75" hidden="1" thickBot="1">
      <c r="A494" t="str">
        <f>IF(ISNA(INDEX('ID относящиеся у производству'!A:A,MATCH(B494,'ID относящиеся у производству'!A:A,0),1))=TRUE,"НЕТ","ДА")</f>
        <v>НЕТ</v>
      </c>
      <c r="B494" s="4">
        <v>493</v>
      </c>
      <c r="C494" s="4" t="s">
        <v>2161</v>
      </c>
      <c r="D494" s="4" t="s">
        <v>417</v>
      </c>
    </row>
    <row r="495" spans="1:6" ht="30.75" hidden="1" thickBot="1">
      <c r="A495" t="str">
        <f>IF(ISNA(INDEX('ID относящиеся у производству'!A:A,MATCH(B495,'ID относящиеся у производству'!A:A,0),1))=TRUE,"НЕТ","ДА")</f>
        <v>НЕТ</v>
      </c>
      <c r="B495" s="4">
        <v>494</v>
      </c>
      <c r="C495" s="4" t="s">
        <v>153</v>
      </c>
      <c r="D495" s="4" t="s">
        <v>154</v>
      </c>
    </row>
    <row r="496" spans="1:6" ht="45.75" hidden="1" thickBot="1">
      <c r="A496" t="str">
        <f>IF(ISNA(INDEX('ID относящиеся у производству'!A:A,MATCH(B496,'ID относящиеся у производству'!A:A,0),1))=TRUE,"НЕТ","ДА")</f>
        <v>НЕТ</v>
      </c>
      <c r="B496" s="4">
        <v>495</v>
      </c>
      <c r="C496" s="4" t="s">
        <v>766</v>
      </c>
      <c r="D496" s="4" t="s">
        <v>725</v>
      </c>
    </row>
    <row r="497" spans="1:6" ht="60.75" hidden="1" thickBot="1">
      <c r="A497" t="str">
        <f>IF(ISNA(INDEX('ID относящиеся у производству'!A:A,MATCH(B497,'ID относящиеся у производству'!A:A,0),1))=TRUE,"НЕТ","ДА")</f>
        <v>НЕТ</v>
      </c>
      <c r="B497" s="4">
        <v>496</v>
      </c>
      <c r="C497" s="4" t="s">
        <v>2426</v>
      </c>
      <c r="D497" s="4" t="s">
        <v>2427</v>
      </c>
    </row>
    <row r="498" spans="1:6" ht="45.75" hidden="1" thickBot="1">
      <c r="A498" t="str">
        <f>IF(ISNA(INDEX('ID относящиеся у производству'!A:A,MATCH(B498,'ID относящиеся у производству'!A:A,0),1))=TRUE,"НЕТ","ДА")</f>
        <v>НЕТ</v>
      </c>
      <c r="B498" s="4">
        <v>497</v>
      </c>
      <c r="C498" s="4" t="s">
        <v>67</v>
      </c>
      <c r="D498" s="4" t="s">
        <v>725</v>
      </c>
    </row>
    <row r="499" spans="1:6" ht="45.75" hidden="1" thickBot="1">
      <c r="A499" t="str">
        <f>IF(ISNA(INDEX('ID относящиеся у производству'!A:A,MATCH(B499,'ID относящиеся у производству'!A:A,0),1))=TRUE,"НЕТ","ДА")</f>
        <v>НЕТ</v>
      </c>
      <c r="B499" s="4">
        <v>498</v>
      </c>
      <c r="C499" s="4" t="s">
        <v>67</v>
      </c>
      <c r="D499" s="4" t="s">
        <v>365</v>
      </c>
    </row>
    <row r="500" spans="1:6" ht="30.75" hidden="1" thickBot="1">
      <c r="A500" t="str">
        <f>IF(ISNA(INDEX('ID относящиеся у производству'!A:A,MATCH(B500,'ID относящиеся у производству'!A:A,0),1))=TRUE,"НЕТ","ДА")</f>
        <v>НЕТ</v>
      </c>
      <c r="B500" s="4">
        <v>499</v>
      </c>
      <c r="C500" s="4" t="s">
        <v>67</v>
      </c>
      <c r="D500" s="4" t="s">
        <v>1833</v>
      </c>
    </row>
    <row r="501" spans="1:6" ht="30.75" hidden="1" thickBot="1">
      <c r="A501" t="str">
        <f>IF(ISNA(INDEX('ID относящиеся у производству'!A:A,MATCH(B501,'ID относящиеся у производству'!A:A,0),1))=TRUE,"НЕТ","ДА")</f>
        <v>НЕТ</v>
      </c>
      <c r="B501" s="4">
        <v>500</v>
      </c>
      <c r="C501" s="4" t="s">
        <v>385</v>
      </c>
      <c r="D501" s="4" t="s">
        <v>2180</v>
      </c>
    </row>
    <row r="502" spans="1:6" ht="45.75" hidden="1" thickBot="1">
      <c r="A502" t="str">
        <f>IF(ISNA(INDEX('ID относящиеся у производству'!A:A,MATCH(B502,'ID относящиеся у производству'!A:A,0),1))=TRUE,"НЕТ","ДА")</f>
        <v>НЕТ</v>
      </c>
      <c r="B502" s="4">
        <v>501</v>
      </c>
      <c r="C502" s="4" t="s">
        <v>307</v>
      </c>
      <c r="D502" s="4" t="s">
        <v>1347</v>
      </c>
    </row>
    <row r="503" spans="1:6" ht="30.75" hidden="1" thickBot="1">
      <c r="A503" t="str">
        <f>IF(ISNA(INDEX('ID относящиеся у производству'!A:A,MATCH(B503,'ID относящиеся у производству'!A:A,0),1))=TRUE,"НЕТ","ДА")</f>
        <v>НЕТ</v>
      </c>
      <c r="B503" s="4">
        <v>502</v>
      </c>
      <c r="C503" s="4" t="s">
        <v>84</v>
      </c>
      <c r="D503" s="4" t="s">
        <v>3266</v>
      </c>
    </row>
    <row r="504" spans="1:6" ht="60.75" hidden="1" thickBot="1">
      <c r="A504" t="str">
        <f>IF(ISNA(INDEX('ID относящиеся у производству'!A:A,MATCH(B504,'ID относящиеся у производству'!A:A,0),1))=TRUE,"НЕТ","ДА")</f>
        <v>НЕТ</v>
      </c>
      <c r="B504" s="4">
        <v>503</v>
      </c>
      <c r="C504" s="4" t="s">
        <v>454</v>
      </c>
      <c r="D504" s="4" t="s">
        <v>455</v>
      </c>
    </row>
    <row r="505" spans="1:6" ht="30.75" hidden="1" thickBot="1">
      <c r="A505" t="str">
        <f>IF(ISNA(INDEX('ID относящиеся у производству'!A:A,MATCH(B505,'ID относящиеся у производству'!A:A,0),1))=TRUE,"НЕТ","ДА")</f>
        <v>НЕТ</v>
      </c>
      <c r="B505" s="4">
        <v>504</v>
      </c>
      <c r="C505" s="4" t="s">
        <v>385</v>
      </c>
      <c r="D505" s="4" t="s">
        <v>1754</v>
      </c>
    </row>
    <row r="506" spans="1:6" ht="30.75" hidden="1" thickBot="1">
      <c r="A506" t="str">
        <f>IF(ISNA(INDEX('ID относящиеся у производству'!A:A,MATCH(B506,'ID относящиеся у производству'!A:A,0),1))=TRUE,"НЕТ","ДА")</f>
        <v>НЕТ</v>
      </c>
      <c r="B506" s="4">
        <v>505</v>
      </c>
      <c r="C506" s="4" t="s">
        <v>2228</v>
      </c>
      <c r="D506" s="4" t="s">
        <v>3528</v>
      </c>
    </row>
    <row r="507" spans="1:6" ht="30.75" thickBot="1">
      <c r="A507" t="str">
        <f>IF(ISNA(INDEX('ID относящиеся у производству'!A:A,MATCH(B507,'ID относящиеся у производству'!A:A,0),1))=TRUE,"НЕТ","ДА")</f>
        <v>ДА</v>
      </c>
      <c r="B507" s="4">
        <v>506</v>
      </c>
      <c r="C507" s="4" t="s">
        <v>239</v>
      </c>
      <c r="D507" s="4" t="s">
        <v>2254</v>
      </c>
      <c r="E507" s="8" t="s">
        <v>3795</v>
      </c>
      <c r="F507" s="9" t="s">
        <v>3793</v>
      </c>
    </row>
    <row r="508" spans="1:6" ht="75.75" hidden="1" thickBot="1">
      <c r="A508" t="str">
        <f>IF(ISNA(INDEX('ID относящиеся у производству'!A:A,MATCH(B508,'ID относящиеся у производству'!A:A,0),1))=TRUE,"НЕТ","ДА")</f>
        <v>НЕТ</v>
      </c>
      <c r="B508" s="4">
        <v>507</v>
      </c>
      <c r="C508" s="4" t="s">
        <v>454</v>
      </c>
      <c r="D508" s="4" t="s">
        <v>3012</v>
      </c>
    </row>
    <row r="509" spans="1:6" ht="30.75" hidden="1" thickBot="1">
      <c r="A509" t="str">
        <f>IF(ISNA(INDEX('ID относящиеся у производству'!A:A,MATCH(B509,'ID относящиеся у производству'!A:A,0),1))=TRUE,"НЕТ","ДА")</f>
        <v>НЕТ</v>
      </c>
      <c r="B509" s="4">
        <v>508</v>
      </c>
      <c r="C509" s="4" t="s">
        <v>67</v>
      </c>
      <c r="D509" s="4" t="s">
        <v>1540</v>
      </c>
    </row>
    <row r="510" spans="1:6" ht="30.75" hidden="1" thickBot="1">
      <c r="A510" t="str">
        <f>IF(ISNA(INDEX('ID относящиеся у производству'!A:A,MATCH(B510,'ID относящиеся у производству'!A:A,0),1))=TRUE,"НЕТ","ДА")</f>
        <v>НЕТ</v>
      </c>
      <c r="B510" s="4">
        <v>509</v>
      </c>
      <c r="C510" s="4" t="s">
        <v>116</v>
      </c>
      <c r="D510" s="4" t="s">
        <v>1381</v>
      </c>
    </row>
    <row r="511" spans="1:6" ht="75.75" hidden="1" thickBot="1">
      <c r="A511" t="str">
        <f>IF(ISNA(INDEX('ID относящиеся у производству'!A:A,MATCH(B511,'ID относящиеся у производству'!A:A,0),1))=TRUE,"НЕТ","ДА")</f>
        <v>НЕТ</v>
      </c>
      <c r="B511" s="4">
        <v>510</v>
      </c>
      <c r="C511" s="4" t="s">
        <v>454</v>
      </c>
      <c r="D511" s="4" t="s">
        <v>2256</v>
      </c>
    </row>
    <row r="512" spans="1:6" ht="15.75" hidden="1" thickBot="1">
      <c r="A512" t="str">
        <f>IF(ISNA(INDEX('ID относящиеся у производству'!A:A,MATCH(B512,'ID относящиеся у производству'!A:A,0),1))=TRUE,"НЕТ","ДА")</f>
        <v>НЕТ</v>
      </c>
      <c r="B512" s="4">
        <v>511</v>
      </c>
      <c r="C512" s="4" t="s">
        <v>989</v>
      </c>
      <c r="D512" s="4" t="s">
        <v>990</v>
      </c>
    </row>
    <row r="513" spans="1:4" ht="30.75" hidden="1" thickBot="1">
      <c r="A513" t="str">
        <f>IF(ISNA(INDEX('ID относящиеся у производству'!A:A,MATCH(B513,'ID относящиеся у производству'!A:A,0),1))=TRUE,"НЕТ","ДА")</f>
        <v>НЕТ</v>
      </c>
      <c r="B513" s="4">
        <v>512</v>
      </c>
      <c r="C513" s="4" t="s">
        <v>385</v>
      </c>
      <c r="D513" s="4" t="s">
        <v>1754</v>
      </c>
    </row>
    <row r="514" spans="1:4" ht="45.75" hidden="1" thickBot="1">
      <c r="A514" t="str">
        <f>IF(ISNA(INDEX('ID относящиеся у производству'!A:A,MATCH(B514,'ID относящиеся у производству'!A:A,0),1))=TRUE,"НЕТ","ДА")</f>
        <v>НЕТ</v>
      </c>
      <c r="B514" s="4">
        <v>513</v>
      </c>
      <c r="C514" s="4" t="s">
        <v>2811</v>
      </c>
      <c r="D514" s="4" t="s">
        <v>436</v>
      </c>
    </row>
    <row r="515" spans="1:4" ht="75.75" hidden="1" thickBot="1">
      <c r="A515" t="str">
        <f>IF(ISNA(INDEX('ID относящиеся у производству'!A:A,MATCH(B515,'ID относящиеся у производству'!A:A,0),1))=TRUE,"НЕТ","ДА")</f>
        <v>НЕТ</v>
      </c>
      <c r="B515" s="4">
        <v>514</v>
      </c>
      <c r="C515" s="4" t="s">
        <v>454</v>
      </c>
      <c r="D515" s="4" t="s">
        <v>2256</v>
      </c>
    </row>
    <row r="516" spans="1:4" ht="30.75" hidden="1" thickBot="1">
      <c r="A516" t="str">
        <f>IF(ISNA(INDEX('ID относящиеся у производству'!A:A,MATCH(B516,'ID относящиеся у производству'!A:A,0),1))=TRUE,"НЕТ","ДА")</f>
        <v>НЕТ</v>
      </c>
      <c r="B516" s="4">
        <v>515</v>
      </c>
      <c r="C516" s="4" t="s">
        <v>2228</v>
      </c>
      <c r="D516" s="4" t="s">
        <v>1754</v>
      </c>
    </row>
    <row r="517" spans="1:4" ht="30.75" hidden="1" thickBot="1">
      <c r="A517" t="str">
        <f>IF(ISNA(INDEX('ID относящиеся у производству'!A:A,MATCH(B517,'ID относящиеся у производству'!A:A,0),1))=TRUE,"НЕТ","ДА")</f>
        <v>НЕТ</v>
      </c>
      <c r="B517" s="4">
        <v>516</v>
      </c>
      <c r="C517" s="4" t="s">
        <v>67</v>
      </c>
      <c r="D517" s="4" t="s">
        <v>3528</v>
      </c>
    </row>
    <row r="518" spans="1:4" ht="30.75" hidden="1" thickBot="1">
      <c r="A518" t="str">
        <f>IF(ISNA(INDEX('ID относящиеся у производству'!A:A,MATCH(B518,'ID относящиеся у производству'!A:A,0),1))=TRUE,"НЕТ","ДА")</f>
        <v>НЕТ</v>
      </c>
      <c r="B518" s="4">
        <v>517</v>
      </c>
      <c r="C518" s="4" t="s">
        <v>385</v>
      </c>
      <c r="D518" s="4" t="s">
        <v>869</v>
      </c>
    </row>
    <row r="519" spans="1:4" ht="60.75" hidden="1" thickBot="1">
      <c r="A519" t="str">
        <f>IF(ISNA(INDEX('ID относящиеся у производству'!A:A,MATCH(B519,'ID относящиеся у производству'!A:A,0),1))=TRUE,"НЕТ","ДА")</f>
        <v>НЕТ</v>
      </c>
      <c r="B519" s="4">
        <v>518</v>
      </c>
      <c r="C519" s="4" t="s">
        <v>280</v>
      </c>
      <c r="D519" s="4" t="s">
        <v>349</v>
      </c>
    </row>
    <row r="520" spans="1:4" ht="45.75" hidden="1" thickBot="1">
      <c r="A520" t="str">
        <f>IF(ISNA(INDEX('ID относящиеся у производству'!A:A,MATCH(B520,'ID относящиеся у производству'!A:A,0),1))=TRUE,"НЕТ","ДА")</f>
        <v>НЕТ</v>
      </c>
      <c r="B520" s="4">
        <v>519</v>
      </c>
      <c r="C520" s="4" t="s">
        <v>2719</v>
      </c>
      <c r="D520" s="4" t="s">
        <v>558</v>
      </c>
    </row>
    <row r="521" spans="1:4" ht="45.75" hidden="1" thickBot="1">
      <c r="A521" t="str">
        <f>IF(ISNA(INDEX('ID относящиеся у производству'!A:A,MATCH(B521,'ID относящиеся у производству'!A:A,0),1))=TRUE,"НЕТ","ДА")</f>
        <v>НЕТ</v>
      </c>
      <c r="B521" s="4">
        <v>520</v>
      </c>
      <c r="C521" s="4" t="s">
        <v>2719</v>
      </c>
      <c r="D521" s="4" t="s">
        <v>558</v>
      </c>
    </row>
    <row r="522" spans="1:4" ht="15.75" hidden="1" thickBot="1">
      <c r="A522" t="str">
        <f>IF(ISNA(INDEX('ID относящиеся у производству'!A:A,MATCH(B522,'ID относящиеся у производству'!A:A,0),1))=TRUE,"НЕТ","ДА")</f>
        <v>НЕТ</v>
      </c>
      <c r="B522" s="4">
        <v>521</v>
      </c>
      <c r="C522" s="4" t="s">
        <v>514</v>
      </c>
      <c r="D522" s="4" t="s">
        <v>511</v>
      </c>
    </row>
    <row r="523" spans="1:4" ht="30.75" hidden="1" thickBot="1">
      <c r="A523" t="str">
        <f>IF(ISNA(INDEX('ID относящиеся у производству'!A:A,MATCH(B523,'ID относящиеся у производству'!A:A,0),1))=TRUE,"НЕТ","ДА")</f>
        <v>НЕТ</v>
      </c>
      <c r="B523" s="4">
        <v>522</v>
      </c>
      <c r="C523" s="4" t="s">
        <v>67</v>
      </c>
      <c r="D523" s="4" t="s">
        <v>1833</v>
      </c>
    </row>
    <row r="524" spans="1:4" ht="30.75" hidden="1" thickBot="1">
      <c r="A524" t="str">
        <f>IF(ISNA(INDEX('ID относящиеся у производству'!A:A,MATCH(B524,'ID относящиеся у производству'!A:A,0),1))=TRUE,"НЕТ","ДА")</f>
        <v>НЕТ</v>
      </c>
      <c r="B524" s="4">
        <v>523</v>
      </c>
      <c r="C524" s="4" t="s">
        <v>280</v>
      </c>
      <c r="D524" s="4" t="s">
        <v>951</v>
      </c>
    </row>
    <row r="525" spans="1:4" ht="30.75" hidden="1" thickBot="1">
      <c r="A525" t="str">
        <f>IF(ISNA(INDEX('ID относящиеся у производству'!A:A,MATCH(B525,'ID относящиеся у производству'!A:A,0),1))=TRUE,"НЕТ","ДА")</f>
        <v>НЕТ</v>
      </c>
      <c r="B525" s="4">
        <v>524</v>
      </c>
      <c r="C525" s="4" t="s">
        <v>280</v>
      </c>
      <c r="D525" s="4" t="s">
        <v>951</v>
      </c>
    </row>
    <row r="526" spans="1:4" ht="45.75" hidden="1" thickBot="1">
      <c r="A526" t="str">
        <f>IF(ISNA(INDEX('ID относящиеся у производству'!A:A,MATCH(B526,'ID относящиеся у производству'!A:A,0),1))=TRUE,"НЕТ","ДА")</f>
        <v>НЕТ</v>
      </c>
      <c r="B526" s="4">
        <v>525</v>
      </c>
      <c r="C526" s="4" t="s">
        <v>458</v>
      </c>
      <c r="D526" s="4" t="s">
        <v>1269</v>
      </c>
    </row>
    <row r="527" spans="1:4" ht="15.75" hidden="1" thickBot="1">
      <c r="A527" t="str">
        <f>IF(ISNA(INDEX('ID относящиеся у производству'!A:A,MATCH(B527,'ID относящиеся у производству'!A:A,0),1))=TRUE,"НЕТ","ДА")</f>
        <v>НЕТ</v>
      </c>
      <c r="B527" s="4">
        <v>526</v>
      </c>
      <c r="C527" s="4" t="s">
        <v>3350</v>
      </c>
      <c r="D527" s="4" t="s">
        <v>3347</v>
      </c>
    </row>
    <row r="528" spans="1:4" ht="30.75" hidden="1" thickBot="1">
      <c r="A528" t="str">
        <f>IF(ISNA(INDEX('ID относящиеся у производству'!A:A,MATCH(B528,'ID относящиеся у производству'!A:A,0),1))=TRUE,"НЕТ","ДА")</f>
        <v>НЕТ</v>
      </c>
      <c r="B528" s="4">
        <v>527</v>
      </c>
      <c r="C528" s="4" t="s">
        <v>385</v>
      </c>
      <c r="D528" s="4" t="s">
        <v>404</v>
      </c>
    </row>
    <row r="529" spans="1:6" ht="30.75" hidden="1" thickBot="1">
      <c r="A529" t="str">
        <f>IF(ISNA(INDEX('ID относящиеся у производству'!A:A,MATCH(B529,'ID относящиеся у производству'!A:A,0),1))=TRUE,"НЕТ","ДА")</f>
        <v>НЕТ</v>
      </c>
      <c r="B529" s="4">
        <v>528</v>
      </c>
      <c r="C529" s="4" t="s">
        <v>153</v>
      </c>
      <c r="D529" s="4" t="s">
        <v>435</v>
      </c>
    </row>
    <row r="530" spans="1:6" ht="15.75" hidden="1" thickBot="1">
      <c r="A530" t="str">
        <f>IF(ISNA(INDEX('ID относящиеся у производству'!A:A,MATCH(B530,'ID относящиеся у производству'!A:A,0),1))=TRUE,"НЕТ","ДА")</f>
        <v>НЕТ</v>
      </c>
      <c r="B530" s="4">
        <v>529</v>
      </c>
      <c r="C530" s="4" t="s">
        <v>18</v>
      </c>
      <c r="D530" s="4" t="s">
        <v>19</v>
      </c>
    </row>
    <row r="531" spans="1:6" ht="30.75" hidden="1" thickBot="1">
      <c r="A531" t="str">
        <f>IF(ISNA(INDEX('ID относящиеся у производству'!A:A,MATCH(B531,'ID относящиеся у производству'!A:A,0),1))=TRUE,"НЕТ","ДА")</f>
        <v>НЕТ</v>
      </c>
      <c r="B531" s="4">
        <v>530</v>
      </c>
      <c r="C531" s="4" t="s">
        <v>153</v>
      </c>
      <c r="D531" s="4" t="s">
        <v>435</v>
      </c>
    </row>
    <row r="532" spans="1:6" ht="30.75" hidden="1" thickBot="1">
      <c r="A532" t="str">
        <f>IF(ISNA(INDEX('ID относящиеся у производству'!A:A,MATCH(B532,'ID относящиеся у производству'!A:A,0),1))=TRUE,"НЕТ","ДА")</f>
        <v>НЕТ</v>
      </c>
      <c r="B532" s="4">
        <v>531</v>
      </c>
      <c r="C532" s="4" t="s">
        <v>71</v>
      </c>
      <c r="D532" s="4" t="s">
        <v>68</v>
      </c>
    </row>
    <row r="533" spans="1:6" ht="75.75" hidden="1" thickBot="1">
      <c r="A533" t="str">
        <f>IF(ISNA(INDEX('ID относящиеся у производству'!A:A,MATCH(B533,'ID относящиеся у производству'!A:A,0),1))=TRUE,"НЕТ","ДА")</f>
        <v>НЕТ</v>
      </c>
      <c r="B533" s="4">
        <v>532</v>
      </c>
      <c r="C533" s="4" t="s">
        <v>280</v>
      </c>
      <c r="D533" s="4" t="s">
        <v>3147</v>
      </c>
    </row>
    <row r="534" spans="1:6" ht="15.75" hidden="1" thickBot="1">
      <c r="A534" t="str">
        <f>IF(ISNA(INDEX('ID относящиеся у производству'!A:A,MATCH(B534,'ID относящиеся у производству'!A:A,0),1))=TRUE,"НЕТ","ДА")</f>
        <v>НЕТ</v>
      </c>
      <c r="B534" s="4">
        <v>533</v>
      </c>
      <c r="C534" s="4" t="s">
        <v>3638</v>
      </c>
      <c r="D534" s="4" t="s">
        <v>1451</v>
      </c>
    </row>
    <row r="535" spans="1:6" ht="45.75" hidden="1" thickBot="1">
      <c r="A535" t="str">
        <f>IF(ISNA(INDEX('ID относящиеся у производству'!A:A,MATCH(B535,'ID относящиеся у производству'!A:A,0),1))=TRUE,"НЕТ","ДА")</f>
        <v>НЕТ</v>
      </c>
      <c r="B535" s="4">
        <v>534</v>
      </c>
      <c r="C535" s="4" t="s">
        <v>403</v>
      </c>
      <c r="D535" s="4" t="s">
        <v>436</v>
      </c>
    </row>
    <row r="536" spans="1:6" ht="30.75" hidden="1" thickBot="1">
      <c r="A536" t="str">
        <f>IF(ISNA(INDEX('ID относящиеся у производству'!A:A,MATCH(B536,'ID относящиеся у производству'!A:A,0),1))=TRUE,"НЕТ","ДА")</f>
        <v>НЕТ</v>
      </c>
      <c r="B536" s="4">
        <v>535</v>
      </c>
      <c r="C536" s="4" t="s">
        <v>84</v>
      </c>
      <c r="D536" s="4" t="s">
        <v>68</v>
      </c>
    </row>
    <row r="537" spans="1:6" ht="30.75" hidden="1" thickBot="1">
      <c r="A537" t="str">
        <f>IF(ISNA(INDEX('ID относящиеся у производству'!A:A,MATCH(B537,'ID относящиеся у производству'!A:A,0),1))=TRUE,"НЕТ","ДА")</f>
        <v>НЕТ</v>
      </c>
      <c r="B537" s="4">
        <v>536</v>
      </c>
      <c r="C537" s="4" t="s">
        <v>3666</v>
      </c>
      <c r="D537" s="4" t="s">
        <v>3667</v>
      </c>
    </row>
    <row r="538" spans="1:6" ht="30.75" thickBot="1">
      <c r="A538" t="str">
        <f>IF(ISNA(INDEX('ID относящиеся у производству'!A:A,MATCH(B538,'ID относящиеся у производству'!A:A,0),1))=TRUE,"НЕТ","ДА")</f>
        <v>ДА</v>
      </c>
      <c r="B538" s="4">
        <v>537</v>
      </c>
      <c r="C538" s="4" t="s">
        <v>284</v>
      </c>
      <c r="D538" s="4" t="s">
        <v>285</v>
      </c>
      <c r="E538" s="11" t="s">
        <v>3801</v>
      </c>
      <c r="F538" s="9" t="s">
        <v>3793</v>
      </c>
    </row>
    <row r="539" spans="1:6" ht="30.75" hidden="1" thickBot="1">
      <c r="A539" t="str">
        <f>IF(ISNA(INDEX('ID относящиеся у производству'!A:A,MATCH(B539,'ID относящиеся у производству'!A:A,0),1))=TRUE,"НЕТ","ДА")</f>
        <v>НЕТ</v>
      </c>
      <c r="B539" s="4">
        <v>538</v>
      </c>
      <c r="C539" s="4" t="s">
        <v>67</v>
      </c>
      <c r="D539" s="4" t="s">
        <v>2180</v>
      </c>
    </row>
    <row r="540" spans="1:6" ht="45.75" hidden="1" thickBot="1">
      <c r="A540" t="str">
        <f>IF(ISNA(INDEX('ID относящиеся у производству'!A:A,MATCH(B540,'ID относящиеся у производству'!A:A,0),1))=TRUE,"НЕТ","ДА")</f>
        <v>НЕТ</v>
      </c>
      <c r="B540" s="4">
        <v>539</v>
      </c>
      <c r="C540" s="4" t="s">
        <v>316</v>
      </c>
      <c r="D540" s="4" t="s">
        <v>909</v>
      </c>
    </row>
    <row r="541" spans="1:6" ht="60.75" hidden="1" thickBot="1">
      <c r="A541" t="str">
        <f>IF(ISNA(INDEX('ID относящиеся у производству'!A:A,MATCH(B541,'ID относящиеся у производству'!A:A,0),1))=TRUE,"НЕТ","ДА")</f>
        <v>НЕТ</v>
      </c>
      <c r="B541" s="4">
        <v>540</v>
      </c>
      <c r="C541" s="4" t="s">
        <v>316</v>
      </c>
      <c r="D541" s="4" t="s">
        <v>1203</v>
      </c>
    </row>
    <row r="542" spans="1:6" ht="30.75" thickBot="1">
      <c r="A542" t="str">
        <f>IF(ISNA(INDEX('ID относящиеся у производству'!A:A,MATCH(B542,'ID относящиеся у производству'!A:A,0),1))=TRUE,"НЕТ","ДА")</f>
        <v>ДА</v>
      </c>
      <c r="B542" s="4">
        <v>541</v>
      </c>
      <c r="C542" s="4" t="s">
        <v>239</v>
      </c>
      <c r="D542" s="4" t="s">
        <v>2498</v>
      </c>
      <c r="E542" s="8" t="s">
        <v>3795</v>
      </c>
      <c r="F542" s="9" t="s">
        <v>3793</v>
      </c>
    </row>
    <row r="543" spans="1:6" ht="30.75" thickBot="1">
      <c r="A543" t="str">
        <f>IF(ISNA(INDEX('ID относящиеся у производству'!A:A,MATCH(B543,'ID относящиеся у производству'!A:A,0),1))=TRUE,"НЕТ","ДА")</f>
        <v>ДА</v>
      </c>
      <c r="B543" s="4">
        <v>71</v>
      </c>
      <c r="C543" s="4" t="s">
        <v>239</v>
      </c>
      <c r="D543" s="4" t="s">
        <v>1611</v>
      </c>
      <c r="E543" s="8" t="s">
        <v>3795</v>
      </c>
      <c r="F543" s="9" t="s">
        <v>3793</v>
      </c>
    </row>
    <row r="544" spans="1:6" ht="30.75" thickBot="1">
      <c r="A544" t="str">
        <f>IF(ISNA(INDEX('ID относящиеся у производству'!A:A,MATCH(B544,'ID относящиеся у производству'!A:A,0),1))=TRUE,"НЕТ","ДА")</f>
        <v>ДА</v>
      </c>
      <c r="B544" s="4">
        <v>542</v>
      </c>
      <c r="C544" s="4" t="s">
        <v>193</v>
      </c>
      <c r="D544" s="4" t="s">
        <v>684</v>
      </c>
      <c r="E544" s="8" t="s">
        <v>3794</v>
      </c>
      <c r="F544" s="9" t="s">
        <v>3793</v>
      </c>
    </row>
    <row r="545" spans="1:6" ht="30.75" hidden="1" thickBot="1">
      <c r="A545" t="str">
        <f>IF(ISNA(INDEX('ID относящиеся у производству'!A:A,MATCH(B545,'ID относящиеся у производству'!A:A,0),1))=TRUE,"НЕТ","ДА")</f>
        <v>НЕТ</v>
      </c>
      <c r="B545" s="4">
        <v>543</v>
      </c>
      <c r="C545" s="4" t="s">
        <v>3703</v>
      </c>
      <c r="D545" s="4" t="s">
        <v>1754</v>
      </c>
    </row>
    <row r="546" spans="1:6" ht="60.75" hidden="1" thickBot="1">
      <c r="A546" t="str">
        <f>IF(ISNA(INDEX('ID относящиеся у производству'!A:A,MATCH(B546,'ID относящиеся у производству'!A:A,0),1))=TRUE,"НЕТ","ДА")</f>
        <v>НЕТ</v>
      </c>
      <c r="B546" s="4">
        <v>544</v>
      </c>
      <c r="C546" s="4" t="s">
        <v>2426</v>
      </c>
      <c r="D546" s="4" t="s">
        <v>2427</v>
      </c>
    </row>
    <row r="547" spans="1:6" ht="75.75" hidden="1" thickBot="1">
      <c r="A547" t="str">
        <f>IF(ISNA(INDEX('ID относящиеся у производству'!A:A,MATCH(B547,'ID относящиеся у производству'!A:A,0),1))=TRUE,"НЕТ","ДА")</f>
        <v>НЕТ</v>
      </c>
      <c r="B547" s="4">
        <v>545</v>
      </c>
      <c r="C547" s="4" t="s">
        <v>3719</v>
      </c>
      <c r="D547" s="4" t="s">
        <v>1001</v>
      </c>
    </row>
    <row r="548" spans="1:6" ht="45.75" hidden="1" thickBot="1">
      <c r="A548" t="str">
        <f>IF(ISNA(INDEX('ID относящиеся у производству'!A:A,MATCH(B548,'ID относящиеся у производству'!A:A,0),1))=TRUE,"НЕТ","ДА")</f>
        <v>НЕТ</v>
      </c>
      <c r="B548" s="4">
        <v>546</v>
      </c>
      <c r="C548" s="4" t="s">
        <v>3396</v>
      </c>
      <c r="D548" s="4" t="s">
        <v>558</v>
      </c>
    </row>
    <row r="549" spans="1:6" ht="45.75" hidden="1" thickBot="1">
      <c r="A549" t="str">
        <f>IF(ISNA(INDEX('ID относящиеся у производству'!A:A,MATCH(B549,'ID относящиеся у производству'!A:A,0),1))=TRUE,"НЕТ","ДА")</f>
        <v>НЕТ</v>
      </c>
      <c r="B549" s="4">
        <v>426</v>
      </c>
      <c r="C549" s="4" t="s">
        <v>727</v>
      </c>
      <c r="D549" s="4" t="s">
        <v>725</v>
      </c>
    </row>
    <row r="550" spans="1:6" ht="30">
      <c r="A550" t="str">
        <f>IF(ISNA(INDEX('ID относящиеся у производству'!A:A,MATCH(B550,'ID относящиеся у производству'!A:A,0),1))=TRUE,"НЕТ","ДА")</f>
        <v>ДА</v>
      </c>
      <c r="B550" s="4">
        <v>225</v>
      </c>
      <c r="C550" s="4" t="s">
        <v>39</v>
      </c>
      <c r="D550" s="4" t="s">
        <v>506</v>
      </c>
      <c r="E550" s="8" t="s">
        <v>3792</v>
      </c>
      <c r="F550" s="9" t="s">
        <v>3793</v>
      </c>
    </row>
  </sheetData>
  <autoFilter ref="A1:F550" xr:uid="{4B31E6E7-A9DA-43EB-B82A-4925B5D5F0A5}">
    <filterColumn colId="4">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19B4-09A7-41E6-A4D7-431F57BC7297}">
  <dimension ref="A1:A116"/>
  <sheetViews>
    <sheetView workbookViewId="0">
      <selection activeCell="E239" sqref="E239"/>
    </sheetView>
  </sheetViews>
  <sheetFormatPr defaultRowHeight="15"/>
  <sheetData>
    <row r="1" spans="1:1" ht="17.25">
      <c r="A1" s="12">
        <v>2</v>
      </c>
    </row>
    <row r="2" spans="1:1" ht="17.25">
      <c r="A2" s="12">
        <v>10</v>
      </c>
    </row>
    <row r="3" spans="1:1" ht="17.25">
      <c r="A3" s="12">
        <v>11</v>
      </c>
    </row>
    <row r="4" spans="1:1" ht="17.25">
      <c r="A4" s="12">
        <v>15</v>
      </c>
    </row>
    <row r="5" spans="1:1" ht="17.25">
      <c r="A5" s="12">
        <v>18</v>
      </c>
    </row>
    <row r="6" spans="1:1" ht="17.25">
      <c r="A6" s="12">
        <v>22</v>
      </c>
    </row>
    <row r="7" spans="1:1" ht="17.25">
      <c r="A7" s="12">
        <v>31</v>
      </c>
    </row>
    <row r="8" spans="1:1" ht="17.25">
      <c r="A8" s="12">
        <v>35</v>
      </c>
    </row>
    <row r="9" spans="1:1" ht="17.25">
      <c r="A9" s="12">
        <v>41</v>
      </c>
    </row>
    <row r="10" spans="1:1" ht="17.25">
      <c r="A10" s="12">
        <v>43</v>
      </c>
    </row>
    <row r="11" spans="1:1" ht="17.25">
      <c r="A11" s="12">
        <v>46</v>
      </c>
    </row>
    <row r="12" spans="1:1" ht="17.25">
      <c r="A12" s="12">
        <v>50</v>
      </c>
    </row>
    <row r="13" spans="1:1" ht="17.25">
      <c r="A13" s="12">
        <v>53</v>
      </c>
    </row>
    <row r="14" spans="1:1" ht="17.25">
      <c r="A14" s="12">
        <v>55</v>
      </c>
    </row>
    <row r="15" spans="1:1" ht="17.25">
      <c r="A15" s="12">
        <v>57</v>
      </c>
    </row>
    <row r="16" spans="1:1" ht="17.25">
      <c r="A16" s="12">
        <v>67</v>
      </c>
    </row>
    <row r="17" spans="1:1" ht="17.25">
      <c r="A17" s="12">
        <v>71</v>
      </c>
    </row>
    <row r="18" spans="1:1" ht="17.25">
      <c r="A18" s="12">
        <v>74</v>
      </c>
    </row>
    <row r="19" spans="1:1" ht="17.25">
      <c r="A19" s="12">
        <v>89</v>
      </c>
    </row>
    <row r="20" spans="1:1" ht="17.25">
      <c r="A20" s="12">
        <v>91</v>
      </c>
    </row>
    <row r="21" spans="1:1" ht="17.25">
      <c r="A21" s="12">
        <v>92</v>
      </c>
    </row>
    <row r="22" spans="1:1" ht="17.25">
      <c r="A22" s="12">
        <v>99</v>
      </c>
    </row>
    <row r="23" spans="1:1" ht="17.25">
      <c r="A23" s="12">
        <v>107</v>
      </c>
    </row>
    <row r="24" spans="1:1" ht="17.25">
      <c r="A24" s="12">
        <v>115</v>
      </c>
    </row>
    <row r="25" spans="1:1" ht="17.25">
      <c r="A25" s="12">
        <v>127</v>
      </c>
    </row>
    <row r="26" spans="1:1" ht="17.25">
      <c r="A26" s="12">
        <v>130</v>
      </c>
    </row>
    <row r="27" spans="1:1" ht="17.25">
      <c r="A27" s="12">
        <v>142</v>
      </c>
    </row>
    <row r="28" spans="1:1" ht="17.25">
      <c r="A28" s="12">
        <v>147</v>
      </c>
    </row>
    <row r="29" spans="1:1" ht="17.25">
      <c r="A29" s="12">
        <v>148</v>
      </c>
    </row>
    <row r="30" spans="1:1" ht="17.25">
      <c r="A30" s="12">
        <v>152</v>
      </c>
    </row>
    <row r="31" spans="1:1" ht="17.25">
      <c r="A31" s="12">
        <v>161</v>
      </c>
    </row>
    <row r="32" spans="1:1" ht="17.25">
      <c r="A32" s="12">
        <v>162</v>
      </c>
    </row>
    <row r="33" spans="1:1" ht="17.25">
      <c r="A33" s="12">
        <v>164</v>
      </c>
    </row>
    <row r="34" spans="1:1" ht="17.25">
      <c r="A34" s="12">
        <v>165</v>
      </c>
    </row>
    <row r="35" spans="1:1" ht="17.25">
      <c r="A35" s="12">
        <v>167</v>
      </c>
    </row>
    <row r="36" spans="1:1" ht="17.25">
      <c r="A36" s="12">
        <v>168</v>
      </c>
    </row>
    <row r="37" spans="1:1" ht="17.25">
      <c r="A37" s="12">
        <v>170</v>
      </c>
    </row>
    <row r="38" spans="1:1" ht="17.25">
      <c r="A38" s="12">
        <v>171</v>
      </c>
    </row>
    <row r="39" spans="1:1" ht="17.25">
      <c r="A39" s="12">
        <v>176</v>
      </c>
    </row>
    <row r="40" spans="1:1" ht="17.25">
      <c r="A40" s="12">
        <v>178</v>
      </c>
    </row>
    <row r="41" spans="1:1" ht="17.25">
      <c r="A41" s="12">
        <v>181</v>
      </c>
    </row>
    <row r="42" spans="1:1" ht="17.25">
      <c r="A42" s="12">
        <v>188</v>
      </c>
    </row>
    <row r="43" spans="1:1" ht="17.25">
      <c r="A43" s="12">
        <v>190</v>
      </c>
    </row>
    <row r="44" spans="1:1" ht="17.25">
      <c r="A44" s="12">
        <v>195</v>
      </c>
    </row>
    <row r="45" spans="1:1" ht="17.25">
      <c r="A45" s="12">
        <v>209</v>
      </c>
    </row>
    <row r="46" spans="1:1" ht="17.25">
      <c r="A46" s="12">
        <v>210</v>
      </c>
    </row>
    <row r="47" spans="1:1" ht="17.25">
      <c r="A47" s="12">
        <v>211</v>
      </c>
    </row>
    <row r="48" spans="1:1" ht="17.25">
      <c r="A48" s="12">
        <v>221</v>
      </c>
    </row>
    <row r="49" spans="1:1" ht="17.25">
      <c r="A49" s="12">
        <v>222</v>
      </c>
    </row>
    <row r="50" spans="1:1" ht="17.25">
      <c r="A50" s="12">
        <v>225</v>
      </c>
    </row>
    <row r="51" spans="1:1" ht="17.25">
      <c r="A51" s="12">
        <v>231</v>
      </c>
    </row>
    <row r="52" spans="1:1" ht="17.25">
      <c r="A52" s="12">
        <v>232</v>
      </c>
    </row>
    <row r="53" spans="1:1" ht="17.25">
      <c r="A53" s="12">
        <v>236</v>
      </c>
    </row>
    <row r="54" spans="1:1" ht="17.25">
      <c r="A54" s="12">
        <v>237</v>
      </c>
    </row>
    <row r="55" spans="1:1" ht="17.25">
      <c r="A55" s="12">
        <v>238</v>
      </c>
    </row>
    <row r="56" spans="1:1" ht="17.25">
      <c r="A56" s="12">
        <v>240</v>
      </c>
    </row>
    <row r="57" spans="1:1" ht="17.25">
      <c r="A57" s="12">
        <v>241</v>
      </c>
    </row>
    <row r="58" spans="1:1" ht="17.25">
      <c r="A58" s="12">
        <v>242</v>
      </c>
    </row>
    <row r="59" spans="1:1" ht="17.25">
      <c r="A59" s="12">
        <v>248</v>
      </c>
    </row>
    <row r="60" spans="1:1" ht="17.25">
      <c r="A60" s="12">
        <v>249</v>
      </c>
    </row>
    <row r="61" spans="1:1" ht="17.25">
      <c r="A61" s="12">
        <v>252</v>
      </c>
    </row>
    <row r="62" spans="1:1" ht="17.25">
      <c r="A62" s="12">
        <v>256</v>
      </c>
    </row>
    <row r="63" spans="1:1" ht="17.25">
      <c r="A63" s="12">
        <v>263</v>
      </c>
    </row>
    <row r="64" spans="1:1" ht="17.25">
      <c r="A64" s="12">
        <v>273</v>
      </c>
    </row>
    <row r="65" spans="1:1" ht="17.25">
      <c r="A65" s="12">
        <v>276</v>
      </c>
    </row>
    <row r="66" spans="1:1" ht="17.25">
      <c r="A66" s="12">
        <v>279</v>
      </c>
    </row>
    <row r="67" spans="1:1" ht="17.25">
      <c r="A67" s="12">
        <v>281</v>
      </c>
    </row>
    <row r="68" spans="1:1" ht="17.25">
      <c r="A68" s="12">
        <v>286</v>
      </c>
    </row>
    <row r="69" spans="1:1" ht="17.25">
      <c r="A69" s="12">
        <v>302</v>
      </c>
    </row>
    <row r="70" spans="1:1" ht="17.25">
      <c r="A70" s="12">
        <v>316</v>
      </c>
    </row>
    <row r="71" spans="1:1" ht="17.25">
      <c r="A71" s="12">
        <v>318</v>
      </c>
    </row>
    <row r="72" spans="1:1" ht="17.25">
      <c r="A72" s="12">
        <v>321</v>
      </c>
    </row>
    <row r="73" spans="1:1" ht="17.25">
      <c r="A73" s="12">
        <v>323</v>
      </c>
    </row>
    <row r="74" spans="1:1" ht="17.25">
      <c r="A74" s="12">
        <v>331</v>
      </c>
    </row>
    <row r="75" spans="1:1" ht="17.25">
      <c r="A75" s="12">
        <v>332</v>
      </c>
    </row>
    <row r="76" spans="1:1" ht="17.25">
      <c r="A76" s="12">
        <v>334</v>
      </c>
    </row>
    <row r="77" spans="1:1" ht="17.25">
      <c r="A77" s="12">
        <v>340</v>
      </c>
    </row>
    <row r="78" spans="1:1" ht="17.25">
      <c r="A78" s="12">
        <v>341</v>
      </c>
    </row>
    <row r="79" spans="1:1" ht="17.25">
      <c r="A79" s="12">
        <v>362</v>
      </c>
    </row>
    <row r="80" spans="1:1" ht="17.25">
      <c r="A80" s="12">
        <v>365</v>
      </c>
    </row>
    <row r="81" spans="1:1" ht="17.25">
      <c r="A81" s="12">
        <v>366</v>
      </c>
    </row>
    <row r="82" spans="1:1" ht="17.25">
      <c r="A82" s="12">
        <v>369</v>
      </c>
    </row>
    <row r="83" spans="1:1" ht="17.25">
      <c r="A83" s="12">
        <v>370</v>
      </c>
    </row>
    <row r="84" spans="1:1" ht="17.25">
      <c r="A84" s="12">
        <v>371</v>
      </c>
    </row>
    <row r="85" spans="1:1" ht="17.25">
      <c r="A85" s="12">
        <v>377</v>
      </c>
    </row>
    <row r="86" spans="1:1" ht="17.25">
      <c r="A86" s="12">
        <v>385</v>
      </c>
    </row>
    <row r="87" spans="1:1" ht="17.25">
      <c r="A87" s="12">
        <v>386</v>
      </c>
    </row>
    <row r="88" spans="1:1" ht="17.25">
      <c r="A88" s="12">
        <v>387</v>
      </c>
    </row>
    <row r="89" spans="1:1" ht="17.25">
      <c r="A89" s="12">
        <v>388</v>
      </c>
    </row>
    <row r="90" spans="1:1" ht="17.25">
      <c r="A90" s="12">
        <v>389</v>
      </c>
    </row>
    <row r="91" spans="1:1" ht="17.25">
      <c r="A91" s="12">
        <v>392</v>
      </c>
    </row>
    <row r="92" spans="1:1" ht="17.25">
      <c r="A92" s="12">
        <v>395</v>
      </c>
    </row>
    <row r="93" spans="1:1" ht="17.25">
      <c r="A93" s="12">
        <v>399</v>
      </c>
    </row>
    <row r="94" spans="1:1" ht="17.25">
      <c r="A94" s="12">
        <v>401</v>
      </c>
    </row>
    <row r="95" spans="1:1" ht="17.25">
      <c r="A95" s="12">
        <v>405</v>
      </c>
    </row>
    <row r="96" spans="1:1" ht="17.25">
      <c r="A96" s="12">
        <v>407</v>
      </c>
    </row>
    <row r="97" spans="1:1" ht="17.25">
      <c r="A97" s="12">
        <v>409</v>
      </c>
    </row>
    <row r="98" spans="1:1" ht="17.25">
      <c r="A98" s="12">
        <v>411</v>
      </c>
    </row>
    <row r="99" spans="1:1" ht="17.25">
      <c r="A99" s="12">
        <v>414</v>
      </c>
    </row>
    <row r="100" spans="1:1" ht="17.25">
      <c r="A100" s="12">
        <v>416</v>
      </c>
    </row>
    <row r="101" spans="1:1" ht="17.25">
      <c r="A101" s="12">
        <v>418</v>
      </c>
    </row>
    <row r="102" spans="1:1" ht="17.25">
      <c r="A102" s="12">
        <v>425</v>
      </c>
    </row>
    <row r="103" spans="1:1" ht="17.25">
      <c r="A103" s="12">
        <v>432</v>
      </c>
    </row>
    <row r="104" spans="1:1" ht="17.25">
      <c r="A104" s="12">
        <v>433</v>
      </c>
    </row>
    <row r="105" spans="1:1" ht="17.25">
      <c r="A105" s="12">
        <v>435</v>
      </c>
    </row>
    <row r="106" spans="1:1" ht="17.25">
      <c r="A106" s="12">
        <v>442</v>
      </c>
    </row>
    <row r="107" spans="1:1" ht="17.25">
      <c r="A107" s="12">
        <v>444</v>
      </c>
    </row>
    <row r="108" spans="1:1" ht="17.25">
      <c r="A108" s="12">
        <v>445</v>
      </c>
    </row>
    <row r="109" spans="1:1" ht="17.25">
      <c r="A109" s="12">
        <v>457</v>
      </c>
    </row>
    <row r="110" spans="1:1" ht="17.25">
      <c r="A110" s="12">
        <v>461</v>
      </c>
    </row>
    <row r="111" spans="1:1" ht="17.25">
      <c r="A111" s="12">
        <v>462</v>
      </c>
    </row>
    <row r="112" spans="1:1" ht="17.25">
      <c r="A112" s="12">
        <v>484</v>
      </c>
    </row>
    <row r="113" spans="1:1" ht="17.25">
      <c r="A113" s="12">
        <v>506</v>
      </c>
    </row>
    <row r="114" spans="1:1" ht="17.25">
      <c r="A114" s="12">
        <v>537</v>
      </c>
    </row>
    <row r="115" spans="1:1" ht="17.25">
      <c r="A115" s="12">
        <v>541</v>
      </c>
    </row>
    <row r="116" spans="1:1" ht="17.25">
      <c r="A116" s="12">
        <v>542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2B64-32CF-4BF8-8576-890CE8849F5A}">
  <dimension ref="B1:AJ5"/>
  <sheetViews>
    <sheetView workbookViewId="0">
      <selection activeCell="E239" sqref="E239"/>
    </sheetView>
  </sheetViews>
  <sheetFormatPr defaultRowHeight="15"/>
  <cols>
    <col min="2" max="14" width="15.7109375" customWidth="1"/>
  </cols>
  <sheetData>
    <row r="1" spans="2:36" ht="15.75" thickBot="1"/>
    <row r="2" spans="2:36">
      <c r="B2" s="20" t="s">
        <v>3793</v>
      </c>
      <c r="C2" s="20"/>
      <c r="D2" s="20"/>
      <c r="E2" s="20"/>
      <c r="F2" s="20"/>
      <c r="G2" s="20"/>
      <c r="H2" s="20"/>
      <c r="I2" s="20"/>
      <c r="J2" s="20"/>
      <c r="K2" s="20"/>
      <c r="L2" s="20"/>
      <c r="M2" s="20"/>
      <c r="N2" s="20"/>
      <c r="O2" s="20" t="s">
        <v>3802</v>
      </c>
      <c r="P2" s="20"/>
      <c r="Q2" s="20"/>
      <c r="R2" s="20"/>
      <c r="S2" s="20"/>
      <c r="T2" s="20"/>
      <c r="U2" s="20"/>
      <c r="V2" s="20"/>
      <c r="W2" s="20"/>
      <c r="X2" s="20"/>
      <c r="Y2" s="20"/>
      <c r="Z2" s="20"/>
      <c r="AA2" s="20" t="s">
        <v>3803</v>
      </c>
      <c r="AB2" s="20"/>
      <c r="AC2" s="20"/>
      <c r="AD2" s="20"/>
      <c r="AE2" s="20"/>
      <c r="AF2" s="20"/>
      <c r="AG2" s="20"/>
      <c r="AH2" s="20"/>
      <c r="AI2" s="20"/>
      <c r="AJ2" s="20"/>
    </row>
    <row r="3" spans="2:36" ht="51">
      <c r="B3" s="11" t="s">
        <v>3801</v>
      </c>
      <c r="C3" s="10" t="s">
        <v>3799</v>
      </c>
      <c r="D3" s="8" t="s">
        <v>3800</v>
      </c>
      <c r="E3" s="8" t="s">
        <v>3798</v>
      </c>
      <c r="F3" s="8" t="s">
        <v>3804</v>
      </c>
      <c r="G3" s="8" t="s">
        <v>3796</v>
      </c>
      <c r="H3" s="8" t="s">
        <v>3805</v>
      </c>
      <c r="I3" s="8" t="s">
        <v>3795</v>
      </c>
      <c r="J3" s="8" t="s">
        <v>3797</v>
      </c>
      <c r="K3" s="8" t="s">
        <v>3792</v>
      </c>
      <c r="L3" s="8" t="s">
        <v>3794</v>
      </c>
      <c r="M3" s="8" t="s">
        <v>3806</v>
      </c>
      <c r="N3" s="13" t="s">
        <v>3807</v>
      </c>
      <c r="O3" s="14" t="s">
        <v>3808</v>
      </c>
      <c r="P3" s="15" t="s">
        <v>3809</v>
      </c>
      <c r="Q3" s="15" t="s">
        <v>3810</v>
      </c>
      <c r="R3" s="15" t="s">
        <v>3811</v>
      </c>
      <c r="S3" s="15" t="s">
        <v>3812</v>
      </c>
      <c r="T3" s="15" t="s">
        <v>3813</v>
      </c>
      <c r="U3" s="15" t="s">
        <v>3814</v>
      </c>
      <c r="V3" s="15" t="s">
        <v>3815</v>
      </c>
      <c r="W3" s="15" t="s">
        <v>3816</v>
      </c>
      <c r="X3" s="15" t="s">
        <v>3817</v>
      </c>
      <c r="Y3" s="15" t="s">
        <v>3818</v>
      </c>
      <c r="Z3" s="16" t="s">
        <v>3819</v>
      </c>
      <c r="AA3" s="14" t="s">
        <v>3820</v>
      </c>
      <c r="AB3" s="15" t="s">
        <v>3821</v>
      </c>
      <c r="AC3" s="15" t="s">
        <v>3822</v>
      </c>
      <c r="AD3" s="15" t="s">
        <v>3823</v>
      </c>
      <c r="AE3" s="15" t="s">
        <v>3824</v>
      </c>
      <c r="AF3" s="15" t="s">
        <v>3825</v>
      </c>
      <c r="AG3" s="15" t="s">
        <v>3826</v>
      </c>
      <c r="AH3" s="15" t="s">
        <v>3827</v>
      </c>
      <c r="AI3" s="15" t="s">
        <v>3828</v>
      </c>
      <c r="AJ3" s="16" t="s">
        <v>3829</v>
      </c>
    </row>
    <row r="4" spans="2:36" s="1" customFormat="1" ht="105">
      <c r="B4" s="1" t="s">
        <v>3830</v>
      </c>
      <c r="C4" s="1" t="s">
        <v>3831</v>
      </c>
      <c r="D4" s="1" t="s">
        <v>3832</v>
      </c>
      <c r="E4" s="1" t="s">
        <v>3833</v>
      </c>
      <c r="F4" s="1" t="s">
        <v>3834</v>
      </c>
      <c r="G4" s="1" t="s">
        <v>3835</v>
      </c>
      <c r="H4" s="1" t="s">
        <v>3836</v>
      </c>
      <c r="I4" s="1" t="s">
        <v>3837</v>
      </c>
      <c r="J4" s="1" t="s">
        <v>3838</v>
      </c>
      <c r="K4" s="1" t="s">
        <v>3839</v>
      </c>
      <c r="L4" s="1" t="s">
        <v>3840</v>
      </c>
      <c r="O4" s="1" t="s">
        <v>3841</v>
      </c>
      <c r="P4" s="1" t="s">
        <v>3842</v>
      </c>
      <c r="Q4" s="1" t="s">
        <v>3843</v>
      </c>
      <c r="AA4" s="1" t="s">
        <v>3844</v>
      </c>
      <c r="AC4" s="1" t="s">
        <v>3845</v>
      </c>
      <c r="AD4" s="1" t="s">
        <v>3846</v>
      </c>
    </row>
    <row r="5" spans="2:36" s="1" customFormat="1" ht="30">
      <c r="B5" s="1" t="s">
        <v>3847</v>
      </c>
    </row>
  </sheetData>
  <mergeCells count="3">
    <mergeCell ref="B2:N2"/>
    <mergeCell ref="O2:Z2"/>
    <mergeCell ref="AA2:A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Свод (2)</vt:lpstr>
      <vt:lpstr>Лист1</vt:lpstr>
      <vt:lpstr>список ID из СУЭ с должностями</vt:lpstr>
      <vt:lpstr>ID относящиеся у производству</vt:lpstr>
      <vt:lpstr>ключи должностей к матрице</vt:lpstr>
    </vt:vector>
  </TitlesOfParts>
  <Company>XLSX Workbench Ver.4.10 for SAP ( https://sites.google.com/site/sapxlwb/home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IgorBorodin</dc:creator>
  <cp:lastModifiedBy>Габдрахманов Роман Раисович</cp:lastModifiedBy>
  <dcterms:created xsi:type="dcterms:W3CDTF">2013-10-10T10:46:59Z</dcterms:created>
  <dcterms:modified xsi:type="dcterms:W3CDTF">2026-09-16T06:39:18Z</dcterms:modified>
</cp:coreProperties>
</file>